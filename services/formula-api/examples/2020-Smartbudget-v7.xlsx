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15"/>
  <workbookPr showInkAnnotation="0" codeName="ThisWorkbook" autoCompressPictures="0"/>
  <mc:AlternateContent xmlns:mc="http://schemas.openxmlformats.org/markup-compatibility/2006">
    <mc:Choice Requires="x15">
      <x15ac:absPath xmlns:x15ac="http://schemas.microsoft.com/office/spreadsheetml/2010/11/ac" url="/Users/kropsi/Dropbox/Businesslogic.online/Examples/"/>
    </mc:Choice>
  </mc:AlternateContent>
  <xr:revisionPtr revIDLastSave="0" documentId="13_ncr:1_{8D3E8DC6-2A20-B443-B79D-D4021F8DD8A2}" xr6:coauthVersionLast="47" xr6:coauthVersionMax="47" xr10:uidLastSave="{00000000-0000-0000-0000-000000000000}"/>
  <bookViews>
    <workbookView xWindow="16040" yWindow="1860" windowWidth="40520" windowHeight="23700" tabRatio="958" activeTab="1" xr2:uid="{00000000-000D-0000-FFFF-FFFF00000000}"/>
  </bookViews>
  <sheets>
    <sheet name="Input" sheetId="21" r:id="rId1"/>
    <sheet name="Budget" sheetId="14" r:id="rId2"/>
    <sheet name="Data-DS" sheetId="19" r:id="rId3"/>
    <sheet name="Skatteprocenter" sheetId="23" r:id="rId4"/>
    <sheet name="Data" sheetId="7" r:id="rId5"/>
    <sheet name="DS-tal-valgte" sheetId="13" r:id="rId6"/>
    <sheet name="Modeller" sheetId="16" r:id="rId7"/>
    <sheet name="Aftrapning" sheetId="20" r:id="rId8"/>
    <sheet name="Dialog" sheetId="5" r:id="rId9"/>
    <sheet name="DS-tal-alle" sheetId="22" r:id="rId10"/>
    <sheet name="Kommunedata" sheetId="6" r:id="rId11"/>
    <sheet name="Kommunedata2" sheetId="24" r:id="rId12"/>
    <sheet name="(NIRAS)-Energi-CO2-tal" sheetId="18" r:id="rId13"/>
  </sheets>
  <definedNames>
    <definedName name="FORWASTforbrug">#REF!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Z142" i="19" l="1"/>
  <c r="Z145" i="19"/>
  <c r="I113" i="16"/>
  <c r="I111" i="16"/>
  <c r="I107" i="16"/>
  <c r="Z156" i="19"/>
  <c r="Z153" i="19"/>
  <c r="D310" i="22"/>
  <c r="D309" i="22"/>
  <c r="D308" i="22"/>
  <c r="D307" i="22"/>
  <c r="D306" i="22"/>
  <c r="D305" i="22"/>
  <c r="D304" i="22"/>
  <c r="D303" i="22"/>
  <c r="D302" i="22"/>
  <c r="D301" i="22"/>
  <c r="D300" i="22"/>
  <c r="D299" i="22"/>
  <c r="D298" i="22"/>
  <c r="D297" i="22"/>
  <c r="D296" i="22"/>
  <c r="D295" i="22"/>
  <c r="D294" i="22"/>
  <c r="D293" i="22"/>
  <c r="D292" i="22"/>
  <c r="D291" i="22"/>
  <c r="D290" i="22"/>
  <c r="D289" i="22"/>
  <c r="D288" i="22"/>
  <c r="D287" i="22"/>
  <c r="D286" i="22"/>
  <c r="D285" i="22"/>
  <c r="D284" i="22"/>
  <c r="D283" i="22"/>
  <c r="D282" i="22"/>
  <c r="D281" i="22"/>
  <c r="D280" i="22"/>
  <c r="D279" i="22"/>
  <c r="D278" i="22"/>
  <c r="D277" i="22"/>
  <c r="D276" i="22"/>
  <c r="D275" i="22"/>
  <c r="D274" i="22"/>
  <c r="D273" i="22"/>
  <c r="D272" i="22"/>
  <c r="D271" i="22"/>
  <c r="D270" i="22"/>
  <c r="D269" i="22"/>
  <c r="D268" i="22"/>
  <c r="D267" i="22"/>
  <c r="D266" i="22"/>
  <c r="D265" i="22"/>
  <c r="D264" i="22"/>
  <c r="D263" i="22"/>
  <c r="D262" i="22"/>
  <c r="D261" i="22"/>
  <c r="D260" i="22"/>
  <c r="D259" i="22"/>
  <c r="D258" i="22"/>
  <c r="D257" i="22"/>
  <c r="D256" i="22"/>
  <c r="D255" i="22"/>
  <c r="D254" i="22"/>
  <c r="D253" i="22"/>
  <c r="D252" i="22"/>
  <c r="D251" i="22"/>
  <c r="D250" i="22"/>
  <c r="D249" i="22"/>
  <c r="D248" i="22"/>
  <c r="D247" i="22"/>
  <c r="D246" i="22"/>
  <c r="D245" i="22"/>
  <c r="D244" i="22"/>
  <c r="D243" i="22"/>
  <c r="D242" i="22"/>
  <c r="D241" i="22"/>
  <c r="D240" i="22"/>
  <c r="D239" i="22"/>
  <c r="D238" i="22"/>
  <c r="D237" i="22"/>
  <c r="D236" i="22"/>
  <c r="D235" i="22"/>
  <c r="D234" i="22"/>
  <c r="D233" i="22"/>
  <c r="D232" i="22"/>
  <c r="D231" i="22"/>
  <c r="D230" i="22"/>
  <c r="D229" i="22"/>
  <c r="D228" i="22"/>
  <c r="D227" i="22"/>
  <c r="D226" i="22"/>
  <c r="D225" i="22"/>
  <c r="D224" i="22"/>
  <c r="D223" i="22"/>
  <c r="D222" i="22"/>
  <c r="D221" i="22"/>
  <c r="D220" i="22"/>
  <c r="D219" i="22"/>
  <c r="D218" i="22"/>
  <c r="D217" i="22"/>
  <c r="D216" i="22"/>
  <c r="D215" i="22"/>
  <c r="D214" i="22"/>
  <c r="D213" i="22"/>
  <c r="D212" i="22"/>
  <c r="D211" i="22"/>
  <c r="D210" i="22"/>
  <c r="D209" i="22"/>
  <c r="D208" i="22"/>
  <c r="D207" i="22"/>
  <c r="D206" i="22"/>
  <c r="D205" i="22"/>
  <c r="D204" i="22"/>
  <c r="D203" i="22"/>
  <c r="D202" i="22"/>
  <c r="D201" i="22"/>
  <c r="D200" i="22"/>
  <c r="D199" i="22"/>
  <c r="D198" i="22"/>
  <c r="D197" i="22"/>
  <c r="D196" i="22"/>
  <c r="D195" i="22"/>
  <c r="D194" i="22"/>
  <c r="D193" i="22"/>
  <c r="D192" i="22"/>
  <c r="D191" i="22"/>
  <c r="D190" i="22"/>
  <c r="D189" i="22"/>
  <c r="D188" i="22"/>
  <c r="D187" i="22"/>
  <c r="D186" i="22"/>
  <c r="D185" i="22"/>
  <c r="D184" i="22"/>
  <c r="D183" i="22"/>
  <c r="D182" i="22"/>
  <c r="D181" i="22"/>
  <c r="D180" i="22"/>
  <c r="D179" i="22"/>
  <c r="D178" i="22"/>
  <c r="D177" i="22"/>
  <c r="D176" i="22"/>
  <c r="D175" i="22"/>
  <c r="D174" i="22"/>
  <c r="D173" i="22"/>
  <c r="D172" i="22"/>
  <c r="D171" i="22"/>
  <c r="D170" i="22"/>
  <c r="D169" i="22"/>
  <c r="D168" i="22"/>
  <c r="D167" i="22"/>
  <c r="D166" i="22"/>
  <c r="D165" i="22"/>
  <c r="D164" i="22"/>
  <c r="D163" i="22"/>
  <c r="D162" i="22"/>
  <c r="D161" i="22"/>
  <c r="D160" i="22"/>
  <c r="D159" i="22"/>
  <c r="D158" i="22"/>
  <c r="D157" i="22"/>
  <c r="D156" i="22"/>
  <c r="D155" i="22"/>
  <c r="D154" i="22"/>
  <c r="D153" i="22"/>
  <c r="D152" i="22"/>
  <c r="D151" i="22"/>
  <c r="D150" i="22"/>
  <c r="D149" i="22"/>
  <c r="D148" i="22"/>
  <c r="D147" i="22"/>
  <c r="D146" i="22"/>
  <c r="D145" i="22"/>
  <c r="D144" i="22"/>
  <c r="D143" i="22"/>
  <c r="D142" i="22"/>
  <c r="D141" i="22"/>
  <c r="D140" i="22"/>
  <c r="D139" i="22"/>
  <c r="D138" i="22"/>
  <c r="D137" i="22"/>
  <c r="D136" i="22"/>
  <c r="D135" i="22"/>
  <c r="D134" i="22"/>
  <c r="D133" i="22"/>
  <c r="D132" i="22"/>
  <c r="D131" i="22"/>
  <c r="D130" i="22"/>
  <c r="D129" i="22"/>
  <c r="D128" i="22"/>
  <c r="D127" i="22"/>
  <c r="D126" i="22"/>
  <c r="D125" i="22"/>
  <c r="D124" i="22"/>
  <c r="D123" i="22"/>
  <c r="D122" i="22"/>
  <c r="D121" i="22"/>
  <c r="D120" i="22"/>
  <c r="D119" i="22"/>
  <c r="D118" i="22"/>
  <c r="D117" i="22"/>
  <c r="D116" i="22"/>
  <c r="D115" i="22"/>
  <c r="D114" i="22"/>
  <c r="D113" i="22"/>
  <c r="D112" i="22"/>
  <c r="D111" i="22"/>
  <c r="D110" i="22"/>
  <c r="D109" i="22"/>
  <c r="D108" i="22"/>
  <c r="D107" i="22"/>
  <c r="D106" i="22"/>
  <c r="D105" i="22"/>
  <c r="D104" i="22"/>
  <c r="D103" i="22"/>
  <c r="D102" i="22"/>
  <c r="D101" i="22"/>
  <c r="D100" i="22"/>
  <c r="D99" i="22"/>
  <c r="D98" i="22"/>
  <c r="D97" i="22"/>
  <c r="D96" i="22"/>
  <c r="D95" i="22"/>
  <c r="D94" i="22"/>
  <c r="D93" i="22"/>
  <c r="D92" i="22"/>
  <c r="D91" i="22"/>
  <c r="D90" i="22"/>
  <c r="D89" i="22"/>
  <c r="D88" i="22"/>
  <c r="D87" i="22"/>
  <c r="D86" i="22"/>
  <c r="D85" i="22"/>
  <c r="D84" i="22"/>
  <c r="D83" i="22"/>
  <c r="D82" i="22"/>
  <c r="D81" i="22"/>
  <c r="D80" i="22"/>
  <c r="D79" i="22"/>
  <c r="D78" i="22"/>
  <c r="D77" i="22"/>
  <c r="D76" i="22"/>
  <c r="D75" i="22"/>
  <c r="D74" i="22"/>
  <c r="D73" i="22"/>
  <c r="D72" i="22"/>
  <c r="D71" i="22"/>
  <c r="D70" i="22"/>
  <c r="D69" i="22"/>
  <c r="D68" i="22"/>
  <c r="D67" i="22"/>
  <c r="D66" i="22"/>
  <c r="D65" i="22"/>
  <c r="D64" i="22"/>
  <c r="D63" i="22"/>
  <c r="D62" i="22"/>
  <c r="D61" i="22"/>
  <c r="D60" i="22"/>
  <c r="D59" i="22"/>
  <c r="D58" i="22"/>
  <c r="D57" i="22"/>
  <c r="D56" i="22"/>
  <c r="D55" i="22"/>
  <c r="D54" i="22"/>
  <c r="D53" i="22"/>
  <c r="D52" i="22"/>
  <c r="D51" i="22"/>
  <c r="D50" i="22"/>
  <c r="D49" i="22"/>
  <c r="D48" i="22"/>
  <c r="D47" i="22"/>
  <c r="D46" i="22"/>
  <c r="D45" i="22"/>
  <c r="D44" i="22"/>
  <c r="D43" i="22"/>
  <c r="D42" i="22"/>
  <c r="D41" i="22"/>
  <c r="D40" i="22"/>
  <c r="D39" i="22"/>
  <c r="D38" i="22"/>
  <c r="D37" i="22"/>
  <c r="D36" i="22"/>
  <c r="D35" i="22"/>
  <c r="D34" i="22"/>
  <c r="D33" i="22"/>
  <c r="D32" i="22"/>
  <c r="D31" i="22"/>
  <c r="D30" i="22"/>
  <c r="D29" i="22"/>
  <c r="D28" i="22"/>
  <c r="D27" i="22"/>
  <c r="D26" i="22"/>
  <c r="D25" i="22"/>
  <c r="D24" i="22"/>
  <c r="D23" i="22"/>
  <c r="D22" i="22"/>
  <c r="D21" i="22"/>
  <c r="D20" i="22"/>
  <c r="D19" i="22"/>
  <c r="D18" i="22"/>
  <c r="D17" i="22"/>
  <c r="A12" i="19" l="1"/>
  <c r="I167" i="19"/>
  <c r="H167" i="19"/>
  <c r="I156" i="19"/>
  <c r="H156" i="19"/>
  <c r="I68" i="19"/>
  <c r="H68" i="19"/>
  <c r="I164" i="19"/>
  <c r="H164" i="19"/>
  <c r="I153" i="19"/>
  <c r="H153" i="19"/>
  <c r="I65" i="19"/>
  <c r="H65" i="19"/>
  <c r="I179" i="19"/>
  <c r="H179" i="19"/>
  <c r="I168" i="19"/>
  <c r="H168" i="19"/>
  <c r="I157" i="19"/>
  <c r="H157" i="19"/>
  <c r="I146" i="19"/>
  <c r="H146" i="19"/>
  <c r="I135" i="19"/>
  <c r="H135" i="19"/>
  <c r="I124" i="19"/>
  <c r="H124" i="19"/>
  <c r="I113" i="19"/>
  <c r="H113" i="19"/>
  <c r="I102" i="19"/>
  <c r="H102" i="19"/>
  <c r="I91" i="19"/>
  <c r="H91" i="19"/>
  <c r="I80" i="19"/>
  <c r="H80" i="19"/>
  <c r="I69" i="19"/>
  <c r="H69" i="19"/>
  <c r="I58" i="19"/>
  <c r="H58" i="19"/>
  <c r="I47" i="19"/>
  <c r="H47" i="19"/>
  <c r="I36" i="19"/>
  <c r="H36" i="19"/>
  <c r="I25" i="19"/>
  <c r="H25" i="19"/>
  <c r="G155" i="19" l="1"/>
  <c r="G111" i="19"/>
  <c r="G100" i="19"/>
  <c r="G174" i="19"/>
  <c r="A177" i="19"/>
  <c r="G177" i="19" s="1"/>
  <c r="A174" i="19"/>
  <c r="A166" i="19"/>
  <c r="G166" i="19" s="1"/>
  <c r="A163" i="19"/>
  <c r="G163" i="19" s="1"/>
  <c r="A155" i="19"/>
  <c r="A152" i="19"/>
  <c r="G152" i="19" s="1"/>
  <c r="A144" i="19"/>
  <c r="G144" i="19" s="1"/>
  <c r="A141" i="19"/>
  <c r="G141" i="19" s="1"/>
  <c r="A133" i="19"/>
  <c r="G133" i="19" s="1"/>
  <c r="A130" i="19"/>
  <c r="A122" i="19"/>
  <c r="G122" i="19" s="1"/>
  <c r="A119" i="19"/>
  <c r="G119" i="19" s="1"/>
  <c r="A111" i="19"/>
  <c r="A108" i="19"/>
  <c r="A100" i="19"/>
  <c r="A97" i="19"/>
  <c r="A89" i="19"/>
  <c r="G89" i="19" s="1"/>
  <c r="A86" i="19"/>
  <c r="A78" i="19"/>
  <c r="G78" i="19" s="1"/>
  <c r="A75" i="19"/>
  <c r="G75" i="19" s="1"/>
  <c r="A67" i="19"/>
  <c r="G67" i="19" s="1"/>
  <c r="A64" i="19"/>
  <c r="G130" i="19"/>
  <c r="G108" i="19"/>
  <c r="G97" i="19"/>
  <c r="G86" i="19"/>
  <c r="G64" i="19"/>
  <c r="G42" i="19"/>
  <c r="G34" i="19"/>
  <c r="G23" i="19"/>
  <c r="G20" i="19"/>
  <c r="G12" i="19"/>
  <c r="G9" i="19"/>
  <c r="A56" i="19"/>
  <c r="G56" i="19" s="1"/>
  <c r="A53" i="19"/>
  <c r="G53" i="19" s="1"/>
  <c r="A45" i="19"/>
  <c r="G45" i="19" s="1"/>
  <c r="A42" i="19"/>
  <c r="A34" i="19"/>
  <c r="A31" i="19"/>
  <c r="G31" i="19" s="1"/>
  <c r="A23" i="19"/>
  <c r="A20" i="19"/>
  <c r="H53" i="13" l="1"/>
  <c r="G53" i="13"/>
  <c r="F53" i="13"/>
  <c r="E53" i="13"/>
  <c r="D53" i="13"/>
  <c r="C53" i="13"/>
  <c r="H52" i="13"/>
  <c r="G52" i="13"/>
  <c r="F52" i="13"/>
  <c r="E52" i="13"/>
  <c r="D52" i="13"/>
  <c r="C52" i="13"/>
  <c r="H51" i="13"/>
  <c r="G51" i="13"/>
  <c r="F51" i="13"/>
  <c r="E51" i="13"/>
  <c r="D51" i="13"/>
  <c r="C51" i="13"/>
  <c r="M113" i="23"/>
  <c r="N113" i="23" s="1"/>
  <c r="M112" i="23"/>
  <c r="N112" i="23" s="1"/>
  <c r="M111" i="23"/>
  <c r="M110" i="23"/>
  <c r="N110" i="23" s="1"/>
  <c r="M109" i="23"/>
  <c r="N109" i="23" s="1"/>
  <c r="M108" i="23"/>
  <c r="N108" i="23" s="1"/>
  <c r="N111" i="23"/>
  <c r="F103" i="23"/>
  <c r="E103" i="23"/>
  <c r="D103" i="23"/>
  <c r="O84" i="23"/>
  <c r="O99" i="23"/>
  <c r="O67" i="23"/>
  <c r="O58" i="23"/>
  <c r="O48" i="23"/>
  <c r="O91" i="23"/>
  <c r="O94" i="23"/>
  <c r="O71" i="23"/>
  <c r="O66" i="23"/>
  <c r="O65" i="23"/>
  <c r="O19" i="23"/>
  <c r="O18" i="23"/>
  <c r="O62" i="23"/>
  <c r="O90" i="23"/>
  <c r="O61" i="23"/>
  <c r="O76" i="23"/>
  <c r="O55" i="23"/>
  <c r="O75" i="23"/>
  <c r="O42" i="23"/>
  <c r="O43" i="23"/>
  <c r="O33" i="23"/>
  <c r="O41" i="23"/>
  <c r="O89" i="23"/>
  <c r="O83" i="23"/>
  <c r="O81" i="23"/>
  <c r="O82" i="23"/>
  <c r="O16" i="23"/>
  <c r="O26" i="23"/>
  <c r="O32" i="23"/>
  <c r="O39" i="23"/>
  <c r="O86" i="23"/>
  <c r="O96" i="23"/>
  <c r="O80" i="23"/>
  <c r="O35" i="23"/>
  <c r="O54" i="23"/>
  <c r="O79" i="23"/>
  <c r="O46" i="23"/>
  <c r="O53" i="23"/>
  <c r="O56" i="23"/>
  <c r="O77" i="23"/>
  <c r="O88" i="23"/>
  <c r="O50" i="23"/>
  <c r="O97" i="23"/>
  <c r="O95" i="23"/>
  <c r="O15" i="23"/>
  <c r="O45" i="23"/>
  <c r="O74" i="23"/>
  <c r="O44" i="23"/>
  <c r="O57" i="23"/>
  <c r="O30" i="23"/>
  <c r="O3" i="23"/>
  <c r="O70" i="23"/>
  <c r="O52" i="23"/>
  <c r="O38" i="23"/>
  <c r="O98" i="23"/>
  <c r="O17" i="23"/>
  <c r="O85" i="23"/>
  <c r="O25" i="23"/>
  <c r="O14" i="23"/>
  <c r="O13" i="23"/>
  <c r="O69" i="23"/>
  <c r="O73" i="23"/>
  <c r="O36" i="23"/>
  <c r="O100" i="23"/>
  <c r="O24" i="23"/>
  <c r="O72" i="23"/>
  <c r="O11" i="23"/>
  <c r="O23" i="23"/>
  <c r="O87" i="23"/>
  <c r="O31" i="23"/>
  <c r="O59" i="23"/>
  <c r="O47" i="23"/>
  <c r="O34" i="23"/>
  <c r="O29" i="23"/>
  <c r="O10" i="23"/>
  <c r="O9" i="23"/>
  <c r="O8" i="23"/>
  <c r="O40" i="23"/>
  <c r="O20" i="23"/>
  <c r="O28" i="23"/>
  <c r="O93" i="23"/>
  <c r="O4" i="23"/>
  <c r="O68" i="23"/>
  <c r="O22" i="23"/>
  <c r="O37" i="23"/>
  <c r="O78" i="23"/>
  <c r="O64" i="23"/>
  <c r="O63" i="23"/>
  <c r="O27" i="23"/>
  <c r="O7" i="23"/>
  <c r="O92" i="23"/>
  <c r="O6" i="23"/>
  <c r="O49" i="23"/>
  <c r="O60" i="23"/>
  <c r="O5" i="23"/>
  <c r="O51" i="23"/>
  <c r="O21" i="23"/>
  <c r="O12" i="23"/>
  <c r="I26" i="5" l="1"/>
  <c r="K26" i="5" s="1"/>
  <c r="V7" i="5"/>
  <c r="U7" i="5"/>
  <c r="T7" i="5"/>
  <c r="S7" i="5"/>
  <c r="R7" i="5"/>
  <c r="K27" i="5"/>
  <c r="K24" i="5"/>
  <c r="E129" i="16"/>
  <c r="B14" i="5" l="1"/>
  <c r="J24" i="16" l="1"/>
  <c r="Q39" i="16"/>
  <c r="AA8" i="16"/>
  <c r="AA7" i="16"/>
  <c r="AA6" i="16"/>
  <c r="AA5" i="16"/>
  <c r="B185" i="19"/>
  <c r="E113" i="23"/>
  <c r="F113" i="23" s="1"/>
  <c r="E112" i="23"/>
  <c r="F112" i="23" s="1"/>
  <c r="E111" i="23"/>
  <c r="F111" i="23" s="1"/>
  <c r="E110" i="23"/>
  <c r="F110" i="23" s="1"/>
  <c r="E109" i="23"/>
  <c r="F109" i="23" s="1"/>
  <c r="E108" i="23"/>
  <c r="F108" i="23" s="1"/>
  <c r="G100" i="23"/>
  <c r="G99" i="23"/>
  <c r="G98" i="23"/>
  <c r="G97" i="23"/>
  <c r="G96" i="23"/>
  <c r="G95" i="23"/>
  <c r="G94" i="23"/>
  <c r="G93" i="23"/>
  <c r="G92" i="23"/>
  <c r="G91" i="23"/>
  <c r="G90" i="23"/>
  <c r="G89" i="23"/>
  <c r="G88" i="23"/>
  <c r="G87" i="23"/>
  <c r="G86" i="23"/>
  <c r="G85" i="23"/>
  <c r="G84" i="23"/>
  <c r="G83" i="23"/>
  <c r="G82" i="23"/>
  <c r="G81" i="23"/>
  <c r="G80" i="23"/>
  <c r="G79" i="23"/>
  <c r="G78" i="23"/>
  <c r="G77" i="23"/>
  <c r="G76" i="23"/>
  <c r="G75" i="23"/>
  <c r="G74" i="23"/>
  <c r="G73" i="23"/>
  <c r="G72" i="23"/>
  <c r="G71" i="23"/>
  <c r="G70" i="23"/>
  <c r="G69" i="23"/>
  <c r="G68" i="23"/>
  <c r="G67" i="23"/>
  <c r="G66" i="23"/>
  <c r="G65" i="23"/>
  <c r="G64" i="23"/>
  <c r="G63" i="23"/>
  <c r="G62" i="23"/>
  <c r="G61" i="23"/>
  <c r="G60" i="23"/>
  <c r="G59" i="23"/>
  <c r="G58" i="23"/>
  <c r="G57" i="23"/>
  <c r="G56" i="23"/>
  <c r="G55" i="23"/>
  <c r="G54" i="23"/>
  <c r="G53" i="23"/>
  <c r="G52" i="23"/>
  <c r="G51" i="23"/>
  <c r="G50" i="23"/>
  <c r="G49" i="23"/>
  <c r="G48" i="23"/>
  <c r="G47" i="23"/>
  <c r="G46" i="23"/>
  <c r="G45" i="23"/>
  <c r="G44" i="23"/>
  <c r="G43" i="23"/>
  <c r="G42" i="23"/>
  <c r="G41" i="23"/>
  <c r="G40" i="23"/>
  <c r="G39" i="23"/>
  <c r="G38" i="23"/>
  <c r="G37" i="23"/>
  <c r="G36" i="23"/>
  <c r="G35" i="23"/>
  <c r="G34" i="23"/>
  <c r="G33" i="23"/>
  <c r="G103" i="23" s="1"/>
  <c r="G32" i="23"/>
  <c r="G31" i="23"/>
  <c r="G30" i="23"/>
  <c r="G29" i="23"/>
  <c r="G28" i="23"/>
  <c r="G27" i="23"/>
  <c r="G26" i="23"/>
  <c r="G25" i="23"/>
  <c r="G24" i="23"/>
  <c r="G23" i="23"/>
  <c r="G22" i="23"/>
  <c r="G21" i="23"/>
  <c r="G20" i="23"/>
  <c r="G19" i="23"/>
  <c r="G18" i="23"/>
  <c r="G17" i="23"/>
  <c r="G16" i="23"/>
  <c r="G15" i="23"/>
  <c r="G14" i="23"/>
  <c r="G13" i="23"/>
  <c r="G12" i="23"/>
  <c r="G11" i="23"/>
  <c r="G10" i="23"/>
  <c r="G9" i="23"/>
  <c r="G8" i="23"/>
  <c r="G7" i="23"/>
  <c r="G6" i="23"/>
  <c r="G5" i="23"/>
  <c r="G4" i="23"/>
  <c r="G3" i="23"/>
  <c r="C187" i="19" l="1"/>
  <c r="C186" i="19"/>
  <c r="C185" i="19"/>
  <c r="C188" i="19"/>
  <c r="E105" i="23" l="1"/>
  <c r="G108" i="23" l="1"/>
  <c r="H108" i="23" s="1"/>
  <c r="G111" i="23"/>
  <c r="H111" i="23" s="1"/>
  <c r="I111" i="23" s="1"/>
  <c r="G109" i="23"/>
  <c r="H109" i="23" s="1"/>
  <c r="I109" i="23" s="1"/>
  <c r="G113" i="23"/>
  <c r="H113" i="23" s="1"/>
  <c r="I113" i="23" s="1"/>
  <c r="G112" i="23"/>
  <c r="H112" i="23" s="1"/>
  <c r="I112" i="23" s="1"/>
  <c r="G110" i="23"/>
  <c r="H110" i="23" s="1"/>
  <c r="I110" i="23" s="1"/>
  <c r="J97" i="7"/>
  <c r="J96" i="7"/>
  <c r="F92" i="7"/>
  <c r="F5" i="16"/>
  <c r="I108" i="23" l="1"/>
  <c r="D35" i="14"/>
  <c r="J111" i="16"/>
  <c r="P10" i="16"/>
  <c r="P3" i="16"/>
  <c r="Y8" i="16"/>
  <c r="Y7" i="16"/>
  <c r="Y6" i="16"/>
  <c r="Y5" i="16"/>
  <c r="Q44" i="16"/>
  <c r="F27" i="7"/>
  <c r="H42" i="13"/>
  <c r="G42" i="13"/>
  <c r="F42" i="13"/>
  <c r="E42" i="13"/>
  <c r="D42" i="13"/>
  <c r="G135" i="19" s="1"/>
  <c r="E17" i="7"/>
  <c r="D8" i="21"/>
  <c r="E70" i="16" s="1"/>
  <c r="D29" i="21"/>
  <c r="G136" i="19"/>
  <c r="AI7" i="19"/>
  <c r="AI4" i="19"/>
  <c r="AI5" i="19"/>
  <c r="AI6" i="19"/>
  <c r="AA134" i="19"/>
  <c r="AB134" i="19" s="1"/>
  <c r="AC134" i="19" s="1"/>
  <c r="V132" i="19"/>
  <c r="AB131" i="19"/>
  <c r="AC131" i="19" s="1"/>
  <c r="V129" i="19"/>
  <c r="C129" i="19"/>
  <c r="N128" i="19"/>
  <c r="O128" i="19"/>
  <c r="P128" i="19" s="1"/>
  <c r="Q128" i="19" s="1"/>
  <c r="R128" i="19" s="1"/>
  <c r="S128" i="19" s="1"/>
  <c r="T128" i="19" s="1"/>
  <c r="U128" i="19" s="1"/>
  <c r="C42" i="13"/>
  <c r="G86" i="13"/>
  <c r="G87" i="13"/>
  <c r="H86" i="13"/>
  <c r="H88" i="13" s="1"/>
  <c r="H87" i="13"/>
  <c r="G78" i="13"/>
  <c r="G79" i="13"/>
  <c r="G80" i="13"/>
  <c r="G81" i="13"/>
  <c r="G82" i="13"/>
  <c r="M167" i="19"/>
  <c r="X167" i="19"/>
  <c r="Y167" i="19" s="1"/>
  <c r="Z167" i="19" s="1"/>
  <c r="AA167" i="19" s="1"/>
  <c r="AB167" i="19" s="1"/>
  <c r="G102" i="13"/>
  <c r="G103" i="13" s="1"/>
  <c r="H102" i="13"/>
  <c r="H103" i="13" s="1"/>
  <c r="H78" i="13"/>
  <c r="H79" i="13"/>
  <c r="H80" i="13"/>
  <c r="H81" i="13"/>
  <c r="H82" i="13"/>
  <c r="G67" i="13"/>
  <c r="G68" i="13"/>
  <c r="G69" i="13"/>
  <c r="G70" i="13"/>
  <c r="G71" i="13"/>
  <c r="G72" i="13"/>
  <c r="G73" i="13"/>
  <c r="G74" i="13"/>
  <c r="H67" i="13"/>
  <c r="H68" i="13"/>
  <c r="H69" i="13"/>
  <c r="H70" i="13"/>
  <c r="H71" i="13"/>
  <c r="H72" i="13"/>
  <c r="H73" i="13"/>
  <c r="H74" i="13"/>
  <c r="G57" i="13"/>
  <c r="G58" i="13"/>
  <c r="G59" i="13"/>
  <c r="H57" i="13"/>
  <c r="H58" i="13"/>
  <c r="H59" i="13"/>
  <c r="F102" i="13"/>
  <c r="F103" i="13"/>
  <c r="E102" i="13"/>
  <c r="E103" i="13" s="1"/>
  <c r="F86" i="13"/>
  <c r="F87" i="13"/>
  <c r="E86" i="13"/>
  <c r="E87" i="13"/>
  <c r="R18" i="16"/>
  <c r="K5" i="7"/>
  <c r="H5" i="16"/>
  <c r="M5" i="7"/>
  <c r="I5" i="16"/>
  <c r="I5" i="7"/>
  <c r="G5" i="16"/>
  <c r="G5" i="7"/>
  <c r="F6" i="16" s="1"/>
  <c r="B15" i="7"/>
  <c r="B16" i="7" s="1"/>
  <c r="B17" i="7" s="1"/>
  <c r="B18" i="7" s="1"/>
  <c r="B19" i="7" s="1"/>
  <c r="F97" i="7"/>
  <c r="E97" i="7" s="1"/>
  <c r="I96" i="7"/>
  <c r="E96" i="7"/>
  <c r="I95" i="7"/>
  <c r="E95" i="7"/>
  <c r="I94" i="7"/>
  <c r="E94" i="7"/>
  <c r="I93" i="7"/>
  <c r="E93" i="7"/>
  <c r="I92" i="7"/>
  <c r="E92" i="7"/>
  <c r="E91" i="7"/>
  <c r="I91" i="7"/>
  <c r="I90" i="7"/>
  <c r="E90" i="7"/>
  <c r="J19" i="5"/>
  <c r="H19" i="5"/>
  <c r="J20" i="5"/>
  <c r="H20" i="5"/>
  <c r="J21" i="5"/>
  <c r="H21" i="5"/>
  <c r="J22" i="5"/>
  <c r="H22" i="5"/>
  <c r="G158" i="19"/>
  <c r="V154" i="19"/>
  <c r="V151" i="19"/>
  <c r="C151" i="19"/>
  <c r="N150" i="19"/>
  <c r="O150" i="19" s="1"/>
  <c r="P150" i="19" s="1"/>
  <c r="Q150" i="19" s="1"/>
  <c r="R150" i="19" s="1"/>
  <c r="S150" i="19" s="1"/>
  <c r="T150" i="19" s="1"/>
  <c r="U150" i="19" s="1"/>
  <c r="H4" i="13"/>
  <c r="H5" i="13"/>
  <c r="H6" i="13"/>
  <c r="H7" i="13"/>
  <c r="H8" i="13"/>
  <c r="H9" i="13"/>
  <c r="H10" i="13"/>
  <c r="H11" i="13"/>
  <c r="H12" i="13"/>
  <c r="H16" i="13"/>
  <c r="H17" i="13"/>
  <c r="H18" i="13"/>
  <c r="H19" i="13"/>
  <c r="H20" i="13"/>
  <c r="H21" i="13"/>
  <c r="H25" i="13"/>
  <c r="H26" i="13"/>
  <c r="H27" i="13"/>
  <c r="H28" i="13"/>
  <c r="H32" i="13"/>
  <c r="H33" i="13"/>
  <c r="H37" i="13"/>
  <c r="H38" i="13" s="1"/>
  <c r="H36" i="13" s="1"/>
  <c r="H41" i="13"/>
  <c r="H43" i="13"/>
  <c r="H44" i="13"/>
  <c r="H45" i="13"/>
  <c r="H46" i="13"/>
  <c r="H47" i="13"/>
  <c r="H48" i="13"/>
  <c r="H49" i="13"/>
  <c r="H50" i="13"/>
  <c r="H91" i="13"/>
  <c r="H92" i="13"/>
  <c r="H93" i="13"/>
  <c r="H94" i="13"/>
  <c r="H95" i="13"/>
  <c r="H96" i="13"/>
  <c r="H97" i="13"/>
  <c r="H98" i="13"/>
  <c r="G4" i="13"/>
  <c r="G5" i="13"/>
  <c r="G6" i="13"/>
  <c r="G7" i="13"/>
  <c r="G8" i="13"/>
  <c r="G9" i="13"/>
  <c r="G10" i="13"/>
  <c r="G11" i="13"/>
  <c r="G12" i="13"/>
  <c r="G16" i="13"/>
  <c r="G17" i="13"/>
  <c r="G18" i="13"/>
  <c r="G19" i="13"/>
  <c r="G20" i="13"/>
  <c r="G21" i="13"/>
  <c r="G25" i="13"/>
  <c r="G26" i="13"/>
  <c r="G27" i="13"/>
  <c r="G28" i="13"/>
  <c r="G32" i="13"/>
  <c r="G33" i="13"/>
  <c r="G37" i="13"/>
  <c r="G38" i="13" s="1"/>
  <c r="G36" i="13" s="1"/>
  <c r="G41" i="13"/>
  <c r="G43" i="13"/>
  <c r="G44" i="13"/>
  <c r="G45" i="13"/>
  <c r="G46" i="13"/>
  <c r="G47" i="13"/>
  <c r="G48" i="13"/>
  <c r="G49" i="13"/>
  <c r="G50" i="13"/>
  <c r="G91" i="13"/>
  <c r="G92" i="13"/>
  <c r="G93" i="13"/>
  <c r="G94" i="13"/>
  <c r="G95" i="13"/>
  <c r="G96" i="13"/>
  <c r="G97" i="13"/>
  <c r="G98" i="13"/>
  <c r="F4" i="13"/>
  <c r="F5" i="13"/>
  <c r="F6" i="13"/>
  <c r="F7" i="13"/>
  <c r="F8" i="13"/>
  <c r="F9" i="13"/>
  <c r="F10" i="13"/>
  <c r="F11" i="13"/>
  <c r="F12" i="13"/>
  <c r="F16" i="13"/>
  <c r="F17" i="13"/>
  <c r="F18" i="13"/>
  <c r="F19" i="13"/>
  <c r="F20" i="13"/>
  <c r="F21" i="13"/>
  <c r="F25" i="13"/>
  <c r="F26" i="13"/>
  <c r="F27" i="13"/>
  <c r="F28" i="13"/>
  <c r="F32" i="13"/>
  <c r="F34" i="13" s="1"/>
  <c r="F31" i="13" s="1"/>
  <c r="F33" i="13"/>
  <c r="F37" i="13"/>
  <c r="F38" i="13" s="1"/>
  <c r="F36" i="13" s="1"/>
  <c r="F41" i="13"/>
  <c r="F43" i="13"/>
  <c r="F44" i="13"/>
  <c r="F45" i="13"/>
  <c r="F46" i="13"/>
  <c r="F47" i="13"/>
  <c r="F48" i="13"/>
  <c r="F49" i="13"/>
  <c r="F50" i="13"/>
  <c r="F57" i="13"/>
  <c r="F58" i="13"/>
  <c r="F59" i="13"/>
  <c r="F67" i="13"/>
  <c r="F68" i="13"/>
  <c r="F69" i="13"/>
  <c r="F70" i="13"/>
  <c r="F71" i="13"/>
  <c r="F72" i="13"/>
  <c r="F73" i="13"/>
  <c r="F74" i="13"/>
  <c r="F78" i="13"/>
  <c r="F79" i="13"/>
  <c r="F80" i="13"/>
  <c r="F81" i="13"/>
  <c r="F82" i="13"/>
  <c r="F91" i="13"/>
  <c r="F92" i="13"/>
  <c r="F93" i="13"/>
  <c r="F94" i="13"/>
  <c r="F95" i="13"/>
  <c r="F96" i="13"/>
  <c r="F97" i="13"/>
  <c r="F98" i="13"/>
  <c r="E4" i="13"/>
  <c r="E5" i="13"/>
  <c r="E6" i="13"/>
  <c r="E7" i="13"/>
  <c r="E8" i="13"/>
  <c r="E9" i="13"/>
  <c r="E10" i="13"/>
  <c r="E11" i="13"/>
  <c r="E12" i="13"/>
  <c r="E16" i="13"/>
  <c r="E17" i="13"/>
  <c r="E18" i="13"/>
  <c r="E19" i="13"/>
  <c r="E20" i="13"/>
  <c r="E21" i="13"/>
  <c r="E25" i="13"/>
  <c r="E26" i="13"/>
  <c r="E27" i="13"/>
  <c r="E28" i="13"/>
  <c r="E32" i="13"/>
  <c r="E33" i="13"/>
  <c r="E37" i="13"/>
  <c r="E38" i="13" s="1"/>
  <c r="E36" i="13" s="1"/>
  <c r="E41" i="13"/>
  <c r="E43" i="13"/>
  <c r="E44" i="13"/>
  <c r="E45" i="13"/>
  <c r="E46" i="13"/>
  <c r="E47" i="13"/>
  <c r="E48" i="13"/>
  <c r="E49" i="13"/>
  <c r="E50" i="13"/>
  <c r="E57" i="13"/>
  <c r="E58" i="13"/>
  <c r="E59" i="13"/>
  <c r="E67" i="13"/>
  <c r="E68" i="13"/>
  <c r="E69" i="13"/>
  <c r="E70" i="13"/>
  <c r="E71" i="13"/>
  <c r="E72" i="13"/>
  <c r="E73" i="13"/>
  <c r="E74" i="13"/>
  <c r="E78" i="13"/>
  <c r="E79" i="13"/>
  <c r="E80" i="13"/>
  <c r="E81" i="13"/>
  <c r="E82" i="13"/>
  <c r="E91" i="13"/>
  <c r="E92" i="13"/>
  <c r="E93" i="13"/>
  <c r="E94" i="13"/>
  <c r="E95" i="13"/>
  <c r="E96" i="13"/>
  <c r="E97" i="13"/>
  <c r="E98" i="13"/>
  <c r="E101" i="13"/>
  <c r="D4" i="13"/>
  <c r="D5" i="13"/>
  <c r="D6" i="13"/>
  <c r="D7" i="13"/>
  <c r="D8" i="13"/>
  <c r="D9" i="13"/>
  <c r="D10" i="13"/>
  <c r="D11" i="13"/>
  <c r="D12" i="13"/>
  <c r="D16" i="13"/>
  <c r="D17" i="13"/>
  <c r="D18" i="13"/>
  <c r="D19" i="13"/>
  <c r="D20" i="13"/>
  <c r="D21" i="13"/>
  <c r="D25" i="13"/>
  <c r="D26" i="13"/>
  <c r="D27" i="13"/>
  <c r="D28" i="13"/>
  <c r="D32" i="13"/>
  <c r="D33" i="13"/>
  <c r="D37" i="13"/>
  <c r="D38" i="13" s="1"/>
  <c r="D41" i="13"/>
  <c r="D43" i="13"/>
  <c r="D44" i="13"/>
  <c r="D45" i="13"/>
  <c r="D46" i="13"/>
  <c r="D47" i="13"/>
  <c r="D48" i="13"/>
  <c r="D49" i="13"/>
  <c r="D50" i="13"/>
  <c r="D57" i="13"/>
  <c r="D58" i="13"/>
  <c r="D59" i="13"/>
  <c r="D67" i="13"/>
  <c r="D68" i="13"/>
  <c r="D69" i="13"/>
  <c r="D70" i="13"/>
  <c r="D71" i="13"/>
  <c r="D72" i="13"/>
  <c r="D73" i="13"/>
  <c r="D74" i="13"/>
  <c r="D78" i="13"/>
  <c r="D79" i="13"/>
  <c r="D80" i="13"/>
  <c r="D81" i="13"/>
  <c r="D82" i="13"/>
  <c r="D86" i="13"/>
  <c r="D87" i="13"/>
  <c r="D91" i="13"/>
  <c r="D92" i="13"/>
  <c r="D93" i="13"/>
  <c r="D94" i="13"/>
  <c r="D95" i="13"/>
  <c r="D97" i="13"/>
  <c r="D98" i="13"/>
  <c r="D102" i="13"/>
  <c r="D103" i="13" s="1"/>
  <c r="D101" i="13" s="1"/>
  <c r="C102" i="13"/>
  <c r="G125" i="19"/>
  <c r="AA123" i="19"/>
  <c r="V121" i="19"/>
  <c r="AA120" i="19"/>
  <c r="AB120" i="19" s="1"/>
  <c r="AC120" i="19" s="1"/>
  <c r="AD120" i="19" s="1"/>
  <c r="AE120" i="19" s="1"/>
  <c r="V118" i="19"/>
  <c r="N117" i="19"/>
  <c r="O117" i="19" s="1"/>
  <c r="P117" i="19" s="1"/>
  <c r="Q117" i="19" s="1"/>
  <c r="R117" i="19" s="1"/>
  <c r="S117" i="19" s="1"/>
  <c r="T117" i="19" s="1"/>
  <c r="U117" i="19" s="1"/>
  <c r="N139" i="19"/>
  <c r="O139" i="19" s="1"/>
  <c r="P139" i="19" s="1"/>
  <c r="Q139" i="19" s="1"/>
  <c r="R139" i="19" s="1"/>
  <c r="S139" i="19" s="1"/>
  <c r="T139" i="19" s="1"/>
  <c r="U139" i="19" s="1"/>
  <c r="C87" i="13"/>
  <c r="C86" i="13"/>
  <c r="H106" i="13"/>
  <c r="G106" i="13"/>
  <c r="F106" i="13"/>
  <c r="E106" i="13"/>
  <c r="D106" i="13"/>
  <c r="C98" i="13"/>
  <c r="C97" i="13"/>
  <c r="C96" i="13"/>
  <c r="C95" i="13"/>
  <c r="C94" i="13"/>
  <c r="C93" i="13"/>
  <c r="C92" i="13"/>
  <c r="C91" i="13"/>
  <c r="C82" i="13"/>
  <c r="C81" i="13"/>
  <c r="C80" i="13"/>
  <c r="C79" i="13"/>
  <c r="C78" i="13"/>
  <c r="H63" i="13"/>
  <c r="G63" i="13"/>
  <c r="F63" i="13"/>
  <c r="E63" i="13"/>
  <c r="H62" i="13"/>
  <c r="G62" i="13"/>
  <c r="F62" i="13"/>
  <c r="E62" i="13"/>
  <c r="H61" i="13"/>
  <c r="G61" i="13"/>
  <c r="F61" i="13"/>
  <c r="E61" i="13"/>
  <c r="H60" i="13"/>
  <c r="G60" i="13"/>
  <c r="F60" i="13"/>
  <c r="E60" i="13"/>
  <c r="D63" i="13"/>
  <c r="D62" i="13"/>
  <c r="D61" i="13"/>
  <c r="D60" i="13"/>
  <c r="C63" i="13"/>
  <c r="C62" i="13"/>
  <c r="C61" i="13"/>
  <c r="C60" i="13"/>
  <c r="C59" i="13"/>
  <c r="C58" i="13"/>
  <c r="C57" i="13"/>
  <c r="H2" i="13"/>
  <c r="G2" i="13"/>
  <c r="F2" i="13"/>
  <c r="E2" i="13"/>
  <c r="C2" i="13"/>
  <c r="D2" i="13"/>
  <c r="C25" i="13"/>
  <c r="C12" i="13"/>
  <c r="C11" i="13"/>
  <c r="C10" i="13"/>
  <c r="C9" i="13"/>
  <c r="C74" i="13"/>
  <c r="C73" i="13"/>
  <c r="C72" i="13"/>
  <c r="C71" i="13"/>
  <c r="C70" i="13"/>
  <c r="C69" i="13"/>
  <c r="C68" i="13"/>
  <c r="C67" i="13"/>
  <c r="C50" i="13"/>
  <c r="C49" i="13"/>
  <c r="C48" i="13"/>
  <c r="C47" i="13"/>
  <c r="C46" i="13"/>
  <c r="C45" i="13"/>
  <c r="C44" i="13"/>
  <c r="C43" i="13"/>
  <c r="C41" i="13"/>
  <c r="C37" i="13"/>
  <c r="C33" i="13"/>
  <c r="C32" i="13"/>
  <c r="C26" i="13"/>
  <c r="C5" i="13"/>
  <c r="C4" i="13"/>
  <c r="C16" i="13"/>
  <c r="C28" i="13"/>
  <c r="C27" i="13"/>
  <c r="C21" i="13"/>
  <c r="C20" i="13"/>
  <c r="C19" i="13"/>
  <c r="C18" i="13"/>
  <c r="C17" i="13"/>
  <c r="C8" i="13"/>
  <c r="C7" i="13"/>
  <c r="C6" i="13"/>
  <c r="M164" i="19"/>
  <c r="X164" i="19"/>
  <c r="X162" i="19" s="1"/>
  <c r="N162" i="19" s="1"/>
  <c r="N164" i="19" s="1"/>
  <c r="M68" i="19"/>
  <c r="X68" i="19"/>
  <c r="X66" i="19" s="1"/>
  <c r="N66" i="19" s="1"/>
  <c r="N68" i="19" s="1"/>
  <c r="M65" i="19"/>
  <c r="X65" i="19"/>
  <c r="K16" i="16"/>
  <c r="J16" i="16" s="1"/>
  <c r="E29" i="16"/>
  <c r="E30" i="16" s="1"/>
  <c r="E19" i="16"/>
  <c r="E20" i="16" s="1"/>
  <c r="Q45" i="16"/>
  <c r="J23" i="16" s="1"/>
  <c r="H3" i="5"/>
  <c r="J3" i="5"/>
  <c r="E124" i="16"/>
  <c r="E194" i="16"/>
  <c r="E111" i="16"/>
  <c r="E74" i="16"/>
  <c r="E68" i="16"/>
  <c r="E72" i="16"/>
  <c r="E77" i="16"/>
  <c r="E94" i="16"/>
  <c r="F94" i="16" s="1"/>
  <c r="E82" i="16"/>
  <c r="E86" i="16"/>
  <c r="E88" i="16"/>
  <c r="E91" i="16"/>
  <c r="E44" i="16"/>
  <c r="E48" i="16"/>
  <c r="E58" i="16" s="1"/>
  <c r="E61" i="16"/>
  <c r="F61" i="16" s="1"/>
  <c r="E54" i="16"/>
  <c r="E36" i="16"/>
  <c r="F36" i="16" s="1"/>
  <c r="Q28" i="16"/>
  <c r="Q31" i="16"/>
  <c r="J21" i="16" s="1"/>
  <c r="A185" i="19"/>
  <c r="W8" i="16"/>
  <c r="W7" i="16"/>
  <c r="W6" i="16"/>
  <c r="W5" i="16"/>
  <c r="U8" i="16"/>
  <c r="U7" i="16"/>
  <c r="U6" i="16"/>
  <c r="U5" i="16"/>
  <c r="L3" i="5"/>
  <c r="L19" i="5"/>
  <c r="L20" i="5"/>
  <c r="L21" i="5"/>
  <c r="L22" i="5"/>
  <c r="H14" i="14"/>
  <c r="H15" i="14" s="1"/>
  <c r="K15" i="14"/>
  <c r="K14" i="14"/>
  <c r="K13" i="14"/>
  <c r="K12" i="14"/>
  <c r="E51" i="14"/>
  <c r="E50" i="14"/>
  <c r="D31" i="14"/>
  <c r="E31" i="14" s="1"/>
  <c r="L18" i="5"/>
  <c r="J18" i="5"/>
  <c r="H18" i="5"/>
  <c r="G10" i="20"/>
  <c r="C10" i="20" s="1"/>
  <c r="C173" i="19"/>
  <c r="C162" i="19"/>
  <c r="C140" i="19"/>
  <c r="C107" i="19"/>
  <c r="C96" i="19"/>
  <c r="C85" i="19"/>
  <c r="C74" i="19"/>
  <c r="C63" i="19"/>
  <c r="C52" i="19"/>
  <c r="C41" i="19"/>
  <c r="C30" i="19"/>
  <c r="C19" i="19"/>
  <c r="D17" i="14"/>
  <c r="F14" i="14"/>
  <c r="D19" i="21"/>
  <c r="C1" i="6"/>
  <c r="D1" i="6" s="1"/>
  <c r="E1" i="6" s="1"/>
  <c r="F1" i="6"/>
  <c r="G1" i="6" s="1"/>
  <c r="H1" i="6" s="1"/>
  <c r="I1" i="6" s="1"/>
  <c r="J1" i="6" s="1"/>
  <c r="K1" i="6" s="1"/>
  <c r="L1" i="6" s="1"/>
  <c r="M1" i="6" s="1"/>
  <c r="N1" i="6" s="1"/>
  <c r="O1" i="6" s="1"/>
  <c r="P1" i="6" s="1"/>
  <c r="Q1" i="6" s="1"/>
  <c r="R1" i="6" s="1"/>
  <c r="E37" i="14"/>
  <c r="E36" i="14"/>
  <c r="E35" i="14"/>
  <c r="Q36" i="16"/>
  <c r="Q40" i="16" s="1"/>
  <c r="C27" i="20"/>
  <c r="C23" i="20" s="1"/>
  <c r="E16" i="7"/>
  <c r="J115" i="16"/>
  <c r="I115" i="16"/>
  <c r="J30" i="7"/>
  <c r="J29" i="7"/>
  <c r="J28" i="7"/>
  <c r="J27" i="7"/>
  <c r="Q22" i="16"/>
  <c r="B167" i="19"/>
  <c r="AF167" i="19" s="1"/>
  <c r="G48" i="16"/>
  <c r="AF164" i="19"/>
  <c r="AF65" i="19"/>
  <c r="AF161" i="19"/>
  <c r="AF62" i="19"/>
  <c r="J65" i="19"/>
  <c r="J68" i="19"/>
  <c r="G180" i="19"/>
  <c r="G169" i="19"/>
  <c r="G70" i="19"/>
  <c r="V176" i="19"/>
  <c r="V173" i="19"/>
  <c r="V165" i="19"/>
  <c r="V162" i="19"/>
  <c r="V143" i="19"/>
  <c r="V140" i="19"/>
  <c r="V110" i="19"/>
  <c r="V107" i="19"/>
  <c r="V99" i="19"/>
  <c r="V96" i="19"/>
  <c r="V88" i="19"/>
  <c r="V85" i="19"/>
  <c r="V77" i="19"/>
  <c r="V74" i="19"/>
  <c r="V66" i="19"/>
  <c r="V63" i="19"/>
  <c r="V55" i="19"/>
  <c r="V52" i="19"/>
  <c r="V44" i="19"/>
  <c r="V41" i="19"/>
  <c r="V33" i="19"/>
  <c r="V30" i="19"/>
  <c r="V22" i="19"/>
  <c r="V19" i="19"/>
  <c r="V11" i="19"/>
  <c r="V8" i="19"/>
  <c r="K167" i="19"/>
  <c r="V167" i="19" s="1"/>
  <c r="J167" i="19"/>
  <c r="K164" i="19"/>
  <c r="V164" i="19" s="1"/>
  <c r="J164" i="19"/>
  <c r="N172" i="19"/>
  <c r="O172" i="19" s="1"/>
  <c r="P172" i="19" s="1"/>
  <c r="Q172" i="19" s="1"/>
  <c r="R172" i="19" s="1"/>
  <c r="S172" i="19" s="1"/>
  <c r="T172" i="19" s="1"/>
  <c r="U172" i="19" s="1"/>
  <c r="N161" i="19"/>
  <c r="O161" i="19" s="1"/>
  <c r="P161" i="19" s="1"/>
  <c r="Q161" i="19" s="1"/>
  <c r="R161" i="19" s="1"/>
  <c r="S161" i="19" s="1"/>
  <c r="T161" i="19" s="1"/>
  <c r="U161" i="19" s="1"/>
  <c r="N106" i="19"/>
  <c r="O106" i="19" s="1"/>
  <c r="P106" i="19" s="1"/>
  <c r="Q106" i="19" s="1"/>
  <c r="R106" i="19" s="1"/>
  <c r="S106" i="19" s="1"/>
  <c r="T106" i="19" s="1"/>
  <c r="U106" i="19" s="1"/>
  <c r="N95" i="19"/>
  <c r="O95" i="19" s="1"/>
  <c r="P95" i="19" s="1"/>
  <c r="Q95" i="19" s="1"/>
  <c r="R95" i="19" s="1"/>
  <c r="S95" i="19" s="1"/>
  <c r="T95" i="19" s="1"/>
  <c r="U95" i="19" s="1"/>
  <c r="N84" i="19"/>
  <c r="O84" i="19" s="1"/>
  <c r="P84" i="19" s="1"/>
  <c r="Q84" i="19" s="1"/>
  <c r="R84" i="19" s="1"/>
  <c r="S84" i="19" s="1"/>
  <c r="T84" i="19" s="1"/>
  <c r="U84" i="19" s="1"/>
  <c r="N73" i="19"/>
  <c r="O73" i="19" s="1"/>
  <c r="P73" i="19" s="1"/>
  <c r="Q73" i="19" s="1"/>
  <c r="R73" i="19" s="1"/>
  <c r="S73" i="19" s="1"/>
  <c r="T73" i="19" s="1"/>
  <c r="U73" i="19" s="1"/>
  <c r="B68" i="19"/>
  <c r="AF68" i="19" s="1"/>
  <c r="N62" i="19"/>
  <c r="O62" i="19" s="1"/>
  <c r="P62" i="19" s="1"/>
  <c r="Q62" i="19" s="1"/>
  <c r="R62" i="19" s="1"/>
  <c r="S62" i="19" s="1"/>
  <c r="T62" i="19" s="1"/>
  <c r="U62" i="19" s="1"/>
  <c r="N51" i="19"/>
  <c r="O51" i="19" s="1"/>
  <c r="P51" i="19" s="1"/>
  <c r="Q51" i="19" s="1"/>
  <c r="R51" i="19" s="1"/>
  <c r="S51" i="19" s="1"/>
  <c r="T51" i="19" s="1"/>
  <c r="U51" i="19" s="1"/>
  <c r="N40" i="19"/>
  <c r="O40" i="19" s="1"/>
  <c r="P40" i="19" s="1"/>
  <c r="Q40" i="19" s="1"/>
  <c r="R40" i="19" s="1"/>
  <c r="S40" i="19" s="1"/>
  <c r="T40" i="19" s="1"/>
  <c r="U40" i="19" s="1"/>
  <c r="N29" i="19"/>
  <c r="O29" i="19" s="1"/>
  <c r="P29" i="19" s="1"/>
  <c r="Q29" i="19" s="1"/>
  <c r="R29" i="19" s="1"/>
  <c r="S29" i="19" s="1"/>
  <c r="T29" i="19" s="1"/>
  <c r="U29" i="19" s="1"/>
  <c r="N18" i="19"/>
  <c r="O18" i="19" s="1"/>
  <c r="P18" i="19" s="1"/>
  <c r="Q18" i="19" s="1"/>
  <c r="R18" i="19" s="1"/>
  <c r="S18" i="19" s="1"/>
  <c r="T18" i="19" s="1"/>
  <c r="U18" i="19" s="1"/>
  <c r="N7" i="19"/>
  <c r="O7" i="19" s="1"/>
  <c r="P7" i="19" s="1"/>
  <c r="Q7" i="19" s="1"/>
  <c r="R7" i="19" s="1"/>
  <c r="S7" i="19" s="1"/>
  <c r="T7" i="19" s="1"/>
  <c r="U7" i="19" s="1"/>
  <c r="F13" i="14"/>
  <c r="E38" i="14"/>
  <c r="E40" i="14"/>
  <c r="E45" i="14"/>
  <c r="E49" i="14"/>
  <c r="E60" i="14"/>
  <c r="E69" i="14"/>
  <c r="E70" i="14"/>
  <c r="F5" i="7"/>
  <c r="H5" i="7"/>
  <c r="J5" i="7"/>
  <c r="L5" i="7"/>
  <c r="E8" i="7"/>
  <c r="E14" i="7"/>
  <c r="E15" i="7"/>
  <c r="C27" i="7"/>
  <c r="C28" i="7" s="1"/>
  <c r="C29" i="7" s="1"/>
  <c r="C30" i="7" s="1"/>
  <c r="C31" i="7" s="1"/>
  <c r="C32" i="7" s="1"/>
  <c r="C33" i="7" s="1"/>
  <c r="C34" i="7" s="1"/>
  <c r="C35" i="7" s="1"/>
  <c r="C36" i="7" s="1"/>
  <c r="C37" i="7" s="1"/>
  <c r="C38" i="7" s="1"/>
  <c r="C39" i="7" s="1"/>
  <c r="C40" i="7" s="1"/>
  <c r="C41" i="7" s="1"/>
  <c r="C42" i="7" s="1"/>
  <c r="C43" i="7" s="1"/>
  <c r="C44" i="7" s="1"/>
  <c r="C45" i="7" s="1"/>
  <c r="C46" i="7" s="1"/>
  <c r="C47" i="7" s="1"/>
  <c r="C48" i="7" s="1"/>
  <c r="C49" i="7" s="1"/>
  <c r="C50" i="7" s="1"/>
  <c r="G27" i="7"/>
  <c r="F28" i="7"/>
  <c r="G28" i="7" s="1"/>
  <c r="F29" i="7"/>
  <c r="G29" i="7" s="1"/>
  <c r="F30" i="7"/>
  <c r="G30" i="7" s="1"/>
  <c r="F31" i="7"/>
  <c r="G31" i="7" s="1"/>
  <c r="F32" i="7"/>
  <c r="G32" i="7" s="1"/>
  <c r="K28" i="7"/>
  <c r="F33" i="7"/>
  <c r="G33" i="7" s="1"/>
  <c r="F34" i="7"/>
  <c r="G34" i="7" s="1"/>
  <c r="F35" i="7"/>
  <c r="G35" i="7" s="1"/>
  <c r="F36" i="7"/>
  <c r="G36" i="7"/>
  <c r="F37" i="7"/>
  <c r="K29" i="7"/>
  <c r="J36" i="7" s="1"/>
  <c r="F38" i="7"/>
  <c r="G38" i="7" s="1"/>
  <c r="F39" i="7"/>
  <c r="G39" i="7" s="1"/>
  <c r="F40" i="7"/>
  <c r="G40" i="7" s="1"/>
  <c r="F41" i="7"/>
  <c r="G41" i="7"/>
  <c r="F42" i="7"/>
  <c r="G42" i="7" s="1"/>
  <c r="F43" i="7"/>
  <c r="K30" i="7"/>
  <c r="L30" i="7" s="1"/>
  <c r="F44" i="7"/>
  <c r="G44" i="7" s="1"/>
  <c r="F45" i="7"/>
  <c r="G45" i="7" s="1"/>
  <c r="F46" i="7"/>
  <c r="G46" i="7" s="1"/>
  <c r="F47" i="7"/>
  <c r="G47" i="7" s="1"/>
  <c r="F48" i="7"/>
  <c r="G48" i="7" s="1"/>
  <c r="F49" i="7"/>
  <c r="G49" i="7"/>
  <c r="F50" i="7"/>
  <c r="G50" i="7" s="1"/>
  <c r="F56" i="7"/>
  <c r="F57" i="7"/>
  <c r="F58" i="7"/>
  <c r="F59" i="7"/>
  <c r="F60" i="7"/>
  <c r="F61" i="7"/>
  <c r="F62" i="7"/>
  <c r="F63" i="7"/>
  <c r="F64" i="7"/>
  <c r="F65" i="7"/>
  <c r="F66" i="7"/>
  <c r="F67" i="7"/>
  <c r="F68" i="7"/>
  <c r="F69" i="7"/>
  <c r="F70" i="7"/>
  <c r="F71" i="7"/>
  <c r="F72" i="7"/>
  <c r="F73" i="7"/>
  <c r="F74" i="7"/>
  <c r="F75" i="7"/>
  <c r="F76" i="7"/>
  <c r="F77" i="7"/>
  <c r="F78" i="7"/>
  <c r="F79" i="7"/>
  <c r="F80" i="7"/>
  <c r="F81" i="7"/>
  <c r="F82" i="7"/>
  <c r="H91" i="7"/>
  <c r="H92" i="7"/>
  <c r="H93" i="7"/>
  <c r="H94" i="7"/>
  <c r="H95" i="7"/>
  <c r="H96" i="7"/>
  <c r="H97" i="7"/>
  <c r="Q20" i="16"/>
  <c r="Q21" i="16"/>
  <c r="Q29" i="16"/>
  <c r="Q32" i="16" s="1"/>
  <c r="J22" i="16" s="1"/>
  <c r="J25" i="16"/>
  <c r="E200" i="16"/>
  <c r="E204" i="16" s="1"/>
  <c r="E201" i="16"/>
  <c r="E202" i="16"/>
  <c r="C7" i="18"/>
  <c r="C9" i="18" s="1"/>
  <c r="C16" i="18"/>
  <c r="C18" i="18" s="1"/>
  <c r="C20" i="18" s="1"/>
  <c r="C31" i="18"/>
  <c r="C41" i="18"/>
  <c r="C46" i="18"/>
  <c r="G43" i="7"/>
  <c r="K65" i="19"/>
  <c r="V65" i="19" s="1"/>
  <c r="K68" i="19"/>
  <c r="V68" i="19" s="1"/>
  <c r="G37" i="7"/>
  <c r="L28" i="7"/>
  <c r="K27" i="7"/>
  <c r="L27" i="7" s="1"/>
  <c r="E99" i="7"/>
  <c r="E19" i="7" s="1"/>
  <c r="D68" i="14" l="1"/>
  <c r="E68" i="14" s="1"/>
  <c r="D54" i="14"/>
  <c r="E54" i="14" s="1"/>
  <c r="D6" i="14"/>
  <c r="G6" i="20"/>
  <c r="E84" i="16"/>
  <c r="E90" i="16" s="1"/>
  <c r="E92" i="16" s="1"/>
  <c r="E5" i="19"/>
  <c r="D52" i="14"/>
  <c r="E52" i="14" s="1"/>
  <c r="E125" i="16"/>
  <c r="D67" i="14"/>
  <c r="E67" i="14" s="1"/>
  <c r="T72" i="6"/>
  <c r="T4" i="6"/>
  <c r="I178" i="19"/>
  <c r="I175" i="19"/>
  <c r="H178" i="19"/>
  <c r="H175" i="19"/>
  <c r="D88" i="13"/>
  <c r="D85" i="13" s="1"/>
  <c r="H134" i="19"/>
  <c r="B134" i="19" s="1"/>
  <c r="AF134" i="19" s="1"/>
  <c r="I134" i="19"/>
  <c r="K134" i="19" s="1"/>
  <c r="V134" i="19" s="1"/>
  <c r="I131" i="19"/>
  <c r="K131" i="19" s="1"/>
  <c r="V131" i="19" s="1"/>
  <c r="H131" i="19"/>
  <c r="AF128" i="19" s="1"/>
  <c r="M134" i="19"/>
  <c r="H120" i="19"/>
  <c r="I120" i="19"/>
  <c r="I123" i="19"/>
  <c r="H123" i="19"/>
  <c r="E206" i="16"/>
  <c r="D36" i="13"/>
  <c r="G58" i="19"/>
  <c r="G59" i="19" s="1"/>
  <c r="G34" i="13"/>
  <c r="H34" i="13"/>
  <c r="H31" i="13" s="1"/>
  <c r="J37" i="7"/>
  <c r="Q24" i="16"/>
  <c r="J20" i="16" s="1"/>
  <c r="J34" i="7"/>
  <c r="Q23" i="16"/>
  <c r="J19" i="16" s="1"/>
  <c r="S1" i="6"/>
  <c r="T1" i="6" s="1"/>
  <c r="U1" i="6" s="1"/>
  <c r="V1" i="6" s="1"/>
  <c r="W1" i="6" s="1"/>
  <c r="X1" i="6" s="1"/>
  <c r="L29" i="7"/>
  <c r="L26" i="5"/>
  <c r="Y68" i="19"/>
  <c r="Z68" i="19" s="1"/>
  <c r="AA68" i="19" s="1"/>
  <c r="AB68" i="19" s="1"/>
  <c r="AC68" i="19" s="1"/>
  <c r="AD68" i="19" s="1"/>
  <c r="AE68" i="19" s="1"/>
  <c r="T56" i="6"/>
  <c r="T88" i="6"/>
  <c r="I6" i="16"/>
  <c r="H26" i="5"/>
  <c r="D34" i="13"/>
  <c r="D31" i="13" s="1"/>
  <c r="H29" i="13"/>
  <c r="T24" i="6"/>
  <c r="J156" i="19"/>
  <c r="G101" i="13"/>
  <c r="D75" i="13"/>
  <c r="D66" i="13" s="1"/>
  <c r="E99" i="13"/>
  <c r="E90" i="13" s="1"/>
  <c r="G83" i="13"/>
  <c r="D99" i="13"/>
  <c r="D90" i="13" s="1"/>
  <c r="G75" i="13"/>
  <c r="F101" i="13"/>
  <c r="G99" i="13"/>
  <c r="G90" i="13" s="1"/>
  <c r="H75" i="13"/>
  <c r="H66" i="13" s="1"/>
  <c r="G31" i="13"/>
  <c r="F99" i="13"/>
  <c r="F13" i="13"/>
  <c r="G29" i="13"/>
  <c r="G88" i="13"/>
  <c r="D13" i="13"/>
  <c r="E75" i="13"/>
  <c r="F64" i="13"/>
  <c r="F22" i="13"/>
  <c r="H13" i="13"/>
  <c r="D83" i="13"/>
  <c r="E29" i="13"/>
  <c r="F54" i="13"/>
  <c r="H54" i="13"/>
  <c r="H40" i="13" s="1"/>
  <c r="D22" i="13"/>
  <c r="E83" i="13"/>
  <c r="F29" i="13"/>
  <c r="H22" i="13"/>
  <c r="G64" i="13"/>
  <c r="G56" i="13" s="1"/>
  <c r="D64" i="13"/>
  <c r="E64" i="13"/>
  <c r="D29" i="13"/>
  <c r="E34" i="13"/>
  <c r="E22" i="13"/>
  <c r="F83" i="13"/>
  <c r="F75" i="13"/>
  <c r="E88" i="13"/>
  <c r="H64" i="13"/>
  <c r="H83" i="13"/>
  <c r="E133" i="16"/>
  <c r="E134" i="16" s="1"/>
  <c r="E179" i="16"/>
  <c r="E167" i="16"/>
  <c r="E155" i="16"/>
  <c r="E143" i="16"/>
  <c r="E131" i="16"/>
  <c r="F5" i="19"/>
  <c r="E102" i="16"/>
  <c r="E103" i="16" s="1"/>
  <c r="E46" i="16"/>
  <c r="E47" i="16" s="1"/>
  <c r="E49" i="16" s="1"/>
  <c r="E62" i="16" s="1"/>
  <c r="D7" i="14"/>
  <c r="E126" i="16"/>
  <c r="E56" i="16"/>
  <c r="E57" i="16" s="1"/>
  <c r="E59" i="16" s="1"/>
  <c r="E108" i="16"/>
  <c r="E109" i="16" s="1"/>
  <c r="J26" i="5"/>
  <c r="F21" i="5"/>
  <c r="K36" i="7" s="1"/>
  <c r="E205" i="16"/>
  <c r="E33" i="16"/>
  <c r="E34" i="16" s="1"/>
  <c r="F111" i="16"/>
  <c r="E5" i="7"/>
  <c r="X165" i="19"/>
  <c r="N165" i="19" s="1"/>
  <c r="N167" i="19" s="1"/>
  <c r="Y165" i="19" s="1"/>
  <c r="O165" i="19" s="1"/>
  <c r="Y164" i="19"/>
  <c r="Z164" i="19" s="1"/>
  <c r="AA164" i="19" s="1"/>
  <c r="AB164" i="19" s="1"/>
  <c r="AC164" i="19" s="1"/>
  <c r="AD164" i="19" s="1"/>
  <c r="AE164" i="19" s="1"/>
  <c r="J131" i="19"/>
  <c r="J134" i="19"/>
  <c r="M131" i="19"/>
  <c r="AF131" i="19"/>
  <c r="X134" i="19"/>
  <c r="D9" i="14"/>
  <c r="E181" i="16"/>
  <c r="E182" i="16" s="1"/>
  <c r="E203" i="16"/>
  <c r="E157" i="16"/>
  <c r="E158" i="16" s="1"/>
  <c r="E145" i="16"/>
  <c r="E146" i="16" s="1"/>
  <c r="E169" i="16"/>
  <c r="E170" i="16" s="1"/>
  <c r="AI10" i="19"/>
  <c r="AO10" i="19" s="1"/>
  <c r="G6" i="16"/>
  <c r="E76" i="16"/>
  <c r="E78" i="16" s="1"/>
  <c r="H6" i="16"/>
  <c r="AC167" i="19"/>
  <c r="G13" i="13"/>
  <c r="F3" i="13"/>
  <c r="AD131" i="19"/>
  <c r="X63" i="19"/>
  <c r="N63" i="19" s="1"/>
  <c r="N65" i="19" s="1"/>
  <c r="Y65" i="19"/>
  <c r="H85" i="13"/>
  <c r="E31" i="16"/>
  <c r="E32" i="16" s="1"/>
  <c r="E23" i="16"/>
  <c r="E21" i="16"/>
  <c r="E22" i="16" s="1"/>
  <c r="Y66" i="19"/>
  <c r="O66" i="19" s="1"/>
  <c r="AB123" i="19"/>
  <c r="AD134" i="19"/>
  <c r="E54" i="13"/>
  <c r="E85" i="13"/>
  <c r="T28" i="6"/>
  <c r="T60" i="6"/>
  <c r="T92" i="6"/>
  <c r="F20" i="5"/>
  <c r="K35" i="7" s="1"/>
  <c r="H101" i="13"/>
  <c r="G85" i="13"/>
  <c r="T32" i="6"/>
  <c r="T64" i="6"/>
  <c r="T96" i="6"/>
  <c r="F88" i="13"/>
  <c r="T36" i="6"/>
  <c r="T68" i="6"/>
  <c r="T100" i="6"/>
  <c r="F19" i="5"/>
  <c r="K34" i="7" s="1"/>
  <c r="M153" i="19"/>
  <c r="AF150" i="19"/>
  <c r="J153" i="19"/>
  <c r="D57" i="14"/>
  <c r="E57" i="14" s="1"/>
  <c r="AI3" i="19"/>
  <c r="AI8" i="19" s="1"/>
  <c r="AM8" i="19" s="1"/>
  <c r="T8" i="6"/>
  <c r="T40" i="6"/>
  <c r="T99" i="6"/>
  <c r="T95" i="6"/>
  <c r="T91" i="6"/>
  <c r="T87" i="6"/>
  <c r="T83" i="6"/>
  <c r="T79" i="6"/>
  <c r="T75" i="6"/>
  <c r="T71" i="6"/>
  <c r="T67" i="6"/>
  <c r="T63" i="6"/>
  <c r="T59" i="6"/>
  <c r="T55" i="6"/>
  <c r="T51" i="6"/>
  <c r="T47" i="6"/>
  <c r="T43" i="6"/>
  <c r="T39" i="6"/>
  <c r="T35" i="6"/>
  <c r="T31" i="6"/>
  <c r="T27" i="6"/>
  <c r="T23" i="6"/>
  <c r="T19" i="6"/>
  <c r="T15" i="6"/>
  <c r="T11" i="6"/>
  <c r="T7" i="6"/>
  <c r="T98" i="6"/>
  <c r="T94" i="6"/>
  <c r="T90" i="6"/>
  <c r="T86" i="6"/>
  <c r="T82" i="6"/>
  <c r="T78" i="6"/>
  <c r="T74" i="6"/>
  <c r="T70" i="6"/>
  <c r="T66" i="6"/>
  <c r="T62" i="6"/>
  <c r="T58" i="6"/>
  <c r="T54" i="6"/>
  <c r="T50" i="6"/>
  <c r="T46" i="6"/>
  <c r="T42" i="6"/>
  <c r="T38" i="6"/>
  <c r="T34" i="6"/>
  <c r="T30" i="6"/>
  <c r="T26" i="6"/>
  <c r="T22" i="6"/>
  <c r="T18" i="6"/>
  <c r="T14" i="6"/>
  <c r="T10" i="6"/>
  <c r="T6" i="6"/>
  <c r="T101" i="6"/>
  <c r="T97" i="6"/>
  <c r="T93" i="6"/>
  <c r="T89" i="6"/>
  <c r="T85" i="6"/>
  <c r="T81" i="6"/>
  <c r="T77" i="6"/>
  <c r="T73" i="6"/>
  <c r="T69" i="6"/>
  <c r="T65" i="6"/>
  <c r="T61" i="6"/>
  <c r="T57" i="6"/>
  <c r="T53" i="6"/>
  <c r="T49" i="6"/>
  <c r="T45" i="6"/>
  <c r="T41" i="6"/>
  <c r="T37" i="6"/>
  <c r="T33" i="6"/>
  <c r="T29" i="6"/>
  <c r="T25" i="6"/>
  <c r="T21" i="6"/>
  <c r="T17" i="6"/>
  <c r="T13" i="6"/>
  <c r="T9" i="6"/>
  <c r="T5" i="6"/>
  <c r="H99" i="13"/>
  <c r="K153" i="19"/>
  <c r="V153" i="19" s="1"/>
  <c r="X153" i="19"/>
  <c r="T12" i="6"/>
  <c r="T44" i="6"/>
  <c r="T76" i="6"/>
  <c r="U99" i="6"/>
  <c r="U95" i="6"/>
  <c r="U91" i="6"/>
  <c r="U87" i="6"/>
  <c r="U83" i="6"/>
  <c r="U79" i="6"/>
  <c r="U75" i="6"/>
  <c r="U71" i="6"/>
  <c r="U67" i="6"/>
  <c r="U63" i="6"/>
  <c r="U59" i="6"/>
  <c r="U55" i="6"/>
  <c r="U51" i="6"/>
  <c r="U47" i="6"/>
  <c r="U43" i="6"/>
  <c r="U39" i="6"/>
  <c r="U35" i="6"/>
  <c r="U31" i="6"/>
  <c r="U27" i="6"/>
  <c r="U23" i="6"/>
  <c r="U19" i="6"/>
  <c r="U15" i="6"/>
  <c r="U11" i="6"/>
  <c r="U7" i="6"/>
  <c r="U98" i="6"/>
  <c r="U94" i="6"/>
  <c r="U90" i="6"/>
  <c r="U86" i="6"/>
  <c r="U82" i="6"/>
  <c r="U78" i="6"/>
  <c r="U74" i="6"/>
  <c r="U70" i="6"/>
  <c r="U66" i="6"/>
  <c r="U62" i="6"/>
  <c r="U58" i="6"/>
  <c r="U54" i="6"/>
  <c r="U50" i="6"/>
  <c r="U46" i="6"/>
  <c r="U42" i="6"/>
  <c r="U38" i="6"/>
  <c r="U34" i="6"/>
  <c r="U30" i="6"/>
  <c r="U26" i="6"/>
  <c r="U22" i="6"/>
  <c r="U18" i="6"/>
  <c r="U14" i="6"/>
  <c r="U10" i="6"/>
  <c r="U6" i="6"/>
  <c r="U101" i="6"/>
  <c r="U97" i="6"/>
  <c r="U93" i="6"/>
  <c r="U89" i="6"/>
  <c r="U85" i="6"/>
  <c r="U81" i="6"/>
  <c r="U77" i="6"/>
  <c r="U73" i="6"/>
  <c r="U69" i="6"/>
  <c r="U65" i="6"/>
  <c r="U61" i="6"/>
  <c r="U57" i="6"/>
  <c r="U53" i="6"/>
  <c r="U49" i="6"/>
  <c r="U45" i="6"/>
  <c r="U41" i="6"/>
  <c r="U37" i="6"/>
  <c r="U33" i="6"/>
  <c r="U29" i="6"/>
  <c r="U25" i="6"/>
  <c r="U21" i="6"/>
  <c r="U17" i="6"/>
  <c r="U13" i="6"/>
  <c r="U9" i="6"/>
  <c r="U5" i="6"/>
  <c r="U100" i="6"/>
  <c r="U96" i="6"/>
  <c r="U92" i="6"/>
  <c r="U88" i="6"/>
  <c r="U84" i="6"/>
  <c r="U80" i="6"/>
  <c r="U76" i="6"/>
  <c r="U72" i="6"/>
  <c r="U68" i="6"/>
  <c r="U64" i="6"/>
  <c r="U60" i="6"/>
  <c r="U56" i="6"/>
  <c r="U52" i="6"/>
  <c r="U48" i="6"/>
  <c r="U44" i="6"/>
  <c r="U40" i="6"/>
  <c r="U36" i="6"/>
  <c r="U32" i="6"/>
  <c r="U28" i="6"/>
  <c r="U24" i="6"/>
  <c r="U20" i="6"/>
  <c r="U16" i="6"/>
  <c r="U12" i="6"/>
  <c r="U8" i="6"/>
  <c r="U4" i="6"/>
  <c r="D54" i="13"/>
  <c r="G80" i="19" s="1"/>
  <c r="F22" i="5"/>
  <c r="K37" i="7" s="1"/>
  <c r="G66" i="13"/>
  <c r="H77" i="13"/>
  <c r="T16" i="6"/>
  <c r="T48" i="6"/>
  <c r="T80" i="6"/>
  <c r="E13" i="13"/>
  <c r="G54" i="13"/>
  <c r="G22" i="13"/>
  <c r="E4" i="7"/>
  <c r="T20" i="6"/>
  <c r="T52" i="6"/>
  <c r="T84" i="6"/>
  <c r="I97" i="7"/>
  <c r="I99" i="7" s="1"/>
  <c r="E18" i="7" s="1"/>
  <c r="D53" i="14" s="1"/>
  <c r="E53" i="14" s="1"/>
  <c r="J175" i="19" l="1"/>
  <c r="M175" i="19"/>
  <c r="AF172" i="19"/>
  <c r="AF175" i="19"/>
  <c r="B178" i="19"/>
  <c r="AF178" i="19" s="1"/>
  <c r="M178" i="19"/>
  <c r="J178" i="19"/>
  <c r="X175" i="19"/>
  <c r="Y175" i="19" s="1"/>
  <c r="Z175" i="19" s="1"/>
  <c r="AA175" i="19" s="1"/>
  <c r="AB175" i="19" s="1"/>
  <c r="AC175" i="19" s="1"/>
  <c r="AD175" i="19" s="1"/>
  <c r="AE175" i="19" s="1"/>
  <c r="K175" i="19"/>
  <c r="V175" i="19" s="1"/>
  <c r="X178" i="19"/>
  <c r="K178" i="19"/>
  <c r="V178" i="19" s="1"/>
  <c r="X131" i="19"/>
  <c r="G146" i="19"/>
  <c r="G147" i="19" s="1"/>
  <c r="H145" i="19" s="1"/>
  <c r="AF142" i="19" s="1"/>
  <c r="G102" i="19"/>
  <c r="G103" i="19" s="1"/>
  <c r="I54" i="19"/>
  <c r="H54" i="19"/>
  <c r="I57" i="19"/>
  <c r="K57" i="19" s="1"/>
  <c r="V57" i="19" s="1"/>
  <c r="H57" i="19"/>
  <c r="I98" i="19"/>
  <c r="H98" i="19"/>
  <c r="H101" i="19"/>
  <c r="M101" i="19" s="1"/>
  <c r="I101" i="19"/>
  <c r="X101" i="19" s="1"/>
  <c r="Y101" i="19" s="1"/>
  <c r="G47" i="19"/>
  <c r="G48" i="19" s="1"/>
  <c r="E147" i="16"/>
  <c r="E149" i="16" s="1"/>
  <c r="E150" i="16" s="1"/>
  <c r="E152" i="16" s="1"/>
  <c r="E153" i="16" s="1"/>
  <c r="E171" i="16"/>
  <c r="E173" i="16" s="1"/>
  <c r="E174" i="16" s="1"/>
  <c r="E176" i="16" s="1"/>
  <c r="E177" i="16" s="1"/>
  <c r="X129" i="19"/>
  <c r="N129" i="19" s="1"/>
  <c r="N131" i="19" s="1"/>
  <c r="M156" i="19"/>
  <c r="B156" i="19"/>
  <c r="AF156" i="19" s="1"/>
  <c r="AF153" i="19"/>
  <c r="Y162" i="19"/>
  <c r="O162" i="19" s="1"/>
  <c r="O164" i="19" s="1"/>
  <c r="Z162" i="19" s="1"/>
  <c r="P162" i="19" s="1"/>
  <c r="P164" i="19" s="1"/>
  <c r="Y1" i="6"/>
  <c r="Z1" i="6" s="1"/>
  <c r="AA1" i="6" s="1"/>
  <c r="AB1" i="6" s="1"/>
  <c r="AC1" i="6" s="1"/>
  <c r="AD1" i="6" s="1"/>
  <c r="AE1" i="6" s="1"/>
  <c r="AF1" i="6" s="1"/>
  <c r="AG1" i="6" s="1"/>
  <c r="AH1" i="6" s="1"/>
  <c r="AI1" i="6" s="1"/>
  <c r="AJ1" i="6" s="1"/>
  <c r="AK1" i="6" s="1"/>
  <c r="E112" i="16"/>
  <c r="E159" i="16"/>
  <c r="E161" i="16" s="1"/>
  <c r="E162" i="16" s="1"/>
  <c r="E164" i="16" s="1"/>
  <c r="E165" i="16" s="1"/>
  <c r="E135" i="16"/>
  <c r="E137" i="16" s="1"/>
  <c r="E138" i="16" s="1"/>
  <c r="E140" i="16" s="1"/>
  <c r="E141" i="16" s="1"/>
  <c r="E195" i="16" s="1"/>
  <c r="D34" i="14" s="1"/>
  <c r="H24" i="13"/>
  <c r="X54" i="19"/>
  <c r="K54" i="19"/>
  <c r="V54" i="19" s="1"/>
  <c r="G77" i="13"/>
  <c r="E77" i="13"/>
  <c r="E56" i="13"/>
  <c r="F56" i="13"/>
  <c r="H56" i="13"/>
  <c r="D56" i="13"/>
  <c r="G91" i="19"/>
  <c r="G92" i="19" s="1"/>
  <c r="E66" i="13"/>
  <c r="F40" i="13"/>
  <c r="D3" i="13"/>
  <c r="G14" i="19"/>
  <c r="G15" i="19" s="1"/>
  <c r="D24" i="13"/>
  <c r="G36" i="19"/>
  <c r="G37" i="19" s="1"/>
  <c r="F90" i="13"/>
  <c r="F66" i="13"/>
  <c r="E24" i="13"/>
  <c r="H3" i="13"/>
  <c r="D15" i="13"/>
  <c r="G25" i="19"/>
  <c r="G26" i="19" s="1"/>
  <c r="F77" i="13"/>
  <c r="H15" i="13"/>
  <c r="G24" i="13"/>
  <c r="E31" i="13"/>
  <c r="F15" i="13"/>
  <c r="E15" i="13"/>
  <c r="F24" i="13"/>
  <c r="D77" i="13"/>
  <c r="G113" i="19"/>
  <c r="G114" i="19" s="1"/>
  <c r="E183" i="16"/>
  <c r="E185" i="16" s="1"/>
  <c r="E186" i="16" s="1"/>
  <c r="E188" i="16" s="1"/>
  <c r="E189" i="16" s="1"/>
  <c r="L15" i="14"/>
  <c r="L14" i="14"/>
  <c r="L12" i="14"/>
  <c r="L13" i="14"/>
  <c r="G76" i="16"/>
  <c r="E6" i="16"/>
  <c r="E7" i="16" s="1"/>
  <c r="E8" i="16" s="1"/>
  <c r="E9" i="16" s="1"/>
  <c r="E10" i="16" s="1"/>
  <c r="E95" i="16"/>
  <c r="D41" i="14" s="1"/>
  <c r="E41" i="14" s="1"/>
  <c r="AM10" i="19"/>
  <c r="G90" i="16"/>
  <c r="E24" i="16"/>
  <c r="E37" i="16" s="1"/>
  <c r="E38" i="16" s="1"/>
  <c r="Y134" i="19"/>
  <c r="X132" i="19"/>
  <c r="N132" i="19" s="1"/>
  <c r="N134" i="19" s="1"/>
  <c r="Y131" i="19"/>
  <c r="AN10" i="19"/>
  <c r="T103" i="6"/>
  <c r="X123" i="19"/>
  <c r="Y123" i="19" s="1"/>
  <c r="K123" i="19"/>
  <c r="V123" i="19" s="1"/>
  <c r="F85" i="13"/>
  <c r="K156" i="19"/>
  <c r="V156" i="19" s="1"/>
  <c r="X156" i="19"/>
  <c r="AE131" i="19"/>
  <c r="AN8" i="19"/>
  <c r="AJ8" i="19" s="1"/>
  <c r="AD167" i="19"/>
  <c r="X151" i="19"/>
  <c r="N151" i="19" s="1"/>
  <c r="N153" i="19" s="1"/>
  <c r="Y153" i="19"/>
  <c r="G4" i="7"/>
  <c r="D40" i="13"/>
  <c r="G81" i="19"/>
  <c r="K41" i="7"/>
  <c r="J39" i="7"/>
  <c r="D64" i="14" s="1"/>
  <c r="E64" i="14" s="1"/>
  <c r="K101" i="19"/>
  <c r="V101" i="19" s="1"/>
  <c r="AE134" i="19"/>
  <c r="Z65" i="19"/>
  <c r="Y63" i="19"/>
  <c r="O63" i="19" s="1"/>
  <c r="O65" i="19" s="1"/>
  <c r="G3" i="13"/>
  <c r="AF120" i="19"/>
  <c r="B123" i="19"/>
  <c r="AF123" i="19" s="1"/>
  <c r="M123" i="19"/>
  <c r="J123" i="19"/>
  <c r="G15" i="13"/>
  <c r="M120" i="19"/>
  <c r="AF117" i="19"/>
  <c r="J120" i="19"/>
  <c r="O68" i="19"/>
  <c r="E3" i="13"/>
  <c r="E40" i="13"/>
  <c r="G40" i="13"/>
  <c r="O167" i="19"/>
  <c r="H90" i="13"/>
  <c r="AC123" i="19"/>
  <c r="I142" i="19" l="1"/>
  <c r="K142" i="19" s="1"/>
  <c r="V142" i="19" s="1"/>
  <c r="H142" i="19"/>
  <c r="M142" i="19" s="1"/>
  <c r="X173" i="19"/>
  <c r="N173" i="19" s="1"/>
  <c r="N175" i="19" s="1"/>
  <c r="X176" i="19"/>
  <c r="N176" i="19" s="1"/>
  <c r="N178" i="19" s="1"/>
  <c r="Y178" i="19"/>
  <c r="B101" i="19"/>
  <c r="AF101" i="19" s="1"/>
  <c r="I145" i="19"/>
  <c r="K145" i="19" s="1"/>
  <c r="V145" i="19" s="1"/>
  <c r="AF98" i="19"/>
  <c r="J101" i="19"/>
  <c r="I13" i="19"/>
  <c r="I10" i="19"/>
  <c r="K10" i="19" s="1"/>
  <c r="V10" i="19" s="1"/>
  <c r="H13" i="19"/>
  <c r="AF10" i="19" s="1"/>
  <c r="H10" i="19"/>
  <c r="AF7" i="19" s="1"/>
  <c r="I43" i="19"/>
  <c r="K43" i="19" s="1"/>
  <c r="V43" i="19" s="1"/>
  <c r="H43" i="19"/>
  <c r="I46" i="19"/>
  <c r="H46" i="19"/>
  <c r="X46" i="19" s="1"/>
  <c r="M57" i="19"/>
  <c r="B57" i="19"/>
  <c r="AF57" i="19" s="1"/>
  <c r="J57" i="19"/>
  <c r="AF54" i="19"/>
  <c r="I109" i="19"/>
  <c r="K109" i="19" s="1"/>
  <c r="V109" i="19" s="1"/>
  <c r="H109" i="19"/>
  <c r="I112" i="19"/>
  <c r="H112" i="19"/>
  <c r="J112" i="19" s="1"/>
  <c r="H35" i="19"/>
  <c r="I32" i="19"/>
  <c r="H32" i="19"/>
  <c r="X32" i="19" s="1"/>
  <c r="Y32" i="19" s="1"/>
  <c r="I35" i="19"/>
  <c r="K35" i="19" s="1"/>
  <c r="V35" i="19" s="1"/>
  <c r="H90" i="19"/>
  <c r="I87" i="19"/>
  <c r="X87" i="19" s="1"/>
  <c r="H87" i="19"/>
  <c r="I90" i="19"/>
  <c r="K90" i="19" s="1"/>
  <c r="V90" i="19" s="1"/>
  <c r="M54" i="19"/>
  <c r="AF51" i="19"/>
  <c r="J54" i="19"/>
  <c r="H24" i="19"/>
  <c r="M24" i="19" s="1"/>
  <c r="I21" i="19"/>
  <c r="K21" i="19" s="1"/>
  <c r="V21" i="19" s="1"/>
  <c r="H21" i="19"/>
  <c r="AF18" i="19" s="1"/>
  <c r="I24" i="19"/>
  <c r="X57" i="19"/>
  <c r="X55" i="19" s="1"/>
  <c r="N55" i="19" s="1"/>
  <c r="N57" i="19" s="1"/>
  <c r="H76" i="19"/>
  <c r="I79" i="19"/>
  <c r="K79" i="19" s="1"/>
  <c r="V79" i="19" s="1"/>
  <c r="H79" i="19"/>
  <c r="AF76" i="19" s="1"/>
  <c r="I76" i="19"/>
  <c r="K76" i="19" s="1"/>
  <c r="V76" i="19" s="1"/>
  <c r="X154" i="19"/>
  <c r="N154" i="19" s="1"/>
  <c r="N156" i="19" s="1"/>
  <c r="X142" i="19"/>
  <c r="X140" i="19" s="1"/>
  <c r="N140" i="19" s="1"/>
  <c r="N142" i="19" s="1"/>
  <c r="K24" i="19"/>
  <c r="V24" i="19" s="1"/>
  <c r="K13" i="19"/>
  <c r="V13" i="19" s="1"/>
  <c r="J142" i="19"/>
  <c r="X79" i="19"/>
  <c r="Y79" i="19" s="1"/>
  <c r="K46" i="19"/>
  <c r="V46" i="19" s="1"/>
  <c r="L16" i="14"/>
  <c r="A3" i="13" s="1"/>
  <c r="H105" i="13"/>
  <c r="H107" i="13" s="1"/>
  <c r="Y132" i="19"/>
  <c r="O132" i="19" s="1"/>
  <c r="O134" i="19" s="1"/>
  <c r="Z132" i="19" s="1"/>
  <c r="P132" i="19" s="1"/>
  <c r="P134" i="19" s="1"/>
  <c r="F105" i="13"/>
  <c r="F107" i="13" s="1"/>
  <c r="M145" i="19"/>
  <c r="B145" i="19"/>
  <c r="AF145" i="19" s="1"/>
  <c r="J145" i="19"/>
  <c r="D105" i="13"/>
  <c r="D107" i="13" s="1"/>
  <c r="X52" i="19"/>
  <c r="N52" i="19" s="1"/>
  <c r="N54" i="19" s="1"/>
  <c r="Y54" i="19"/>
  <c r="M21" i="19"/>
  <c r="J21" i="19"/>
  <c r="K87" i="19"/>
  <c r="V87" i="19" s="1"/>
  <c r="M35" i="19"/>
  <c r="B35" i="19"/>
  <c r="AF35" i="19" s="1"/>
  <c r="J35" i="19"/>
  <c r="AF32" i="19"/>
  <c r="E105" i="13"/>
  <c r="E107" i="13" s="1"/>
  <c r="AF95" i="19"/>
  <c r="J98" i="19"/>
  <c r="M98" i="19"/>
  <c r="AF84" i="19"/>
  <c r="M87" i="19"/>
  <c r="J87" i="19"/>
  <c r="K32" i="19"/>
  <c r="V32" i="19" s="1"/>
  <c r="K98" i="19"/>
  <c r="V98" i="19" s="1"/>
  <c r="X98" i="19"/>
  <c r="M43" i="19"/>
  <c r="AF40" i="19"/>
  <c r="X43" i="19"/>
  <c r="J43" i="19"/>
  <c r="M32" i="19"/>
  <c r="M109" i="19"/>
  <c r="J109" i="19"/>
  <c r="AF106" i="19"/>
  <c r="X99" i="19"/>
  <c r="N99" i="19" s="1"/>
  <c r="N101" i="19" s="1"/>
  <c r="Y99" i="19" s="1"/>
  <c r="O99" i="19" s="1"/>
  <c r="X109" i="19"/>
  <c r="E11" i="16"/>
  <c r="G11" i="16" s="1"/>
  <c r="AJ10" i="19"/>
  <c r="AJ11" i="19" s="1"/>
  <c r="D39" i="14"/>
  <c r="E39" i="14" s="1"/>
  <c r="Y129" i="19"/>
  <c r="O129" i="19" s="1"/>
  <c r="O131" i="19" s="1"/>
  <c r="Z131" i="19"/>
  <c r="Y156" i="19"/>
  <c r="Y154" i="19" s="1"/>
  <c r="O154" i="19" s="1"/>
  <c r="O156" i="19" s="1"/>
  <c r="E34" i="14"/>
  <c r="AA162" i="19"/>
  <c r="Q162" i="19" s="1"/>
  <c r="Q164" i="19" s="1"/>
  <c r="F164" i="19" s="1"/>
  <c r="E164" i="19" s="1"/>
  <c r="G105" i="13"/>
  <c r="G107" i="13" s="1"/>
  <c r="AD123" i="19"/>
  <c r="X10" i="19"/>
  <c r="X120" i="19"/>
  <c r="X118" i="19" s="1"/>
  <c r="N118" i="19" s="1"/>
  <c r="N120" i="19" s="1"/>
  <c r="K120" i="19"/>
  <c r="V120" i="19" s="1"/>
  <c r="M13" i="19"/>
  <c r="X13" i="19"/>
  <c r="Y13" i="19" s="1"/>
  <c r="B13" i="19"/>
  <c r="AF13" i="19" s="1"/>
  <c r="J13" i="19"/>
  <c r="B11" i="19"/>
  <c r="Y151" i="19"/>
  <c r="O151" i="19" s="1"/>
  <c r="O153" i="19" s="1"/>
  <c r="M10" i="19"/>
  <c r="J10" i="19"/>
  <c r="X145" i="19"/>
  <c r="Z101" i="19"/>
  <c r="N121" i="19"/>
  <c r="N123" i="19" s="1"/>
  <c r="AE167" i="19"/>
  <c r="M76" i="19"/>
  <c r="X76" i="19"/>
  <c r="J76" i="19"/>
  <c r="AF73" i="19"/>
  <c r="Z165" i="19"/>
  <c r="P165" i="19" s="1"/>
  <c r="Z66" i="19"/>
  <c r="P66" i="19" s="1"/>
  <c r="P68" i="19" s="1"/>
  <c r="B24" i="19"/>
  <c r="AF24" i="19" s="1"/>
  <c r="M79" i="19"/>
  <c r="J79" i="19"/>
  <c r="B79" i="19"/>
  <c r="AF79" i="19" s="1"/>
  <c r="AA65" i="19"/>
  <c r="Z63" i="19"/>
  <c r="P63" i="19" s="1"/>
  <c r="D66" i="14"/>
  <c r="E66" i="14" s="1"/>
  <c r="D8" i="14"/>
  <c r="D65" i="14"/>
  <c r="E65" i="14" s="1"/>
  <c r="AF139" i="19" l="1"/>
  <c r="Y173" i="19"/>
  <c r="O173" i="19" s="1"/>
  <c r="O175" i="19" s="1"/>
  <c r="Z178" i="19"/>
  <c r="Y176" i="19"/>
  <c r="O176" i="19" s="1"/>
  <c r="O178" i="19" s="1"/>
  <c r="AF29" i="19"/>
  <c r="X24" i="19"/>
  <c r="Y24" i="19" s="1"/>
  <c r="Z24" i="19" s="1"/>
  <c r="J32" i="19"/>
  <c r="X21" i="19"/>
  <c r="Y21" i="19" s="1"/>
  <c r="Z21" i="19" s="1"/>
  <c r="AA21" i="19" s="1"/>
  <c r="AB21" i="19" s="1"/>
  <c r="X35" i="19"/>
  <c r="Y35" i="19" s="1"/>
  <c r="Z35" i="19" s="1"/>
  <c r="J24" i="19"/>
  <c r="AF21" i="19"/>
  <c r="K112" i="19"/>
  <c r="V112" i="19" s="1"/>
  <c r="X112" i="19"/>
  <c r="J90" i="19"/>
  <c r="B90" i="19"/>
  <c r="AF90" i="19" s="1"/>
  <c r="AF87" i="19"/>
  <c r="M90" i="19"/>
  <c r="AF109" i="19"/>
  <c r="AF43" i="19"/>
  <c r="J46" i="19"/>
  <c r="M46" i="19"/>
  <c r="B46" i="19"/>
  <c r="AF46" i="19" s="1"/>
  <c r="Y112" i="19"/>
  <c r="B112" i="19"/>
  <c r="AF112" i="19" s="1"/>
  <c r="X90" i="19"/>
  <c r="X88" i="19" s="1"/>
  <c r="N88" i="19" s="1"/>
  <c r="N90" i="19" s="1"/>
  <c r="M112" i="19"/>
  <c r="X110" i="19" s="1"/>
  <c r="N110" i="19" s="1"/>
  <c r="N112" i="19" s="1"/>
  <c r="Y57" i="19"/>
  <c r="Y55" i="19" s="1"/>
  <c r="O55" i="19" s="1"/>
  <c r="O57" i="19" s="1"/>
  <c r="Z55" i="19" s="1"/>
  <c r="P55" i="19" s="1"/>
  <c r="M5" i="19"/>
  <c r="H180" i="19"/>
  <c r="I180" i="19" s="1"/>
  <c r="H92" i="19"/>
  <c r="I92" i="19" s="1"/>
  <c r="H147" i="19"/>
  <c r="I147" i="19" s="1"/>
  <c r="H169" i="19"/>
  <c r="I169" i="19" s="1"/>
  <c r="H158" i="19"/>
  <c r="I158" i="19" s="1"/>
  <c r="H136" i="19"/>
  <c r="I136" i="19" s="1"/>
  <c r="H70" i="19"/>
  <c r="I70" i="19" s="1"/>
  <c r="H125" i="19"/>
  <c r="I125" i="19" s="1"/>
  <c r="H81" i="19"/>
  <c r="I81" i="19" s="1"/>
  <c r="H114" i="19"/>
  <c r="I114" i="19" s="1"/>
  <c r="H59" i="19"/>
  <c r="I59" i="19" s="1"/>
  <c r="H103" i="19"/>
  <c r="I103" i="19" s="1"/>
  <c r="H48" i="19"/>
  <c r="I48" i="19" s="1"/>
  <c r="H26" i="19"/>
  <c r="I26" i="19" s="1"/>
  <c r="H37" i="19"/>
  <c r="I37" i="19" s="1"/>
  <c r="Y142" i="19"/>
  <c r="AA142" i="19" s="1"/>
  <c r="H15" i="19"/>
  <c r="I15" i="19" s="1"/>
  <c r="X77" i="19"/>
  <c r="N77" i="19" s="1"/>
  <c r="N79" i="19" s="1"/>
  <c r="Y77" i="19" s="1"/>
  <c r="O77" i="19" s="1"/>
  <c r="X143" i="19"/>
  <c r="N143" i="19" s="1"/>
  <c r="N145" i="19" s="1"/>
  <c r="Y46" i="19"/>
  <c r="Z46" i="19" s="1"/>
  <c r="AA46" i="19" s="1"/>
  <c r="AB46" i="19" s="1"/>
  <c r="X44" i="19"/>
  <c r="N44" i="19" s="1"/>
  <c r="N46" i="19" s="1"/>
  <c r="X41" i="19"/>
  <c r="N41" i="19" s="1"/>
  <c r="N43" i="19" s="1"/>
  <c r="X107" i="19"/>
  <c r="N107" i="19" s="1"/>
  <c r="N109" i="19" s="1"/>
  <c r="Y52" i="19"/>
  <c r="O52" i="19" s="1"/>
  <c r="O54" i="19" s="1"/>
  <c r="X30" i="19"/>
  <c r="N30" i="19" s="1"/>
  <c r="N32" i="19" s="1"/>
  <c r="Z129" i="19"/>
  <c r="P129" i="19" s="1"/>
  <c r="P131" i="19" s="1"/>
  <c r="AA129" i="19" s="1"/>
  <c r="Q129" i="19" s="1"/>
  <c r="Q131" i="19" s="1"/>
  <c r="X33" i="19"/>
  <c r="N33" i="19" s="1"/>
  <c r="N35" i="19" s="1"/>
  <c r="X85" i="19"/>
  <c r="N85" i="19" s="1"/>
  <c r="N87" i="19" s="1"/>
  <c r="Y87" i="19"/>
  <c r="AA156" i="19"/>
  <c r="Y109" i="19"/>
  <c r="X96" i="19"/>
  <c r="N96" i="19" s="1"/>
  <c r="N98" i="19" s="1"/>
  <c r="Y90" i="19"/>
  <c r="Z90" i="19" s="1"/>
  <c r="AA90" i="19" s="1"/>
  <c r="Z32" i="19"/>
  <c r="Y43" i="19"/>
  <c r="Z43" i="19" s="1"/>
  <c r="AA43" i="19" s="1"/>
  <c r="AB43" i="19" s="1"/>
  <c r="Y98" i="19"/>
  <c r="Y145" i="19"/>
  <c r="AA66" i="19"/>
  <c r="Q66" i="19" s="1"/>
  <c r="Q68" i="19" s="1"/>
  <c r="F68" i="19" s="1"/>
  <c r="E68" i="19" s="1"/>
  <c r="AB162" i="19"/>
  <c r="R162" i="19" s="1"/>
  <c r="R164" i="19" s="1"/>
  <c r="AA132" i="19"/>
  <c r="Q132" i="19" s="1"/>
  <c r="Z13" i="19"/>
  <c r="AB65" i="19"/>
  <c r="O101" i="19"/>
  <c r="X11" i="19"/>
  <c r="N11" i="19" s="1"/>
  <c r="N13" i="19" s="1"/>
  <c r="Y11" i="19" s="1"/>
  <c r="O11" i="19" s="1"/>
  <c r="AE123" i="19"/>
  <c r="O121" i="19"/>
  <c r="O123" i="19" s="1"/>
  <c r="X74" i="19"/>
  <c r="N74" i="19" s="1"/>
  <c r="Z79" i="19"/>
  <c r="X22" i="19"/>
  <c r="N22" i="19" s="1"/>
  <c r="N24" i="19" s="1"/>
  <c r="Y22" i="19" s="1"/>
  <c r="O22" i="19" s="1"/>
  <c r="Y76" i="19"/>
  <c r="Y120" i="19"/>
  <c r="Y118" i="19" s="1"/>
  <c r="O118" i="19" s="1"/>
  <c r="O120" i="19" s="1"/>
  <c r="X8" i="19"/>
  <c r="N8" i="19" s="1"/>
  <c r="N10" i="19" s="1"/>
  <c r="P65" i="19"/>
  <c r="AA35" i="19"/>
  <c r="Y110" i="19"/>
  <c r="O110" i="19" s="1"/>
  <c r="Z112" i="19"/>
  <c r="Z151" i="19"/>
  <c r="P151" i="19" s="1"/>
  <c r="AA153" i="19"/>
  <c r="P167" i="19"/>
  <c r="AA101" i="19"/>
  <c r="Y10" i="19"/>
  <c r="Z173" i="19" l="1"/>
  <c r="P173" i="19" s="1"/>
  <c r="P175" i="19" s="1"/>
  <c r="AA173" i="19" s="1"/>
  <c r="Q173" i="19" s="1"/>
  <c r="AA178" i="19"/>
  <c r="AB178" i="19" s="1"/>
  <c r="AC178" i="19" s="1"/>
  <c r="AD178" i="19" s="1"/>
  <c r="AE178" i="19" s="1"/>
  <c r="Z176" i="19"/>
  <c r="P176" i="19" s="1"/>
  <c r="P178" i="19" s="1"/>
  <c r="X19" i="19"/>
  <c r="N19" i="19" s="1"/>
  <c r="N21" i="19" s="1"/>
  <c r="P57" i="19"/>
  <c r="Y140" i="19"/>
  <c r="O140" i="19" s="1"/>
  <c r="O142" i="19" s="1"/>
  <c r="Y44" i="19"/>
  <c r="O44" i="19" s="1"/>
  <c r="O46" i="19" s="1"/>
  <c r="Z44" i="19" s="1"/>
  <c r="P44" i="19" s="1"/>
  <c r="P46" i="19" s="1"/>
  <c r="F131" i="19"/>
  <c r="E131" i="19" s="1"/>
  <c r="Z52" i="19"/>
  <c r="P52" i="19" s="1"/>
  <c r="P54" i="19" s="1"/>
  <c r="Y33" i="19"/>
  <c r="O33" i="19" s="1"/>
  <c r="O35" i="19" s="1"/>
  <c r="Y143" i="19"/>
  <c r="O143" i="19" s="1"/>
  <c r="O145" i="19" s="1"/>
  <c r="Z154" i="19"/>
  <c r="P154" i="19" s="1"/>
  <c r="P156" i="19" s="1"/>
  <c r="Y30" i="19"/>
  <c r="O30" i="19" s="1"/>
  <c r="O32" i="19" s="1"/>
  <c r="Z30" i="19" s="1"/>
  <c r="P30" i="19" s="1"/>
  <c r="P32" i="19" s="1"/>
  <c r="AA32" i="19"/>
  <c r="Y41" i="19"/>
  <c r="O41" i="19" s="1"/>
  <c r="O43" i="19" s="1"/>
  <c r="Z41" i="19" s="1"/>
  <c r="P41" i="19" s="1"/>
  <c r="P43" i="19" s="1"/>
  <c r="Y88" i="19"/>
  <c r="O88" i="19" s="1"/>
  <c r="O90" i="19" s="1"/>
  <c r="Z88" i="19" s="1"/>
  <c r="P88" i="19" s="1"/>
  <c r="P90" i="19" s="1"/>
  <c r="Y85" i="19"/>
  <c r="O85" i="19" s="1"/>
  <c r="O87" i="19" s="1"/>
  <c r="Z87" i="19"/>
  <c r="Y96" i="19"/>
  <c r="O96" i="19" s="1"/>
  <c r="O98" i="19" s="1"/>
  <c r="Z98" i="19"/>
  <c r="Z109" i="19"/>
  <c r="Y107" i="19"/>
  <c r="O107" i="19" s="1"/>
  <c r="O109" i="19" s="1"/>
  <c r="Y19" i="19"/>
  <c r="O19" i="19" s="1"/>
  <c r="O21" i="19" s="1"/>
  <c r="AC162" i="19"/>
  <c r="S162" i="19" s="1"/>
  <c r="S164" i="19" s="1"/>
  <c r="Z121" i="19"/>
  <c r="P121" i="19" s="1"/>
  <c r="AB66" i="19"/>
  <c r="R66" i="19" s="1"/>
  <c r="AB101" i="19"/>
  <c r="AA176" i="19"/>
  <c r="Q176" i="19" s="1"/>
  <c r="AB153" i="19"/>
  <c r="Z118" i="19"/>
  <c r="P118" i="19" s="1"/>
  <c r="AB35" i="19"/>
  <c r="AA145" i="19"/>
  <c r="Q134" i="19"/>
  <c r="F134" i="19" s="1"/>
  <c r="E134" i="19" s="1"/>
  <c r="AA24" i="19"/>
  <c r="AA112" i="19"/>
  <c r="Z76" i="19"/>
  <c r="AA13" i="19"/>
  <c r="AB129" i="19"/>
  <c r="R129" i="19" s="1"/>
  <c r="R131" i="19" s="1"/>
  <c r="AA55" i="19"/>
  <c r="Q55" i="19" s="1"/>
  <c r="Q57" i="19" s="1"/>
  <c r="F57" i="19" s="1"/>
  <c r="E57" i="19" s="1"/>
  <c r="AB156" i="19"/>
  <c r="O13" i="19"/>
  <c r="O24" i="19"/>
  <c r="Z22" i="19" s="1"/>
  <c r="P22" i="19" s="1"/>
  <c r="AC46" i="19"/>
  <c r="Z99" i="19"/>
  <c r="P99" i="19" s="1"/>
  <c r="O112" i="19"/>
  <c r="AC43" i="19"/>
  <c r="AB142" i="19"/>
  <c r="P153" i="19"/>
  <c r="AB90" i="19"/>
  <c r="AC21" i="19"/>
  <c r="Y8" i="19"/>
  <c r="O8" i="19" s="1"/>
  <c r="Z10" i="19"/>
  <c r="AA165" i="19"/>
  <c r="Q165" i="19" s="1"/>
  <c r="Q167" i="19" s="1"/>
  <c r="F167" i="19" s="1"/>
  <c r="E167" i="19" s="1"/>
  <c r="E168" i="19" s="1"/>
  <c r="N76" i="19"/>
  <c r="Y74" i="19" s="1"/>
  <c r="O74" i="19" s="1"/>
  <c r="AC65" i="19"/>
  <c r="O79" i="19"/>
  <c r="Z77" i="19" s="1"/>
  <c r="P77" i="19" s="1"/>
  <c r="AA79" i="19"/>
  <c r="AA63" i="19"/>
  <c r="Q63" i="19" s="1"/>
  <c r="Q65" i="19" s="1"/>
  <c r="F65" i="19" s="1"/>
  <c r="E65" i="19" s="1"/>
  <c r="E69" i="19" s="1"/>
  <c r="E135" i="19" l="1"/>
  <c r="D27" i="14"/>
  <c r="E27" i="14" s="1"/>
  <c r="E70" i="19"/>
  <c r="E71" i="19"/>
  <c r="E169" i="19"/>
  <c r="D55" i="14"/>
  <c r="E55" i="14" s="1"/>
  <c r="E170" i="19"/>
  <c r="E137" i="19"/>
  <c r="E136" i="19"/>
  <c r="Z33" i="19"/>
  <c r="P33" i="19" s="1"/>
  <c r="P35" i="19" s="1"/>
  <c r="AA52" i="19"/>
  <c r="Q52" i="19" s="1"/>
  <c r="Q54" i="19" s="1"/>
  <c r="AB52" i="19" s="1"/>
  <c r="R52" i="19" s="1"/>
  <c r="Z19" i="19"/>
  <c r="P19" i="19" s="1"/>
  <c r="P21" i="19" s="1"/>
  <c r="AB32" i="19"/>
  <c r="AC32" i="19" s="1"/>
  <c r="AD32" i="19" s="1"/>
  <c r="AE32" i="19" s="1"/>
  <c r="AA30" i="19"/>
  <c r="Q30" i="19" s="1"/>
  <c r="Q32" i="19" s="1"/>
  <c r="F32" i="19" s="1"/>
  <c r="E32" i="19" s="1"/>
  <c r="AA98" i="19"/>
  <c r="Z96" i="19"/>
  <c r="P96" i="19" s="1"/>
  <c r="P98" i="19" s="1"/>
  <c r="AA109" i="19"/>
  <c r="Z107" i="19"/>
  <c r="P107" i="19" s="1"/>
  <c r="P109" i="19" s="1"/>
  <c r="AA41" i="19"/>
  <c r="Q41" i="19" s="1"/>
  <c r="Q43" i="19" s="1"/>
  <c r="AB41" i="19" s="1"/>
  <c r="R41" i="19" s="1"/>
  <c r="R43" i="19" s="1"/>
  <c r="AC41" i="19" s="1"/>
  <c r="S41" i="19" s="1"/>
  <c r="AA87" i="19"/>
  <c r="Z85" i="19"/>
  <c r="P85" i="19" s="1"/>
  <c r="P87" i="19" s="1"/>
  <c r="AB63" i="19"/>
  <c r="R63" i="19" s="1"/>
  <c r="R65" i="19" s="1"/>
  <c r="AB55" i="19"/>
  <c r="R55" i="19" s="1"/>
  <c r="R57" i="19" s="1"/>
  <c r="AD65" i="19"/>
  <c r="AA10" i="19"/>
  <c r="AB13" i="19"/>
  <c r="Z140" i="19"/>
  <c r="P140" i="19" s="1"/>
  <c r="Z143" i="19"/>
  <c r="P143" i="19" s="1"/>
  <c r="P120" i="19"/>
  <c r="AB165" i="19"/>
  <c r="R165" i="19" s="1"/>
  <c r="R167" i="19" s="1"/>
  <c r="AA76" i="19"/>
  <c r="AB145" i="19"/>
  <c r="AA151" i="19"/>
  <c r="Q151" i="19" s="1"/>
  <c r="Q153" i="19" s="1"/>
  <c r="AB151" i="19" s="1"/>
  <c r="R151" i="19" s="1"/>
  <c r="AD162" i="19"/>
  <c r="T162" i="19" s="1"/>
  <c r="T164" i="19" s="1"/>
  <c r="AC101" i="19"/>
  <c r="P101" i="19"/>
  <c r="AB79" i="19"/>
  <c r="P79" i="19"/>
  <c r="AA77" i="19" s="1"/>
  <c r="Q77" i="19" s="1"/>
  <c r="AD21" i="19"/>
  <c r="Q175" i="19"/>
  <c r="F175" i="19" s="1"/>
  <c r="E175" i="19" s="1"/>
  <c r="AC153" i="19"/>
  <c r="AC156" i="19"/>
  <c r="Z11" i="19"/>
  <c r="P11" i="19" s="1"/>
  <c r="P13" i="19" s="1"/>
  <c r="O76" i="19"/>
  <c r="AA88" i="19"/>
  <c r="Q88" i="19" s="1"/>
  <c r="AC142" i="19"/>
  <c r="AA44" i="19"/>
  <c r="Q44" i="19" s="1"/>
  <c r="AB24" i="19"/>
  <c r="R68" i="19"/>
  <c r="O10" i="19"/>
  <c r="Z8" i="19" s="1"/>
  <c r="P8" i="19" s="1"/>
  <c r="AC90" i="19"/>
  <c r="AD46" i="19"/>
  <c r="AC129" i="19"/>
  <c r="S129" i="19" s="1"/>
  <c r="AB112" i="19"/>
  <c r="AC35" i="19"/>
  <c r="Q178" i="19"/>
  <c r="F178" i="19" s="1"/>
  <c r="E178" i="19" s="1"/>
  <c r="AD43" i="19"/>
  <c r="P24" i="19"/>
  <c r="AA22" i="19" s="1"/>
  <c r="Q22" i="19" s="1"/>
  <c r="AA154" i="19"/>
  <c r="Q154" i="19" s="1"/>
  <c r="Q156" i="19" s="1"/>
  <c r="F156" i="19" s="1"/>
  <c r="E156" i="19" s="1"/>
  <c r="Z110" i="19"/>
  <c r="P110" i="19" s="1"/>
  <c r="P112" i="19" s="1"/>
  <c r="AA110" i="19" s="1"/>
  <c r="Q110" i="19" s="1"/>
  <c r="AB132" i="19"/>
  <c r="R132" i="19" s="1"/>
  <c r="R134" i="19" s="1"/>
  <c r="P123" i="19"/>
  <c r="E179" i="19" l="1"/>
  <c r="F54" i="19"/>
  <c r="E54" i="19" s="1"/>
  <c r="E58" i="19" s="1"/>
  <c r="AA33" i="19"/>
  <c r="Q33" i="19" s="1"/>
  <c r="Q35" i="19" s="1"/>
  <c r="F35" i="19" s="1"/>
  <c r="E35" i="19" s="1"/>
  <c r="E36" i="19" s="1"/>
  <c r="F153" i="19"/>
  <c r="E153" i="19" s="1"/>
  <c r="E157" i="19" s="1"/>
  <c r="E181" i="19"/>
  <c r="E180" i="19"/>
  <c r="F43" i="19"/>
  <c r="E43" i="19" s="1"/>
  <c r="AA19" i="19"/>
  <c r="Q19" i="19" s="1"/>
  <c r="Q21" i="19" s="1"/>
  <c r="F21" i="19" s="1"/>
  <c r="E21" i="19" s="1"/>
  <c r="AA96" i="19"/>
  <c r="Q96" i="19" s="1"/>
  <c r="Q98" i="19" s="1"/>
  <c r="AB98" i="19"/>
  <c r="AC98" i="19" s="1"/>
  <c r="AD98" i="19" s="1"/>
  <c r="AA85" i="19"/>
  <c r="Q85" i="19" s="1"/>
  <c r="Q87" i="19" s="1"/>
  <c r="F87" i="19" s="1"/>
  <c r="E87" i="19" s="1"/>
  <c r="AB87" i="19"/>
  <c r="AB109" i="19"/>
  <c r="AA107" i="19"/>
  <c r="Q107" i="19" s="1"/>
  <c r="Q109" i="19" s="1"/>
  <c r="F109" i="19" s="1"/>
  <c r="E109" i="19" s="1"/>
  <c r="AB30" i="19"/>
  <c r="R30" i="19" s="1"/>
  <c r="R32" i="19" s="1"/>
  <c r="AC30" i="19" s="1"/>
  <c r="S30" i="19" s="1"/>
  <c r="S32" i="19" s="1"/>
  <c r="AC132" i="19"/>
  <c r="S132" i="19" s="1"/>
  <c r="AC55" i="19"/>
  <c r="S55" i="19" s="1"/>
  <c r="S57" i="19" s="1"/>
  <c r="AB154" i="19"/>
  <c r="R154" i="19" s="1"/>
  <c r="R156" i="19" s="1"/>
  <c r="AC154" i="19" s="1"/>
  <c r="S154" i="19" s="1"/>
  <c r="AC63" i="19"/>
  <c r="S63" i="19" s="1"/>
  <c r="AE43" i="19"/>
  <c r="AB10" i="19"/>
  <c r="AD90" i="19"/>
  <c r="AB76" i="19"/>
  <c r="P142" i="19"/>
  <c r="AE46" i="19"/>
  <c r="AC79" i="19"/>
  <c r="AA99" i="19"/>
  <c r="Q99" i="19" s="1"/>
  <c r="Q101" i="19" s="1"/>
  <c r="F101" i="19" s="1"/>
  <c r="E101" i="19" s="1"/>
  <c r="AC13" i="19"/>
  <c r="AE65" i="19"/>
  <c r="S43" i="19"/>
  <c r="AD41" i="19" s="1"/>
  <c r="T41" i="19" s="1"/>
  <c r="AD153" i="19"/>
  <c r="R153" i="19"/>
  <c r="AC151" i="19" s="1"/>
  <c r="S151" i="19" s="1"/>
  <c r="AD35" i="19"/>
  <c r="AC24" i="19"/>
  <c r="AB173" i="19"/>
  <c r="R173" i="19" s="1"/>
  <c r="R175" i="19" s="1"/>
  <c r="AE162" i="19"/>
  <c r="U162" i="19" s="1"/>
  <c r="AF162" i="19" s="1"/>
  <c r="Q24" i="19"/>
  <c r="AB22" i="19" s="1"/>
  <c r="R22" i="19" s="1"/>
  <c r="S131" i="19"/>
  <c r="P10" i="19"/>
  <c r="Q46" i="19"/>
  <c r="F46" i="19" s="1"/>
  <c r="E46" i="19" s="1"/>
  <c r="AD156" i="19"/>
  <c r="Q90" i="19"/>
  <c r="F90" i="19" s="1"/>
  <c r="E90" i="19" s="1"/>
  <c r="AA11" i="19"/>
  <c r="Q11" i="19" s="1"/>
  <c r="Q79" i="19"/>
  <c r="AB77" i="19" s="1"/>
  <c r="R77" i="19" s="1"/>
  <c r="AA118" i="19"/>
  <c r="Q118" i="19" s="1"/>
  <c r="Q120" i="19" s="1"/>
  <c r="F120" i="19" s="1"/>
  <c r="E120" i="19" s="1"/>
  <c r="AC112" i="19"/>
  <c r="Z74" i="19"/>
  <c r="P74" i="19" s="1"/>
  <c r="P76" i="19" s="1"/>
  <c r="AC66" i="19"/>
  <c r="S66" i="19" s="1"/>
  <c r="S68" i="19" s="1"/>
  <c r="AE21" i="19"/>
  <c r="AD101" i="19"/>
  <c r="R54" i="19"/>
  <c r="Q112" i="19"/>
  <c r="AB110" i="19" s="1"/>
  <c r="R110" i="19" s="1"/>
  <c r="AA121" i="19"/>
  <c r="Q121" i="19" s="1"/>
  <c r="AB176" i="19"/>
  <c r="R176" i="19" s="1"/>
  <c r="AD142" i="19"/>
  <c r="AC145" i="19"/>
  <c r="AC165" i="19"/>
  <c r="S165" i="19" s="1"/>
  <c r="P145" i="19"/>
  <c r="E47" i="19" l="1"/>
  <c r="E49" i="19" s="1"/>
  <c r="E91" i="19"/>
  <c r="E92" i="19" s="1"/>
  <c r="E159" i="19"/>
  <c r="D71" i="14"/>
  <c r="E71" i="14" s="1"/>
  <c r="E158" i="19"/>
  <c r="E60" i="19"/>
  <c r="D26" i="14"/>
  <c r="E26" i="14" s="1"/>
  <c r="E59" i="19"/>
  <c r="AB33" i="19"/>
  <c r="R33" i="19" s="1"/>
  <c r="R35" i="19" s="1"/>
  <c r="AC33" i="19" s="1"/>
  <c r="S33" i="19" s="1"/>
  <c r="S35" i="19" s="1"/>
  <c r="AB96" i="19"/>
  <c r="R96" i="19" s="1"/>
  <c r="R98" i="19" s="1"/>
  <c r="AC96" i="19" s="1"/>
  <c r="S96" i="19" s="1"/>
  <c r="S98" i="19" s="1"/>
  <c r="F79" i="19"/>
  <c r="E79" i="19" s="1"/>
  <c r="E38" i="19"/>
  <c r="E37" i="19"/>
  <c r="D24" i="14"/>
  <c r="E24" i="14" s="1"/>
  <c r="F24" i="19"/>
  <c r="E24" i="19" s="1"/>
  <c r="E25" i="19" s="1"/>
  <c r="E26" i="19" s="1"/>
  <c r="F98" i="19"/>
  <c r="E98" i="19" s="1"/>
  <c r="E102" i="19" s="1"/>
  <c r="F112" i="19"/>
  <c r="E112" i="19" s="1"/>
  <c r="E113" i="19" s="1"/>
  <c r="E115" i="19" s="1"/>
  <c r="D25" i="14"/>
  <c r="E25" i="14" s="1"/>
  <c r="AC109" i="19"/>
  <c r="AD109" i="19" s="1"/>
  <c r="AE109" i="19" s="1"/>
  <c r="AB107" i="19"/>
  <c r="R107" i="19" s="1"/>
  <c r="R109" i="19" s="1"/>
  <c r="AC87" i="19"/>
  <c r="AD87" i="19" s="1"/>
  <c r="AB85" i="19"/>
  <c r="R85" i="19" s="1"/>
  <c r="R87" i="19" s="1"/>
  <c r="AB19" i="19"/>
  <c r="R19" i="19" s="1"/>
  <c r="R21" i="19" s="1"/>
  <c r="AC19" i="19" s="1"/>
  <c r="S19" i="19" s="1"/>
  <c r="S21" i="19" s="1"/>
  <c r="AD19" i="19" s="1"/>
  <c r="T19" i="19" s="1"/>
  <c r="T21" i="19" s="1"/>
  <c r="AA74" i="19"/>
  <c r="Q74" i="19" s="1"/>
  <c r="Q76" i="19" s="1"/>
  <c r="F76" i="19" s="1"/>
  <c r="E76" i="19" s="1"/>
  <c r="AD66" i="19"/>
  <c r="T66" i="19" s="1"/>
  <c r="AB88" i="19"/>
  <c r="R88" i="19" s="1"/>
  <c r="R90" i="19" s="1"/>
  <c r="AB99" i="19"/>
  <c r="R99" i="19" s="1"/>
  <c r="R101" i="19" s="1"/>
  <c r="R178" i="19"/>
  <c r="AE156" i="19"/>
  <c r="AD55" i="19"/>
  <c r="T55" i="19" s="1"/>
  <c r="Q123" i="19"/>
  <c r="F123" i="19" s="1"/>
  <c r="E123" i="19" s="1"/>
  <c r="E124" i="19" s="1"/>
  <c r="AB44" i="19"/>
  <c r="R44" i="19" s="1"/>
  <c r="U164" i="19"/>
  <c r="AD24" i="19"/>
  <c r="AA140" i="19"/>
  <c r="Q140" i="19" s="1"/>
  <c r="Q142" i="19" s="1"/>
  <c r="F142" i="19" s="1"/>
  <c r="E142" i="19" s="1"/>
  <c r="S65" i="19"/>
  <c r="AE90" i="19"/>
  <c r="AB118" i="19"/>
  <c r="R118" i="19" s="1"/>
  <c r="R120" i="19" s="1"/>
  <c r="AC76" i="19"/>
  <c r="AD30" i="19"/>
  <c r="T30" i="19" s="1"/>
  <c r="S156" i="19"/>
  <c r="AD112" i="19"/>
  <c r="AE153" i="19"/>
  <c r="AD145" i="19"/>
  <c r="AE101" i="19"/>
  <c r="R79" i="19"/>
  <c r="AC77" i="19" s="1"/>
  <c r="S77" i="19" s="1"/>
  <c r="AC173" i="19"/>
  <c r="S173" i="19" s="1"/>
  <c r="AD129" i="19"/>
  <c r="T129" i="19" s="1"/>
  <c r="R24" i="19"/>
  <c r="AC22" i="19" s="1"/>
  <c r="S22" i="19" s="1"/>
  <c r="AD79" i="19"/>
  <c r="S167" i="19"/>
  <c r="T43" i="19"/>
  <c r="AE35" i="19"/>
  <c r="AC52" i="19"/>
  <c r="S52" i="19" s="1"/>
  <c r="AD13" i="19"/>
  <c r="AC10" i="19"/>
  <c r="Q13" i="19"/>
  <c r="F13" i="19" s="1"/>
  <c r="E13" i="19" s="1"/>
  <c r="S134" i="19"/>
  <c r="R112" i="19"/>
  <c r="AE98" i="19"/>
  <c r="AA143" i="19"/>
  <c r="Q143" i="19" s="1"/>
  <c r="Q145" i="19" s="1"/>
  <c r="F145" i="19" s="1"/>
  <c r="E145" i="19" s="1"/>
  <c r="AE142" i="19"/>
  <c r="S153" i="19"/>
  <c r="AA8" i="19"/>
  <c r="Q8" i="19" s="1"/>
  <c r="Q10" i="19" s="1"/>
  <c r="AB8" i="19" s="1"/>
  <c r="R8" i="19" s="1"/>
  <c r="E48" i="19" l="1"/>
  <c r="E93" i="19"/>
  <c r="E146" i="19"/>
  <c r="E148" i="19" s="1"/>
  <c r="D56" i="14"/>
  <c r="E56" i="14" s="1"/>
  <c r="E104" i="19"/>
  <c r="E103" i="19"/>
  <c r="E80" i="19"/>
  <c r="E82" i="19" s="1"/>
  <c r="E27" i="19"/>
  <c r="D23" i="14"/>
  <c r="E23" i="14" s="1"/>
  <c r="D58" i="14"/>
  <c r="E58" i="14" s="1"/>
  <c r="E126" i="19"/>
  <c r="E125" i="19"/>
  <c r="D59" i="14"/>
  <c r="E59" i="14" s="1"/>
  <c r="E114" i="19"/>
  <c r="F10" i="19"/>
  <c r="E10" i="19" s="1"/>
  <c r="E14" i="19" s="1"/>
  <c r="AC85" i="19"/>
  <c r="S85" i="19" s="1"/>
  <c r="S87" i="19" s="1"/>
  <c r="AD85" i="19" s="1"/>
  <c r="T85" i="19" s="1"/>
  <c r="AC107" i="19"/>
  <c r="S107" i="19" s="1"/>
  <c r="S109" i="19" s="1"/>
  <c r="AD107" i="19" s="1"/>
  <c r="T107" i="19" s="1"/>
  <c r="T109" i="19" s="1"/>
  <c r="AE87" i="19"/>
  <c r="AD96" i="19"/>
  <c r="T96" i="19" s="1"/>
  <c r="AE19" i="19"/>
  <c r="U19" i="19" s="1"/>
  <c r="AF19" i="19" s="1"/>
  <c r="AB140" i="19"/>
  <c r="R140" i="19" s="1"/>
  <c r="R142" i="19" s="1"/>
  <c r="AB143" i="19"/>
  <c r="R143" i="19" s="1"/>
  <c r="R145" i="19" s="1"/>
  <c r="AD33" i="19"/>
  <c r="T33" i="19" s="1"/>
  <c r="T35" i="19" s="1"/>
  <c r="AB74" i="19"/>
  <c r="R74" i="19" s="1"/>
  <c r="AC99" i="19"/>
  <c r="S99" i="19" s="1"/>
  <c r="S101" i="19" s="1"/>
  <c r="AC118" i="19"/>
  <c r="S118" i="19" s="1"/>
  <c r="S120" i="19" s="1"/>
  <c r="T68" i="19"/>
  <c r="T32" i="19"/>
  <c r="T57" i="19"/>
  <c r="AC88" i="19"/>
  <c r="S88" i="19" s="1"/>
  <c r="S90" i="19" s="1"/>
  <c r="R10" i="19"/>
  <c r="AC8" i="19" s="1"/>
  <c r="S8" i="19" s="1"/>
  <c r="T131" i="19"/>
  <c r="AE145" i="19"/>
  <c r="AE24" i="19"/>
  <c r="AD132" i="19"/>
  <c r="T132" i="19" s="1"/>
  <c r="AE13" i="19"/>
  <c r="S24" i="19"/>
  <c r="AB121" i="19"/>
  <c r="R121" i="19" s="1"/>
  <c r="R123" i="19" s="1"/>
  <c r="AD154" i="19"/>
  <c r="T154" i="19" s="1"/>
  <c r="T156" i="19" s="1"/>
  <c r="AD76" i="19"/>
  <c r="AB11" i="19"/>
  <c r="R11" i="19" s="1"/>
  <c r="R13" i="19" s="1"/>
  <c r="AD63" i="19"/>
  <c r="T63" i="19" s="1"/>
  <c r="AE79" i="19"/>
  <c r="S175" i="19"/>
  <c r="AC110" i="19"/>
  <c r="S110" i="19" s="1"/>
  <c r="R46" i="19"/>
  <c r="AC176" i="19"/>
  <c r="S176" i="19" s="1"/>
  <c r="S178" i="19" s="1"/>
  <c r="AE41" i="19"/>
  <c r="U41" i="19" s="1"/>
  <c r="AF41" i="19" s="1"/>
  <c r="AD165" i="19"/>
  <c r="T165" i="19" s="1"/>
  <c r="T167" i="19" s="1"/>
  <c r="AD151" i="19"/>
  <c r="T151" i="19" s="1"/>
  <c r="T153" i="19" s="1"/>
  <c r="AD10" i="19"/>
  <c r="S54" i="19"/>
  <c r="S79" i="19"/>
  <c r="AD77" i="19" s="1"/>
  <c r="T77" i="19" s="1"/>
  <c r="AE112" i="19"/>
  <c r="E147" i="19" l="1"/>
  <c r="D72" i="14"/>
  <c r="E72" i="14" s="1"/>
  <c r="D28" i="14"/>
  <c r="E28" i="14" s="1"/>
  <c r="E81" i="19"/>
  <c r="E15" i="19"/>
  <c r="D22" i="14"/>
  <c r="E22" i="14" s="1"/>
  <c r="E16" i="19"/>
  <c r="T87" i="19"/>
  <c r="AE85" i="19" s="1"/>
  <c r="U85" i="19" s="1"/>
  <c r="AF85" i="19" s="1"/>
  <c r="AE154" i="19"/>
  <c r="U154" i="19" s="1"/>
  <c r="U156" i="19" s="1"/>
  <c r="AE107" i="19"/>
  <c r="U107" i="19" s="1"/>
  <c r="AF107" i="19" s="1"/>
  <c r="AC11" i="19"/>
  <c r="S11" i="19" s="1"/>
  <c r="S13" i="19" s="1"/>
  <c r="AC143" i="19"/>
  <c r="S143" i="19" s="1"/>
  <c r="S145" i="19" s="1"/>
  <c r="AE10" i="19"/>
  <c r="AE30" i="19"/>
  <c r="U30" i="19" s="1"/>
  <c r="AF30" i="19" s="1"/>
  <c r="U21" i="19"/>
  <c r="AE165" i="19"/>
  <c r="U165" i="19" s="1"/>
  <c r="U167" i="19" s="1"/>
  <c r="AD118" i="19"/>
  <c r="T118" i="19" s="1"/>
  <c r="T120" i="19" s="1"/>
  <c r="AD173" i="19"/>
  <c r="T173" i="19" s="1"/>
  <c r="T175" i="19" s="1"/>
  <c r="AC44" i="19"/>
  <c r="S44" i="19" s="1"/>
  <c r="AC121" i="19"/>
  <c r="S121" i="19" s="1"/>
  <c r="S123" i="19" s="1"/>
  <c r="AD99" i="19"/>
  <c r="T99" i="19" s="1"/>
  <c r="AE151" i="19"/>
  <c r="U151" i="19" s="1"/>
  <c r="U153" i="19" s="1"/>
  <c r="AE66" i="19"/>
  <c r="U66" i="19" s="1"/>
  <c r="AF66" i="19" s="1"/>
  <c r="AD52" i="19"/>
  <c r="T52" i="19" s="1"/>
  <c r="T54" i="19" s="1"/>
  <c r="AE33" i="19"/>
  <c r="U33" i="19" s="1"/>
  <c r="AF33" i="19" s="1"/>
  <c r="AE129" i="19"/>
  <c r="U129" i="19" s="1"/>
  <c r="AF129" i="19" s="1"/>
  <c r="AE76" i="19"/>
  <c r="S10" i="19"/>
  <c r="T65" i="19"/>
  <c r="S112" i="19"/>
  <c r="T134" i="19"/>
  <c r="R76" i="19"/>
  <c r="T98" i="19"/>
  <c r="AE55" i="19"/>
  <c r="U55" i="19" s="1"/>
  <c r="AF55" i="19" s="1"/>
  <c r="T79" i="19"/>
  <c r="AE77" i="19" s="1"/>
  <c r="U77" i="19" s="1"/>
  <c r="AF77" i="19" s="1"/>
  <c r="AD176" i="19"/>
  <c r="T176" i="19" s="1"/>
  <c r="T178" i="19" s="1"/>
  <c r="U43" i="19"/>
  <c r="AD22" i="19"/>
  <c r="T22" i="19" s="1"/>
  <c r="AD88" i="19"/>
  <c r="T88" i="19" s="1"/>
  <c r="T90" i="19" s="1"/>
  <c r="AC140" i="19"/>
  <c r="S140" i="19" s="1"/>
  <c r="D21" i="14" l="1"/>
  <c r="E21" i="14" s="1"/>
  <c r="D13" i="14" s="1"/>
  <c r="AF154" i="19"/>
  <c r="AF151" i="19"/>
  <c r="U87" i="19"/>
  <c r="AF165" i="19"/>
  <c r="U57" i="19"/>
  <c r="U68" i="19"/>
  <c r="U131" i="19"/>
  <c r="AD11" i="19"/>
  <c r="T11" i="19" s="1"/>
  <c r="AD121" i="19"/>
  <c r="T121" i="19" s="1"/>
  <c r="AD143" i="19"/>
  <c r="T143" i="19" s="1"/>
  <c r="T145" i="19" s="1"/>
  <c r="U32" i="19"/>
  <c r="T24" i="19"/>
  <c r="AE52" i="19"/>
  <c r="U52" i="19" s="1"/>
  <c r="AF52" i="19" s="1"/>
  <c r="AE96" i="19"/>
  <c r="U96" i="19" s="1"/>
  <c r="AF96" i="19" s="1"/>
  <c r="S46" i="19"/>
  <c r="AE88" i="19"/>
  <c r="U88" i="19" s="1"/>
  <c r="U90" i="19" s="1"/>
  <c r="AE132" i="19"/>
  <c r="U132" i="19" s="1"/>
  <c r="AF132" i="19" s="1"/>
  <c r="T101" i="19"/>
  <c r="AD8" i="19"/>
  <c r="T8" i="19" s="1"/>
  <c r="U109" i="19"/>
  <c r="AE118" i="19"/>
  <c r="U118" i="19" s="1"/>
  <c r="U120" i="19" s="1"/>
  <c r="AE176" i="19"/>
  <c r="U176" i="19" s="1"/>
  <c r="AF176" i="19" s="1"/>
  <c r="AC74" i="19"/>
  <c r="S74" i="19" s="1"/>
  <c r="S142" i="19"/>
  <c r="U79" i="19"/>
  <c r="AD110" i="19"/>
  <c r="T110" i="19" s="1"/>
  <c r="T112" i="19" s="1"/>
  <c r="AE173" i="19"/>
  <c r="U173" i="19" s="1"/>
  <c r="U175" i="19" s="1"/>
  <c r="AE63" i="19"/>
  <c r="U63" i="19" s="1"/>
  <c r="AF63" i="19" s="1"/>
  <c r="U35" i="19"/>
  <c r="U178" i="19" l="1"/>
  <c r="AF118" i="19"/>
  <c r="AE143" i="19"/>
  <c r="U143" i="19" s="1"/>
  <c r="U145" i="19" s="1"/>
  <c r="U134" i="19"/>
  <c r="U98" i="19"/>
  <c r="AE110" i="19"/>
  <c r="U110" i="19" s="1"/>
  <c r="U112" i="19" s="1"/>
  <c r="AF143" i="19"/>
  <c r="AF88" i="19"/>
  <c r="U54" i="19"/>
  <c r="AD140" i="19"/>
  <c r="T140" i="19" s="1"/>
  <c r="AE22" i="19"/>
  <c r="U22" i="19" s="1"/>
  <c r="AF22" i="19" s="1"/>
  <c r="T123" i="19"/>
  <c r="AF173" i="19"/>
  <c r="AD44" i="19"/>
  <c r="T44" i="19" s="1"/>
  <c r="T46" i="19" s="1"/>
  <c r="U65" i="19"/>
  <c r="AE99" i="19"/>
  <c r="U99" i="19" s="1"/>
  <c r="AF99" i="19" s="1"/>
  <c r="S76" i="19"/>
  <c r="T10" i="19"/>
  <c r="T13" i="19"/>
  <c r="AF110" i="19" l="1"/>
  <c r="U24" i="19"/>
  <c r="U101" i="19"/>
  <c r="AE121" i="19"/>
  <c r="U121" i="19" s="1"/>
  <c r="AF121" i="19" s="1"/>
  <c r="AE11" i="19"/>
  <c r="U11" i="19" s="1"/>
  <c r="AF11" i="19" s="1"/>
  <c r="AE8" i="19"/>
  <c r="U8" i="19" s="1"/>
  <c r="AF8" i="19" s="1"/>
  <c r="T142" i="19"/>
  <c r="AE44" i="19"/>
  <c r="U44" i="19" s="1"/>
  <c r="AF44" i="19" s="1"/>
  <c r="AD74" i="19"/>
  <c r="T74" i="19" s="1"/>
  <c r="T76" i="19" s="1"/>
  <c r="U46" i="19" l="1"/>
  <c r="U10" i="19"/>
  <c r="AE74" i="19"/>
  <c r="U74" i="19" s="1"/>
  <c r="U76" i="19" s="1"/>
  <c r="U13" i="19"/>
  <c r="U123" i="19"/>
  <c r="AE140" i="19"/>
  <c r="U140" i="19" s="1"/>
  <c r="AF140" i="19" s="1"/>
  <c r="AF74" i="19" l="1"/>
  <c r="U142" i="19"/>
  <c r="B5" i="6" l="1"/>
  <c r="B6" i="6" s="1"/>
  <c r="B7" i="6" l="1"/>
  <c r="B8" i="6" l="1"/>
  <c r="B9" i="6" l="1"/>
  <c r="B10" i="6" l="1"/>
  <c r="B11" i="6" l="1"/>
  <c r="B12" i="6" l="1"/>
  <c r="B13" i="6" l="1"/>
  <c r="B14" i="6" l="1"/>
  <c r="B15" i="6" l="1"/>
  <c r="B16" i="6" l="1"/>
  <c r="B17" i="6" l="1"/>
  <c r="B18" i="6" l="1"/>
  <c r="B19" i="6" l="1"/>
  <c r="B20" i="6" l="1"/>
  <c r="B21" i="6" l="1"/>
  <c r="B22" i="6" l="1"/>
  <c r="B23" i="6" l="1"/>
  <c r="B24" i="6" l="1"/>
  <c r="B25" i="6" l="1"/>
  <c r="B26" i="6" l="1"/>
  <c r="B27" i="6" l="1"/>
  <c r="B28" i="6" l="1"/>
  <c r="B29" i="6" l="1"/>
  <c r="B30" i="6" l="1"/>
  <c r="B31" i="6" l="1"/>
  <c r="B32" i="6" l="1"/>
  <c r="B33" i="6" l="1"/>
  <c r="B34" i="6" l="1"/>
  <c r="B35" i="6" l="1"/>
  <c r="B36" i="6" l="1"/>
  <c r="B37" i="6" l="1"/>
  <c r="B38" i="6" l="1"/>
  <c r="B39" i="6" l="1"/>
  <c r="B40" i="6" l="1"/>
  <c r="B41" i="6" l="1"/>
  <c r="B42" i="6" l="1"/>
  <c r="B43" i="6" l="1"/>
  <c r="B44" i="6" l="1"/>
  <c r="B45" i="6" l="1"/>
  <c r="B46" i="6" l="1"/>
  <c r="B47" i="6" l="1"/>
  <c r="B48" i="6" l="1"/>
  <c r="B49" i="6" l="1"/>
  <c r="B50" i="6" l="1"/>
  <c r="B51" i="6" l="1"/>
  <c r="B52" i="6" l="1"/>
  <c r="B53" i="6" l="1"/>
  <c r="B54" i="6" l="1"/>
  <c r="B55" i="6" l="1"/>
  <c r="B56" i="6" l="1"/>
  <c r="B57" i="6" l="1"/>
  <c r="B58" i="6" l="1"/>
  <c r="B59" i="6" l="1"/>
  <c r="B60" i="6" l="1"/>
  <c r="B61" i="6" l="1"/>
  <c r="B62" i="6" l="1"/>
  <c r="B63" i="6" l="1"/>
  <c r="B64" i="6" l="1"/>
  <c r="B65" i="6" l="1"/>
  <c r="B66" i="6" l="1"/>
  <c r="B67" i="6" l="1"/>
  <c r="B68" i="6" l="1"/>
  <c r="B69" i="6" l="1"/>
  <c r="B70" i="6" l="1"/>
  <c r="B71" i="6" l="1"/>
  <c r="B72" i="6" l="1"/>
  <c r="B73" i="6" l="1"/>
  <c r="B74" i="6" l="1"/>
  <c r="B75" i="6" l="1"/>
  <c r="B76" i="6" l="1"/>
  <c r="B77" i="6" l="1"/>
  <c r="B78" i="6" l="1"/>
  <c r="B79" i="6" l="1"/>
  <c r="B80" i="6" l="1"/>
  <c r="B81" i="6" l="1"/>
  <c r="B82" i="6" l="1"/>
  <c r="B83" i="6" l="1"/>
  <c r="B84" i="6" l="1"/>
  <c r="B85" i="6" l="1"/>
  <c r="B86" i="6" l="1"/>
  <c r="B87" i="6" l="1"/>
  <c r="B88" i="6" l="1"/>
  <c r="B89" i="6" l="1"/>
  <c r="V5" i="5" l="1"/>
  <c r="T5" i="5"/>
  <c r="U5" i="5"/>
  <c r="N3" i="5"/>
  <c r="R5" i="5"/>
  <c r="S5" i="5"/>
  <c r="B90" i="6"/>
  <c r="E114" i="16"/>
  <c r="E113" i="16"/>
  <c r="J24" i="5"/>
  <c r="H24" i="5"/>
  <c r="L24" i="5"/>
  <c r="D10" i="14"/>
  <c r="V8" i="5" l="1"/>
  <c r="D48" i="14" s="1"/>
  <c r="E48" i="14" s="1"/>
  <c r="L27" i="5"/>
  <c r="J46" i="7" s="1"/>
  <c r="R8" i="5"/>
  <c r="D33" i="14" s="1"/>
  <c r="E33" i="14" s="1"/>
  <c r="S8" i="5"/>
  <c r="D32" i="14" s="1"/>
  <c r="E32" i="14" s="1"/>
  <c r="N103" i="23"/>
  <c r="J27" i="5"/>
  <c r="J45" i="7" s="1"/>
  <c r="U8" i="5"/>
  <c r="D47" i="14" s="1"/>
  <c r="E47" i="14" s="1"/>
  <c r="M103" i="23"/>
  <c r="O103" i="23"/>
  <c r="M105" i="23" s="1"/>
  <c r="L103" i="23"/>
  <c r="H27" i="5"/>
  <c r="J44" i="7" s="1"/>
  <c r="T8" i="5"/>
  <c r="D46" i="14" s="1"/>
  <c r="E46" i="14" s="1"/>
  <c r="E115" i="16"/>
  <c r="D42" i="14" s="1"/>
  <c r="E42" i="14" s="1"/>
  <c r="B91" i="6"/>
  <c r="D44" i="14" l="1"/>
  <c r="J47" i="7"/>
  <c r="D63" i="14" s="1"/>
  <c r="E44" i="14"/>
  <c r="D15" i="14" s="1"/>
  <c r="O111" i="23"/>
  <c r="P111" i="23" s="1"/>
  <c r="Q111" i="23" s="1"/>
  <c r="E16" i="21" s="1"/>
  <c r="I17" i="20" s="1"/>
  <c r="O109" i="23"/>
  <c r="P109" i="23" s="1"/>
  <c r="Q109" i="23" s="1"/>
  <c r="E14" i="21" s="1"/>
  <c r="O108" i="23"/>
  <c r="P108" i="23" s="1"/>
  <c r="Q108" i="23" s="1"/>
  <c r="E13" i="21" s="1"/>
  <c r="O113" i="23"/>
  <c r="P113" i="23" s="1"/>
  <c r="Q113" i="23" s="1"/>
  <c r="E18" i="21" s="1"/>
  <c r="I19" i="20" s="1"/>
  <c r="O110" i="23"/>
  <c r="P110" i="23" s="1"/>
  <c r="Q110" i="23" s="1"/>
  <c r="E15" i="21" s="1"/>
  <c r="I16" i="20" s="1"/>
  <c r="O112" i="23"/>
  <c r="P112" i="23" s="1"/>
  <c r="Q112" i="23" s="1"/>
  <c r="E17" i="21" s="1"/>
  <c r="I18" i="20" s="1"/>
  <c r="D30" i="14"/>
  <c r="E30" i="14"/>
  <c r="D14" i="14" s="1"/>
  <c r="B92" i="6"/>
  <c r="C16" i="20" l="1"/>
  <c r="C7" i="20"/>
  <c r="D7" i="20" s="1"/>
  <c r="E7" i="20" s="1"/>
  <c r="F7" i="20" s="1"/>
  <c r="E19" i="21"/>
  <c r="I14" i="20"/>
  <c r="I15" i="20"/>
  <c r="C17" i="20"/>
  <c r="D17" i="20" s="1"/>
  <c r="E17" i="20" s="1"/>
  <c r="F17" i="20" s="1"/>
  <c r="E63" i="14"/>
  <c r="E62" i="14" s="1"/>
  <c r="D16" i="14" s="1"/>
  <c r="D12" i="14" s="1"/>
  <c r="D62" i="14"/>
  <c r="B93" i="6"/>
  <c r="I20" i="20" l="1"/>
  <c r="C13" i="20" s="1"/>
  <c r="D13" i="20" s="1"/>
  <c r="D16" i="20" s="1"/>
  <c r="C18" i="20"/>
  <c r="B94" i="6"/>
  <c r="E13" i="20" l="1"/>
  <c r="F13" i="20" s="1"/>
  <c r="E16" i="20"/>
  <c r="F16" i="20" s="1"/>
  <c r="F18" i="20" s="1"/>
  <c r="F20" i="20" s="1"/>
  <c r="F21" i="20" s="1"/>
  <c r="E12" i="16" s="1"/>
  <c r="E13" i="16" s="1"/>
  <c r="D18" i="20"/>
  <c r="E18" i="20" s="1"/>
  <c r="B95" i="6"/>
  <c r="G13" i="16" l="1"/>
  <c r="F17" i="14"/>
  <c r="F12" i="14" s="1"/>
  <c r="H12" i="14" s="1"/>
  <c r="B96" i="6"/>
  <c r="H16" i="14" l="1"/>
  <c r="H13" i="14"/>
  <c r="H17" i="14" s="1"/>
  <c r="B97" i="6"/>
  <c r="B98" i="6" l="1"/>
  <c r="B99" i="6" l="1"/>
  <c r="B100" i="6" l="1"/>
  <c r="B101" i="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Kronberg</author>
    <author>Microsoft Office User</author>
  </authors>
  <commentList>
    <comment ref="B13" authorId="0" shapeId="0" xr:uid="{00000000-0006-0000-0300-000001000000}">
      <text>
        <r>
          <rPr>
            <b/>
            <sz val="9"/>
            <color indexed="81"/>
            <rFont val="Tahoma"/>
            <family val="2"/>
          </rPr>
          <t>Beregnet efter voksenækvivalenter = 1,5 i en familie med 2 voksne uden børn.
Og en voksen efter den første i en familie er 0,5 voksen.</t>
        </r>
      </text>
    </comment>
    <comment ref="G14" authorId="1" shapeId="0" xr:uid="{A1A6F337-ADF5-7C4A-87A0-F259ECCF114E}">
      <text>
        <r>
          <rPr>
            <sz val="10"/>
            <color rgb="FF000000"/>
            <rFont val="Tahoma"/>
            <family val="2"/>
          </rPr>
          <t>Gennemsnit fra DS.</t>
        </r>
      </text>
    </comment>
    <comment ref="G15" authorId="1" shapeId="0" xr:uid="{F551135F-A3D7-6D48-A5B9-AA47C3D902E7}">
      <text>
        <r>
          <rPr>
            <sz val="10"/>
            <color rgb="FF000000"/>
            <rFont val="Tahoma"/>
            <family val="2"/>
          </rPr>
          <t>Én forbrugsenheds forbrug.</t>
        </r>
      </text>
    </comment>
    <comment ref="A63" authorId="0" shapeId="0" xr:uid="{00000000-0006-0000-0300-000002000000}">
      <text>
        <r>
          <rPr>
            <b/>
            <sz val="9"/>
            <color rgb="FF000000"/>
            <rFont val="Tahoma"/>
            <family val="2"/>
          </rPr>
          <t xml:space="preserve">Egne tal.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Hans Kronberg</author>
  </authors>
  <commentList>
    <comment ref="D86" authorId="0" shapeId="0" xr:uid="{00000000-0006-0000-0200-000001000000}">
      <text>
        <r>
          <rPr>
            <b/>
            <sz val="9"/>
            <color indexed="81"/>
            <rFont val="Arial"/>
            <family val="2"/>
          </rPr>
          <t>Der er ingen grøn afgift på motorcykler. Kun vægtafgift.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Kronberg</author>
    <author>Hans Kronberg</author>
  </authors>
  <commentList>
    <comment ref="H24" authorId="0" shapeId="0" xr:uid="{00000000-0006-0000-0500-000001000000}">
      <text>
        <r>
          <rPr>
            <b/>
            <sz val="9"/>
            <color rgb="FF000000"/>
            <rFont val="Tahoma"/>
            <family val="2"/>
          </rPr>
          <t xml:space="preserve">Du kan kun få nedsættelsen, hvis elvarmen er den primære opvarmningsform i din bolig. El-varme defineres som alle former for elvarme - også varme fra varmepumper. 
</t>
        </r>
        <r>
          <rPr>
            <b/>
            <sz val="9"/>
            <color rgb="FF000000"/>
            <rFont val="Tahoma"/>
            <family val="2"/>
          </rPr>
          <t xml:space="preserve">
</t>
        </r>
        <r>
          <rPr>
            <b/>
            <sz val="9"/>
            <color rgb="FF000000"/>
            <rFont val="Tahoma"/>
            <family val="2"/>
          </rPr>
          <t xml:space="preserve">Nedsættelsen sker af den almindelige elafgift.
</t>
        </r>
        <r>
          <rPr>
            <b/>
            <sz val="9"/>
            <color rgb="FF000000"/>
            <rFont val="Tahoma"/>
            <family val="2"/>
          </rPr>
          <t xml:space="preserve">
</t>
        </r>
        <r>
          <rPr>
            <b/>
            <sz val="9"/>
            <color rgb="FF000000"/>
            <rFont val="Tahoma"/>
            <family val="2"/>
          </rPr>
          <t xml:space="preserve">Nedsættelsen sker for forbruget over 4.000 kWh pr. år.
</t>
        </r>
        <r>
          <rPr>
            <b/>
            <sz val="9"/>
            <color rgb="FF000000"/>
            <rFont val="Tahoma"/>
            <family val="2"/>
          </rPr>
          <t xml:space="preserve">
</t>
        </r>
        <r>
          <rPr>
            <b/>
            <sz val="9"/>
            <color rgb="FF000000"/>
            <rFont val="Tahoma"/>
            <family val="2"/>
          </rPr>
          <t xml:space="preserve">
</t>
        </r>
      </text>
    </comment>
    <comment ref="J27" authorId="1" shapeId="0" xr:uid="{00000000-0006-0000-0500-000002000000}">
      <text>
        <r>
          <rPr>
            <b/>
            <sz val="9"/>
            <color rgb="FF000000"/>
            <rFont val="Arial"/>
            <family val="2"/>
          </rPr>
          <t>Elprisstatistikken viser den gennemsnitlige elpris i øre pr. kWh for en forbruger med et årligt forbrug på 4.000 kWh. Detailprisen for el er i en årrække blevet angivet med udgangspunkt i et forbrug på 4.000 kWh. 4.000 kWh er også tæt på det faktiske gennemsnitlige forbrug for en skabelonforbruger i Danmark. Alle forbrugere og virksomheder, som ikke er time-målte er skabelonforbrugere.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R4" authorId="0" shapeId="0" xr:uid="{509E7E7D-2795-2547-9867-BEB7E78E5584}">
      <text>
        <r>
          <rPr>
            <b/>
            <sz val="10"/>
            <color rgb="FF000000"/>
            <rFont val="Tahoma"/>
            <family val="2"/>
          </rPr>
          <t>Kolonnenummer</t>
        </r>
        <r>
          <rPr>
            <sz val="10"/>
            <color rgb="FF000000"/>
            <rFont val="Tahoma"/>
            <family val="2"/>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Kronberg</author>
    <author>Hans Kronberg</author>
  </authors>
  <commentList>
    <comment ref="T3" authorId="0" shapeId="0" xr:uid="{00000000-0006-0000-0900-000001000000}">
      <text>
        <r>
          <rPr>
            <b/>
            <sz val="8"/>
            <color rgb="FF000000"/>
            <rFont val="Tahoma"/>
            <family val="2"/>
          </rPr>
          <t xml:space="preserve">lk:
</t>
        </r>
        <r>
          <rPr>
            <b/>
            <sz val="8"/>
            <color rgb="FF000000"/>
            <rFont val="Tahoma"/>
            <family val="2"/>
          </rPr>
          <t xml:space="preserve">Vandforbrugsafgift (abs) 
</t>
        </r>
        <r>
          <rPr>
            <b/>
            <sz val="8"/>
            <color rgb="FF000000"/>
            <rFont val="Tahoma"/>
            <family val="2"/>
          </rPr>
          <t xml:space="preserve">Definition: Afgiften pr. m3 forbrugt vand inkl. moms og afgifter fra et kommunalt vandværk gældende pr. 1. januar. 
</t>
        </r>
        <r>
          <rPr>
            <b/>
            <sz val="8"/>
            <color rgb="FF000000"/>
            <rFont val="Tahoma"/>
            <family val="2"/>
          </rPr>
          <t xml:space="preserve">Kommentar: Vandforbrugsafgiften vedrører alene borgere, der afregner efter måler. Kommuner, for hvilke der ikke er anført et beløb, har ikke kommunal vandforsyning. 
</t>
        </r>
        <r>
          <rPr>
            <b/>
            <sz val="8"/>
            <color rgb="FF000000"/>
            <rFont val="Tahoma"/>
            <family val="2"/>
          </rPr>
          <t xml:space="preserve">Kilde: Kommunernes indberetning af takstoplysninger til Indenrigs- og Sundhedsministeriet. 
</t>
        </r>
        <r>
          <rPr>
            <b/>
            <sz val="8"/>
            <color rgb="FF000000"/>
            <rFont val="Tahoma"/>
            <family val="2"/>
          </rPr>
          <t xml:space="preserve">
</t>
        </r>
        <r>
          <rPr>
            <b/>
            <sz val="8"/>
            <color rgb="FF000000"/>
            <rFont val="Tahoma"/>
            <family val="2"/>
          </rPr>
          <t xml:space="preserve">Vandafledningsafgift pr. m3 (abs) 
</t>
        </r>
        <r>
          <rPr>
            <b/>
            <sz val="8"/>
            <color rgb="FF000000"/>
            <rFont val="Tahoma"/>
            <family val="2"/>
          </rPr>
          <t xml:space="preserve">Definition: Vandafledningsafgiften pr. m3 udledt spildevand inkl. moms og afgifter. 
</t>
        </r>
        <r>
          <rPr>
            <b/>
            <sz val="8"/>
            <color rgb="FF000000"/>
            <rFont val="Tahoma"/>
            <family val="2"/>
          </rPr>
          <t xml:space="preserve">Kommentar: Vandafledningsafgiften vedrører alene borgere der afregner efter måler. 
</t>
        </r>
        <r>
          <rPr>
            <b/>
            <sz val="8"/>
            <color rgb="FF000000"/>
            <rFont val="Tahoma"/>
            <family val="2"/>
          </rPr>
          <t xml:space="preserve">Kilde: Kommunernes indberetning af takstoplysninger til Indenrigs- og Sundhedsministeriet. 
</t>
        </r>
        <r>
          <rPr>
            <b/>
            <sz val="8"/>
            <color rgb="FF000000"/>
            <rFont val="Tahoma"/>
            <family val="2"/>
          </rPr>
          <t xml:space="preserve">
</t>
        </r>
        <r>
          <rPr>
            <b/>
            <sz val="8"/>
            <color rgb="FF000000"/>
            <rFont val="Tahoma"/>
            <family val="2"/>
          </rPr>
          <t>http://www.noegletal.dk/nwInfoF06.html#nw216</t>
        </r>
      </text>
    </comment>
    <comment ref="U3" authorId="0" shapeId="0" xr:uid="{00000000-0006-0000-0900-000002000000}">
      <text>
        <r>
          <rPr>
            <b/>
            <sz val="8"/>
            <color indexed="81"/>
            <rFont val="Tahoma"/>
            <family val="2"/>
          </rPr>
          <t>lk:
Målerafgift til vandforsyning (abs) 
Definition: Årlig målerafgift inkl. moms og afgifter for leje af måler i forbindelse med vandforsyning for et en-familie-hus/parcelhus fra et kommunalt vandværk gældende pr. 1. januar. 
Kommentar: Kommuner, for hvilke der ikke er anført et beløb, opkræver enten ikke målerafgift eller har ikke kommunale vandværker. 
Kilde: Kommunernes indberetning af takstoplysninger til Indenrigs- og Sundhedsministeriet. 
Fast årlig afgift i forbindelse med udledning af spildevand (abs) 
Definition: Fast årlig afgift for spildevandsafledning. 
Kommentar: Nogle kommuner opkræver ud over afgiften pr. udledt m3 spildevand en fast årlig afgift. Afgiften er opgivet inkl. moms. 
Kilde: Kommunernes indberetning af takstoplysninger til Indenrigs- og Sundhedsministeriet.
http://www.noegletal.dk/nwInfoF06.html#nw216</t>
        </r>
      </text>
    </comment>
    <comment ref="D57" authorId="1" shapeId="0" xr:uid="{00000000-0006-0000-0900-000005000000}">
      <text>
        <r>
          <rPr>
            <b/>
            <sz val="9"/>
            <color rgb="FF000000"/>
            <rFont val="Arial"/>
            <family val="2"/>
          </rPr>
          <t>Uden madordning. De har en ordning i enkelte vuggestuer og børnehaver.</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Kronberg</author>
    <author>Hans Kronberg</author>
  </authors>
  <commentList>
    <comment ref="T3" authorId="0" shapeId="0" xr:uid="{C4FA0DBE-F332-304D-93EF-66CFB8DA4189}">
      <text>
        <r>
          <rPr>
            <b/>
            <sz val="8"/>
            <color rgb="FF000000"/>
            <rFont val="Tahoma"/>
            <family val="2"/>
          </rPr>
          <t xml:space="preserve">lk:
</t>
        </r>
        <r>
          <rPr>
            <b/>
            <sz val="8"/>
            <color rgb="FF000000"/>
            <rFont val="Tahoma"/>
            <family val="2"/>
          </rPr>
          <t xml:space="preserve">Vandforbrugsafgift (abs) 
</t>
        </r>
        <r>
          <rPr>
            <b/>
            <sz val="8"/>
            <color rgb="FF000000"/>
            <rFont val="Tahoma"/>
            <family val="2"/>
          </rPr>
          <t xml:space="preserve">Definition: Afgiften pr. m3 forbrugt vand inkl. moms og afgifter fra et kommunalt vandværk gældende pr. 1. januar. 
</t>
        </r>
        <r>
          <rPr>
            <b/>
            <sz val="8"/>
            <color rgb="FF000000"/>
            <rFont val="Tahoma"/>
            <family val="2"/>
          </rPr>
          <t xml:space="preserve">Kommentar: Vandforbrugsafgiften vedrører alene borgere, der afregner efter måler. Kommuner, for hvilke der ikke er anført et beløb, har ikke kommunal vandforsyning. 
</t>
        </r>
        <r>
          <rPr>
            <b/>
            <sz val="8"/>
            <color rgb="FF000000"/>
            <rFont val="Tahoma"/>
            <family val="2"/>
          </rPr>
          <t xml:space="preserve">Kilde: Kommunernes indberetning af takstoplysninger til Indenrigs- og Sundhedsministeriet. 
</t>
        </r>
        <r>
          <rPr>
            <b/>
            <sz val="8"/>
            <color rgb="FF000000"/>
            <rFont val="Tahoma"/>
            <family val="2"/>
          </rPr>
          <t xml:space="preserve">
</t>
        </r>
        <r>
          <rPr>
            <b/>
            <sz val="8"/>
            <color rgb="FF000000"/>
            <rFont val="Tahoma"/>
            <family val="2"/>
          </rPr>
          <t xml:space="preserve">Vandafledningsafgift pr. m3 (abs) 
</t>
        </r>
        <r>
          <rPr>
            <b/>
            <sz val="8"/>
            <color rgb="FF000000"/>
            <rFont val="Tahoma"/>
            <family val="2"/>
          </rPr>
          <t xml:space="preserve">Definition: Vandafledningsafgiften pr. m3 udledt spildevand inkl. moms og afgifter. 
</t>
        </r>
        <r>
          <rPr>
            <b/>
            <sz val="8"/>
            <color rgb="FF000000"/>
            <rFont val="Tahoma"/>
            <family val="2"/>
          </rPr>
          <t xml:space="preserve">Kommentar: Vandafledningsafgiften vedrører alene borgere der afregner efter måler. 
</t>
        </r>
        <r>
          <rPr>
            <b/>
            <sz val="8"/>
            <color rgb="FF000000"/>
            <rFont val="Tahoma"/>
            <family val="2"/>
          </rPr>
          <t xml:space="preserve">Kilde: Kommunernes indberetning af takstoplysninger til Indenrigs- og Sundhedsministeriet. 
</t>
        </r>
        <r>
          <rPr>
            <b/>
            <sz val="8"/>
            <color rgb="FF000000"/>
            <rFont val="Tahoma"/>
            <family val="2"/>
          </rPr>
          <t xml:space="preserve">
</t>
        </r>
        <r>
          <rPr>
            <b/>
            <sz val="8"/>
            <color rgb="FF000000"/>
            <rFont val="Tahoma"/>
            <family val="2"/>
          </rPr>
          <t>http://www.noegletal.dk/nwInfoF06.html#nw216</t>
        </r>
      </text>
    </comment>
    <comment ref="U3" authorId="0" shapeId="0" xr:uid="{BDB3ACFB-EBCF-5848-8079-EB2103A4B95E}">
      <text>
        <r>
          <rPr>
            <b/>
            <sz val="8"/>
            <color indexed="81"/>
            <rFont val="Tahoma"/>
            <family val="2"/>
          </rPr>
          <t>lk:
Målerafgift til vandforsyning (abs) 
Definition: Årlig målerafgift inkl. moms og afgifter for leje af måler i forbindelse med vandforsyning for et en-familie-hus/parcelhus fra et kommunalt vandværk gældende pr. 1. januar. 
Kommentar: Kommuner, for hvilke der ikke er anført et beløb, opkræver enten ikke målerafgift eller har ikke kommunale vandværker. 
Kilde: Kommunernes indberetning af takstoplysninger til Indenrigs- og Sundhedsministeriet. 
Fast årlig afgift i forbindelse med udledning af spildevand (abs) 
Definition: Fast årlig afgift for spildevandsafledning. 
Kommentar: Nogle kommuner opkræver ud over afgiften pr. udledt m3 spildevand en fast årlig afgift. Afgiften er opgivet inkl. moms. 
Kilde: Kommunernes indberetning af takstoplysninger til Indenrigs- og Sundhedsministeriet.
http://www.noegletal.dk/nwInfoF06.html#nw216</t>
        </r>
      </text>
    </comment>
    <comment ref="D79" authorId="1" shapeId="0" xr:uid="{849F195F-C7CA-A642-B21B-EAFC0BABB453}">
      <text>
        <r>
          <rPr>
            <b/>
            <sz val="9"/>
            <color rgb="FF000000"/>
            <rFont val="Arial"/>
            <family val="2"/>
          </rPr>
          <t>Uden madordning. De har en ordning i enkelte vuggestuer og børnehaver.</t>
        </r>
      </text>
    </comment>
  </commentList>
</comments>
</file>

<file path=xl/sharedStrings.xml><?xml version="1.0" encoding="utf-8"?>
<sst xmlns="http://schemas.openxmlformats.org/spreadsheetml/2006/main" count="14167" uniqueCount="1300">
  <si>
    <t>Se længere nede</t>
  </si>
  <si>
    <t>Egne tal</t>
  </si>
  <si>
    <t>Lille</t>
  </si>
  <si>
    <t>Mellem</t>
  </si>
  <si>
    <t>Ny oliefyr - virkningsgrad er 95 procent</t>
  </si>
  <si>
    <t>Gammelt oliefyr - virkningsgrad 70 procent</t>
  </si>
  <si>
    <t>Gasfyr (nyt)</t>
  </si>
  <si>
    <t>Gasfyr (gammelt)</t>
  </si>
  <si>
    <t>Kommunedata</t>
  </si>
  <si>
    <t>DR licensen</t>
  </si>
  <si>
    <t>8 A-kasser</t>
  </si>
  <si>
    <t>8 fagforeninger</t>
  </si>
  <si>
    <t>Afledte (scope 3)</t>
  </si>
  <si>
    <t>Klimakompasset - fra PE International</t>
  </si>
  <si>
    <t>Klimakompasset - fra Energinet DK's tal 2010 (12 % metoden, gælder for samproduceret kraftvarme</t>
  </si>
  <si>
    <t>Klimakompasset - fra Energinet DK's tal 2010</t>
  </si>
  <si>
    <t>Per person</t>
  </si>
  <si>
    <t>CO2 (ton)
per husstand</t>
  </si>
  <si>
    <t>Total Smartbudget</t>
  </si>
  <si>
    <t>Total DST</t>
  </si>
  <si>
    <t>Ferie, fritid og underholdning</t>
  </si>
  <si>
    <t>Aviser, blade og bøger</t>
  </si>
  <si>
    <t>1. Ferie, fritid og underholdning</t>
  </si>
  <si>
    <t>1. Aviser, bøger og blade</t>
  </si>
  <si>
    <t>Aviser, bøger og blade</t>
  </si>
  <si>
    <t>Vejle</t>
  </si>
  <si>
    <t>Ærø</t>
  </si>
  <si>
    <t>Aabenraa</t>
  </si>
  <si>
    <t>Favrskov</t>
  </si>
  <si>
    <t>Hedensted</t>
  </si>
  <si>
    <t>Herning</t>
  </si>
  <si>
    <t>Holstebro</t>
  </si>
  <si>
    <t>Horsens</t>
  </si>
  <si>
    <t>Ikast-Brande</t>
  </si>
  <si>
    <t>Lemvig</t>
  </si>
  <si>
    <t>Norddjurs</t>
  </si>
  <si>
    <t>Odder</t>
  </si>
  <si>
    <t>Randers</t>
  </si>
  <si>
    <t>Ringkøbing-Skjern</t>
  </si>
  <si>
    <t>Samsø</t>
  </si>
  <si>
    <t>Silkeborg</t>
  </si>
  <si>
    <t>Skanderborg</t>
  </si>
  <si>
    <t>Skive</t>
  </si>
  <si>
    <t>Struer</t>
  </si>
  <si>
    <t>Syddjurs</t>
  </si>
  <si>
    <t>Viborg</t>
  </si>
  <si>
    <t>Århus</t>
  </si>
  <si>
    <t>Brønderslev</t>
  </si>
  <si>
    <t>Frederikshavn</t>
  </si>
  <si>
    <t>Hjørring</t>
  </si>
  <si>
    <t>Jammerbugt</t>
  </si>
  <si>
    <t>Læsø</t>
  </si>
  <si>
    <t>Mariagerfjord</t>
  </si>
  <si>
    <t>Morsø</t>
  </si>
  <si>
    <t>Rebild</t>
  </si>
  <si>
    <t>Thisted</t>
  </si>
  <si>
    <t>Aalborg</t>
  </si>
  <si>
    <t>Hele året</t>
  </si>
  <si>
    <t>Antal forsørgere:</t>
  </si>
  <si>
    <t>Dette maks er ophævet fra 2012.</t>
  </si>
  <si>
    <t>FDM (Medlemskab uden autohjælp)</t>
  </si>
  <si>
    <t>http://www.dr.dk/OmDR/Licens/Fakta%20om%20Licens/Priser_1.htm</t>
  </si>
  <si>
    <t>3-5 år</t>
  </si>
  <si>
    <t>6-9 år</t>
  </si>
  <si>
    <t>pr. år</t>
  </si>
  <si>
    <t>pr. måned/kvartal</t>
  </si>
  <si>
    <t>Djøf</t>
  </si>
  <si>
    <t>kvartal</t>
  </si>
  <si>
    <t>måned</t>
  </si>
  <si>
    <t>Lederne</t>
  </si>
  <si>
    <t>Det Faglige Hus</t>
  </si>
  <si>
    <t>Dansk Journalistforbund</t>
  </si>
  <si>
    <t>Dansk Metal, Hovedstaden</t>
  </si>
  <si>
    <t>Gennemsnit</t>
  </si>
  <si>
    <t>Andre links - fagforeninger</t>
  </si>
  <si>
    <t>http://www.lo.dk/kontakt/LOsmedlemmer/Forbund.aspx</t>
  </si>
  <si>
    <t>LO's forbund</t>
  </si>
  <si>
    <t>3F Fagligt Fælles Forbund</t>
  </si>
  <si>
    <t>HK Kommunal</t>
  </si>
  <si>
    <t>Akademikernes A-kasse (AAK)</t>
  </si>
  <si>
    <t>TV-licens</t>
  </si>
  <si>
    <t>Børnecheck</t>
  </si>
  <si>
    <t>Antal andre enheder</t>
  </si>
  <si>
    <t>Måned/kvartal/halvårligt/årligt</t>
  </si>
  <si>
    <t>m2</t>
  </si>
  <si>
    <t>El</t>
  </si>
  <si>
    <t>Fjernvarme</t>
  </si>
  <si>
    <t>Olie</t>
  </si>
  <si>
    <t>Dialog bolig - opført</t>
  </si>
  <si>
    <t>Vælg byggeår:</t>
  </si>
  <si>
    <t>Antal børn i alt:</t>
  </si>
  <si>
    <t>Brænde</t>
  </si>
  <si>
    <t>Vedligeholdelse</t>
  </si>
  <si>
    <t>Fællesudgifter</t>
  </si>
  <si>
    <t>Indboforsikring</t>
  </si>
  <si>
    <t>Ulykkesforsikring</t>
  </si>
  <si>
    <t>Rejseforsikring</t>
  </si>
  <si>
    <t>Fagforening</t>
  </si>
  <si>
    <t>FDM</t>
  </si>
  <si>
    <t>Gaver</t>
  </si>
  <si>
    <t>Dialogboks bolig</t>
  </si>
  <si>
    <t>Bolig:</t>
  </si>
  <si>
    <t>Feriebolig:</t>
  </si>
  <si>
    <t>Antal biler</t>
  </si>
  <si>
    <t>København</t>
  </si>
  <si>
    <t>Frederiksberg</t>
  </si>
  <si>
    <t>Albertslund</t>
  </si>
  <si>
    <t>Allerød</t>
  </si>
  <si>
    <t>Ballerup</t>
  </si>
  <si>
    <t>Bornholm</t>
  </si>
  <si>
    <t>Brøndby</t>
  </si>
  <si>
    <t>Dragør</t>
  </si>
  <si>
    <t>Egedal</t>
  </si>
  <si>
    <t>Fredensborg</t>
  </si>
  <si>
    <t>Frederikssund</t>
  </si>
  <si>
    <t>Gentofte</t>
  </si>
  <si>
    <t>Gladsaxe</t>
  </si>
  <si>
    <t>Glostrup</t>
  </si>
  <si>
    <t>Gribskov</t>
  </si>
  <si>
    <t>Halsnæs</t>
  </si>
  <si>
    <t>Helsingør</t>
  </si>
  <si>
    <t>Herlev</t>
  </si>
  <si>
    <t>Hillerød</t>
  </si>
  <si>
    <t>Hvidovre</t>
  </si>
  <si>
    <t>Høje-Taastrup</t>
  </si>
  <si>
    <t>Hørsholm</t>
  </si>
  <si>
    <t>Ishøj</t>
  </si>
  <si>
    <t>Lyngby-Taarbæk</t>
  </si>
  <si>
    <t>Rudersdal</t>
  </si>
  <si>
    <t>Rødovre</t>
  </si>
  <si>
    <t>Tårnby</t>
  </si>
  <si>
    <t>Vallensbæk</t>
  </si>
  <si>
    <t>Faxe</t>
  </si>
  <si>
    <t>Greve</t>
  </si>
  <si>
    <t>Guldborgsund</t>
  </si>
  <si>
    <t>Holbæk</t>
  </si>
  <si>
    <t>Kalundborg</t>
  </si>
  <si>
    <t>Køge</t>
  </si>
  <si>
    <t>Lejre</t>
  </si>
  <si>
    <t>Lolland</t>
  </si>
  <si>
    <t>Næstved</t>
  </si>
  <si>
    <t>Odsherred</t>
  </si>
  <si>
    <t>Ringsted</t>
  </si>
  <si>
    <t>Roskilde</t>
  </si>
  <si>
    <t>Slagelse</t>
  </si>
  <si>
    <t>Solrød</t>
  </si>
  <si>
    <t>Sorø</t>
  </si>
  <si>
    <t>Stevns</t>
  </si>
  <si>
    <t>Vordingborg</t>
  </si>
  <si>
    <t>Assens</t>
  </si>
  <si>
    <t>Billund</t>
  </si>
  <si>
    <t>Esbjerg</t>
  </si>
  <si>
    <t>Fanø</t>
  </si>
  <si>
    <t>Fredericia</t>
  </si>
  <si>
    <t>Faaborg-Midtfyn</t>
  </si>
  <si>
    <t>Haderslev</t>
  </si>
  <si>
    <t>Kerteminde</t>
  </si>
  <si>
    <t>Kolding</t>
  </si>
  <si>
    <t>Langeland</t>
  </si>
  <si>
    <t>Middelfart</t>
  </si>
  <si>
    <t>Nyborg</t>
  </si>
  <si>
    <t>Odense</t>
  </si>
  <si>
    <t>Svendborg</t>
  </si>
  <si>
    <t>Sønderborg</t>
  </si>
  <si>
    <t>Tønder</t>
  </si>
  <si>
    <t>Varde</t>
  </si>
  <si>
    <t>Vejen</t>
  </si>
  <si>
    <t>Nøgletal for hele landet:</t>
  </si>
  <si>
    <t>Nøgletal fra dialog:</t>
  </si>
  <si>
    <t>Evt. moms</t>
  </si>
  <si>
    <t>Antal</t>
  </si>
  <si>
    <t>Falck (Bil Basis)</t>
  </si>
  <si>
    <t>Dagpleje</t>
  </si>
  <si>
    <t>Børnehave</t>
  </si>
  <si>
    <t>SFO</t>
  </si>
  <si>
    <t>Region Hovedstaden</t>
  </si>
  <si>
    <t>Region Sjælland</t>
  </si>
  <si>
    <t>Region Syddanmark</t>
  </si>
  <si>
    <t>Region Midtjylland</t>
  </si>
  <si>
    <t>Region Nordjylland</t>
  </si>
  <si>
    <t>Kommuner</t>
  </si>
  <si>
    <t>Regioner</t>
  </si>
  <si>
    <t>Motorcykel</t>
  </si>
  <si>
    <t>Bil</t>
  </si>
  <si>
    <t>Båd</t>
  </si>
  <si>
    <t>Diverse udgifter</t>
  </si>
  <si>
    <t>Valgkolonne</t>
  </si>
  <si>
    <t>ALLE HUSSTANDSTYPER</t>
  </si>
  <si>
    <t>Enlige under 60 år uden børn</t>
  </si>
  <si>
    <t>Enlige med børn</t>
  </si>
  <si>
    <t>2 voksne, hovedperson under 60 år uden børn</t>
  </si>
  <si>
    <t>2 voksne med børn</t>
  </si>
  <si>
    <t>FORBRUG I ALT</t>
  </si>
  <si>
    <t>0-2 år</t>
  </si>
  <si>
    <t>3-6 år</t>
  </si>
  <si>
    <t>Pr. år</t>
  </si>
  <si>
    <t>I alt</t>
  </si>
  <si>
    <t>Vælg:</t>
  </si>
  <si>
    <t>Ingen børn</t>
  </si>
  <si>
    <t>Fra Danmarks Statistik</t>
  </si>
  <si>
    <t>Under 60</t>
  </si>
  <si>
    <t>med børn</t>
  </si>
  <si>
    <t>5,6 - 5,9</t>
  </si>
  <si>
    <t>&lt; 4,5</t>
  </si>
  <si>
    <t>&gt; 20</t>
  </si>
  <si>
    <t>Nummer valgt</t>
  </si>
  <si>
    <t>Afgift pr. personbil:</t>
  </si>
  <si>
    <t xml:space="preserve">halvt år </t>
  </si>
  <si>
    <t>Helt år</t>
  </si>
  <si>
    <t>http://www.skm.dk/tal_statistik/satser_og_beloeb/183.html</t>
  </si>
  <si>
    <t>A. Dieseldrevne personbiler mv.</t>
  </si>
  <si>
    <t>&gt; 32,1</t>
  </si>
  <si>
    <t>Bil - ejerafgift - diesel</t>
  </si>
  <si>
    <t>28,1 - 32,1</t>
  </si>
  <si>
    <t>25,0 - 28,1</t>
  </si>
  <si>
    <t>22,5 - 25,0</t>
  </si>
  <si>
    <t>20,5 - 22,5</t>
  </si>
  <si>
    <t>18,8 - 20,5</t>
  </si>
  <si>
    <t>17,3 - 18,8</t>
  </si>
  <si>
    <t>16,1 - 17,3</t>
  </si>
  <si>
    <t>15,0 - 16,1</t>
  </si>
  <si>
    <t>14,1 - 15,0</t>
  </si>
  <si>
    <t>13,2 - 14,1</t>
  </si>
  <si>
    <t>2. Flere forsørgere</t>
  </si>
  <si>
    <t>1. En forsørger</t>
  </si>
  <si>
    <t>Valg 1, 2 eller flere</t>
  </si>
  <si>
    <t>Flere end to --&gt;</t>
  </si>
  <si>
    <t>A-kasse</t>
  </si>
  <si>
    <t>Privatforbrug</t>
  </si>
  <si>
    <t>Bolig</t>
  </si>
  <si>
    <t>Transport</t>
  </si>
  <si>
    <t>Antal voksne:</t>
  </si>
  <si>
    <t>1. Boligudstyr og indretning</t>
  </si>
  <si>
    <t>2. Boligudstyr og indretning</t>
  </si>
  <si>
    <t>Én</t>
  </si>
  <si>
    <t>To</t>
  </si>
  <si>
    <t>Pr. måned</t>
  </si>
  <si>
    <t>Km/liter</t>
  </si>
  <si>
    <t xml:space="preserve">Bil - Grøn ejerafgift - benzindrevne </t>
  </si>
  <si>
    <t>Antal børn --&gt;</t>
  </si>
  <si>
    <t>% op --&gt;</t>
  </si>
  <si>
    <t>kr. pr. år --&gt;</t>
  </si>
  <si>
    <t>Kæledyr</t>
  </si>
  <si>
    <t>Alle</t>
  </si>
  <si>
    <t>husstande</t>
  </si>
  <si>
    <t>2. Tøj/sko</t>
  </si>
  <si>
    <t>2. Gaver</t>
  </si>
  <si>
    <t>2. Tandlæge</t>
  </si>
  <si>
    <t>2. Offentlig transport/taxi</t>
  </si>
  <si>
    <t>1. Tandlæge</t>
  </si>
  <si>
    <t>1. Offentlig transport/taxi</t>
  </si>
  <si>
    <t>1. Gaver</t>
  </si>
  <si>
    <t>1. Tøj/sko</t>
  </si>
  <si>
    <t>Simple valg</t>
  </si>
  <si>
    <t>Modeller</t>
  </si>
  <si>
    <t>A. Benzindrevne personbiler mv.</t>
  </si>
  <si>
    <t>Privat alarm</t>
  </si>
  <si>
    <t>Sygesikring Danmark</t>
  </si>
  <si>
    <t>Kontingenter</t>
  </si>
  <si>
    <t>Internet</t>
  </si>
  <si>
    <t>Nykredit Forsikring efter antal skadesfri år</t>
  </si>
  <si>
    <t>Årsabonnement hos FDM</t>
  </si>
  <si>
    <t>Benzin</t>
  </si>
  <si>
    <t>Billån</t>
  </si>
  <si>
    <t>Værksted</t>
  </si>
  <si>
    <t>Offentlig transport/taxi</t>
  </si>
  <si>
    <t>Enlig uden børn:</t>
  </si>
  <si>
    <t>Enlig med børn:</t>
  </si>
  <si>
    <t>Enlige uden børn - F</t>
  </si>
  <si>
    <t>Enlig med børn - H</t>
  </si>
  <si>
    <t>Gennemsnit - D</t>
  </si>
  <si>
    <t>2 voksne uden børn - J</t>
  </si>
  <si>
    <t>2 voksne med børn - L</t>
  </si>
  <si>
    <t>Indtægter pr. måned:</t>
  </si>
  <si>
    <t>7-14 år</t>
  </si>
  <si>
    <t>15-17 år</t>
  </si>
  <si>
    <t>Pr. kvartal / måned</t>
  </si>
  <si>
    <t>Max. på den samlede ydelse</t>
  </si>
  <si>
    <t>Valg efter antal børn - før reduktion</t>
  </si>
  <si>
    <t>12,5 - 13,2</t>
  </si>
  <si>
    <t>11,9 - 12,5</t>
  </si>
  <si>
    <t>11,3 - 11,9</t>
  </si>
  <si>
    <t>10,2 - 11,3</t>
  </si>
  <si>
    <t>9,4 - 10,2</t>
  </si>
  <si>
    <t>8,7 - 9,4</t>
  </si>
  <si>
    <t>8,1 - 8,7</t>
  </si>
  <si>
    <t>7,5 - 8,1</t>
  </si>
  <si>
    <t>7,0 - 7,5</t>
  </si>
  <si>
    <t>6,6 - 7,0</t>
  </si>
  <si>
    <t>6,2 - 6,6</t>
  </si>
  <si>
    <t>5,9 - 6,2</t>
  </si>
  <si>
    <t>5,4 - 5,6</t>
  </si>
  <si>
    <t>5,1 - 5,4</t>
  </si>
  <si>
    <t>&lt; 5,1</t>
  </si>
  <si>
    <t>Vægtafgift motorcykler</t>
  </si>
  <si>
    <t>Af personbiler, der er indregistreret første gang før 1. juli 1997 betales vægt­afgift,</t>
  </si>
  <si>
    <t>helt år</t>
  </si>
  <si>
    <t>Vægtafgift motorcykel</t>
  </si>
  <si>
    <t xml:space="preserve">Sygesikringen Danmark, Gruppe 5 </t>
  </si>
  <si>
    <t>Grundejerforening</t>
  </si>
  <si>
    <t>Dagligvarer og husholdning</t>
  </si>
  <si>
    <t>Tøj og sko</t>
  </si>
  <si>
    <t>Boligudstyr og indretning</t>
  </si>
  <si>
    <t>Eget hus</t>
  </si>
  <si>
    <t>Lejet lejlighed</t>
  </si>
  <si>
    <t>Andelsbolig</t>
  </si>
  <si>
    <t>Bil 2: 3 år skadefri</t>
  </si>
  <si>
    <t>Bil 2: Elitebillist</t>
  </si>
  <si>
    <t>Bil 3: 3 år skadefri</t>
  </si>
  <si>
    <t>Bil 4: 3 år skadefri</t>
  </si>
  <si>
    <t>Bil 4: Elitebillist</t>
  </si>
  <si>
    <t>Vuggestue</t>
  </si>
  <si>
    <t>SFO (0.-3. klasse)</t>
  </si>
  <si>
    <t>Vand</t>
  </si>
  <si>
    <t xml:space="preserve">Lille </t>
  </si>
  <si>
    <t xml:space="preserve">Mellem </t>
  </si>
  <si>
    <t>Stor</t>
  </si>
  <si>
    <t>Meget stor</t>
  </si>
  <si>
    <t>Konstant</t>
  </si>
  <si>
    <t>kWh</t>
  </si>
  <si>
    <t>Variabel efter kvadratmeter</t>
  </si>
  <si>
    <t>Kvadratmeter boligareal</t>
  </si>
  <si>
    <t>Boligtype:</t>
  </si>
  <si>
    <t>Antal kWh til opvarmning af bolig</t>
  </si>
  <si>
    <t>Varmekilde:</t>
  </si>
  <si>
    <t>Priser pr. kWh:</t>
  </si>
  <si>
    <t>Gasfyr</t>
  </si>
  <si>
    <t>Pillefyr</t>
  </si>
  <si>
    <t>Oliefyr (nyt)</t>
  </si>
  <si>
    <t>Oliefyr (gammelt)</t>
  </si>
  <si>
    <t>kr./kWh</t>
  </si>
  <si>
    <t>Det valgte fyr er:</t>
  </si>
  <si>
    <t xml:space="preserve">Varmeudgift til det valgte fyr </t>
  </si>
  <si>
    <t>Kvadratmeter boligareal (valgt i Start)</t>
  </si>
  <si>
    <t>Prisen pr. kWh for det valgte fyr</t>
  </si>
  <si>
    <t>kr.</t>
  </si>
  <si>
    <t>Valg mellem de to</t>
  </si>
  <si>
    <t>Den valgte bolig er:</t>
  </si>
  <si>
    <t>2 v med børn:</t>
  </si>
  <si>
    <t>2 v uden børn:</t>
  </si>
  <si>
    <t>2. Aviser og blade</t>
  </si>
  <si>
    <t>&lt;--      Grøn ejerafgift benzinbiler      --&gt;</t>
  </si>
  <si>
    <t>Nordfyn</t>
  </si>
  <si>
    <t>Vesthimmerland</t>
  </si>
  <si>
    <t>1. Dagligvarer og husholdning</t>
  </si>
  <si>
    <t>2. Dagligvarer og husholdning</t>
  </si>
  <si>
    <t>Tandlæge</t>
  </si>
  <si>
    <t>Bruger</t>
  </si>
  <si>
    <t>Familie</t>
  </si>
  <si>
    <t>Hvem?</t>
  </si>
  <si>
    <t>Hans</t>
  </si>
  <si>
    <t>Medicin og øvrige lægeudgifter</t>
  </si>
  <si>
    <t>Boligudgift</t>
  </si>
  <si>
    <t>Husforsikring</t>
  </si>
  <si>
    <t>Nykredit</t>
  </si>
  <si>
    <t>Ejendomsskat</t>
  </si>
  <si>
    <t>BBR efter adresse</t>
  </si>
  <si>
    <t>Fritidshus udgifter</t>
  </si>
  <si>
    <t>Varme</t>
  </si>
  <si>
    <t>El/gas</t>
  </si>
  <si>
    <t>Skole</t>
  </si>
  <si>
    <t>Bruger - f.eks. privatskole</t>
  </si>
  <si>
    <t>Vuggestue/Dagpleje</t>
  </si>
  <si>
    <r>
      <t>Elforbrug i etageboliger:</t>
    </r>
    <r>
      <rPr>
        <sz val="10"/>
        <rFont val="Arial"/>
        <family val="2"/>
      </rPr>
      <t xml:space="preserve"> 340 kWh + 11 kWh/m2* kvadratmeter bolig + 350 kWh/pers. * antal personer</t>
    </r>
  </si>
  <si>
    <t>Valg mellem de to:</t>
  </si>
  <si>
    <t>Vandforbrug i parcelhuse:</t>
  </si>
  <si>
    <t>52 m3 + 26 m3/pers.* antal personer</t>
  </si>
  <si>
    <t>Vandforbrug i etageboliger:</t>
  </si>
  <si>
    <t>33 m3 + 21 m3/pers.* antal personer</t>
  </si>
  <si>
    <r>
      <t>Vandforbrug i parcelhuse:</t>
    </r>
    <r>
      <rPr>
        <sz val="10"/>
        <rFont val="Arial"/>
        <family val="2"/>
      </rPr>
      <t xml:space="preserve"> 52 m3 + 26 m3/pers.* antal personer</t>
    </r>
  </si>
  <si>
    <t>m3</t>
  </si>
  <si>
    <t>m3 pr. person</t>
  </si>
  <si>
    <t>Antal personer</t>
  </si>
  <si>
    <t>Vandforbrug i m3</t>
  </si>
  <si>
    <r>
      <t>Vandforbrug i etageboliger:</t>
    </r>
    <r>
      <rPr>
        <sz val="10"/>
        <rFont val="Arial"/>
        <family val="2"/>
      </rPr>
      <t xml:space="preserve"> 33 m3 + 21 m3/pers.* antal personer</t>
    </r>
  </si>
  <si>
    <t>Den variable pris pr. m3 (afledning og forbrug i den valgte kommune)</t>
  </si>
  <si>
    <t>Fast vandafgift pr. år i den valgte kommune</t>
  </si>
  <si>
    <t>Den årlige udgift til vand i den valgte kommune</t>
  </si>
  <si>
    <t>Udgifter pr. måned i alt:</t>
  </si>
  <si>
    <t>Fra den 1. april 2010 opkræves endvidere et tillæg på 1.000 kr. årligt for alle dieseldrevne personbiler uden godkendt partikelfilter. Det samme gælder for dieseldrevne varebiler med en tilladt totalvægt på ikke over 3.500 kg., der er registreret første gang den 18. marts 2009 eller senere.</t>
  </si>
  <si>
    <t>Opdateret</t>
  </si>
  <si>
    <t>Valgt antal</t>
  </si>
  <si>
    <t>Grøn ejerafgift</t>
  </si>
  <si>
    <t>Benzin-biler:</t>
  </si>
  <si>
    <t>1. Telefoni</t>
  </si>
  <si>
    <t>2. Telefoni</t>
  </si>
  <si>
    <t>1. Vedligeholdelse</t>
  </si>
  <si>
    <t>2. Vedligeholdelse</t>
  </si>
  <si>
    <t>Flere end 2 voksne så pr. stk.</t>
  </si>
  <si>
    <t>Ydelse over max.</t>
  </si>
  <si>
    <t>Overgangsordning I for 2011 - beskæringen kan højest udgøre 1/3-del af ydelsen over max.</t>
  </si>
  <si>
    <t>Overgangsordning 2 for 2011 - beskæring på max. 12000</t>
  </si>
  <si>
    <t xml:space="preserve">Se Skat.dk om takster: </t>
  </si>
  <si>
    <t>ok</t>
  </si>
  <si>
    <t>Indtægt i alt</t>
  </si>
  <si>
    <t>Hvis(valg…</t>
  </si>
  <si>
    <t>Tal der styrer:</t>
  </si>
  <si>
    <t>Juster efter disse:</t>
  </si>
  <si>
    <t>1. Medicin og lægeudgifter</t>
  </si>
  <si>
    <t>2. Medicin og lægeudgifter</t>
  </si>
  <si>
    <t>2. Ferie og fritid</t>
  </si>
  <si>
    <t>Afledning og forbrug pr m3</t>
  </si>
  <si>
    <t>Fast vandafgift pr. år</t>
  </si>
  <si>
    <t>Bil 1: Elitebillist</t>
  </si>
  <si>
    <t>kr. pr. måned</t>
  </si>
  <si>
    <t>Beregnet ud fra boligtype, m2 og varmekilde. Se under modeller</t>
  </si>
  <si>
    <t>Beregnet ud fra m2 og antal personer. Se under modeller.</t>
  </si>
  <si>
    <t>Beregnet ud fra antal m2 og antal personer. Se under modeller</t>
  </si>
  <si>
    <t>Beregning kan dog laves.</t>
  </si>
  <si>
    <t>El 2</t>
  </si>
  <si>
    <t>Antal voksne</t>
  </si>
  <si>
    <r>
      <t>El-forbrug i parcelhuse:</t>
    </r>
    <r>
      <rPr>
        <sz val="10"/>
        <rFont val="Arial"/>
        <family val="2"/>
      </rPr>
      <t xml:space="preserve"> 7.9 * iAreal + 950 * iAdults + 539 * iTeens + 320 * iChildren) + 1212</t>
    </r>
  </si>
  <si>
    <t>Antal teenagere</t>
  </si>
  <si>
    <t>Antal børn</t>
  </si>
  <si>
    <r>
      <t>El-forbrug i lejligheder:</t>
    </r>
    <r>
      <rPr>
        <sz val="10"/>
        <rFont val="Arial"/>
        <family val="2"/>
      </rPr>
      <t xml:space="preserve"> 11.6 * iAreal + 747 * iAdults + 450 * iTeens + 203 * iChildren) + 168</t>
    </r>
  </si>
  <si>
    <t>El-model 1:</t>
  </si>
  <si>
    <t>Model fra: Danish Building Research Institute -  Kirsten Gram-Hanssen. http://www.en.sbi.dk/miljo-og-energi/livsstil-og-adferd/husholdningers-energi-og-vandforbrug/sammenfatning</t>
  </si>
  <si>
    <t>Model fra: Hans Skyum Larsen hsl@it-energy.dk</t>
  </si>
  <si>
    <t>Links:</t>
  </si>
  <si>
    <t>http://www.sns.dk/byer-byg/Netpub/ReSAVE/kap21.htm</t>
  </si>
  <si>
    <t>http://studenttheses.cbs.dk/bitstream/handle/10417/774/louise_jensen.pdf?sequence=1</t>
  </si>
  <si>
    <t>Oliefyr:</t>
  </si>
  <si>
    <t>1 kg træpiller indeholder</t>
  </si>
  <si>
    <t>kWh pr. liter olie</t>
  </si>
  <si>
    <t>kWh pr. kubikmeter naturgas</t>
  </si>
  <si>
    <t>Fyr fra 1977 eller før.</t>
  </si>
  <si>
    <t>1 liter olie indeholder optimalt</t>
  </si>
  <si>
    <t>1 kubikmeter naturgas indeholder optimalt</t>
  </si>
  <si>
    <t>Nyt gasfyr - virkningsgrad 96 procent</t>
  </si>
  <si>
    <t>Gammelt gasfyr - virkningsgrad 75 procent</t>
  </si>
  <si>
    <t>Nyt pillefyr - virkningsgrad 95 %</t>
  </si>
  <si>
    <t>kWh pr. kg</t>
  </si>
  <si>
    <t>Prisen på et kilo træpiller:</t>
  </si>
  <si>
    <t>Ejerlejlighed</t>
  </si>
  <si>
    <t>Lejelejlighed</t>
  </si>
  <si>
    <t>Konstant 1</t>
  </si>
  <si>
    <t>Konstant 2</t>
  </si>
  <si>
    <t>Konstant 3</t>
  </si>
  <si>
    <t>Antal personer (valgt i start)</t>
  </si>
  <si>
    <t>Elforbrug i kWh</t>
  </si>
  <si>
    <t>kWh pr. person</t>
  </si>
  <si>
    <t>Pristen for én kWh</t>
  </si>
  <si>
    <r>
      <t>Elforbrug i parcelhus:</t>
    </r>
    <r>
      <rPr>
        <sz val="10"/>
        <rFont val="Arial"/>
        <family val="2"/>
      </rPr>
      <t xml:space="preserve"> 530 kWh + 12 kWh/m2*kvadratmeter bolig + 690 kWh/pers. * antal personer</t>
    </r>
  </si>
  <si>
    <r>
      <t>Varmeforbrug i parcelhuse:</t>
    </r>
    <r>
      <rPr>
        <b/>
        <sz val="10"/>
        <rFont val="Arial"/>
        <family val="2"/>
      </rPr>
      <t xml:space="preserve"> </t>
    </r>
    <r>
      <rPr>
        <sz val="10"/>
        <rFont val="Arial"/>
        <family val="2"/>
      </rPr>
      <t>4816 kWh + 104kWh/m2 * kvadratmeter bolig.</t>
    </r>
  </si>
  <si>
    <t>Udgift til el i et år</t>
  </si>
  <si>
    <t>Gammelt oliefyr:</t>
  </si>
  <si>
    <t>Nyt gasfyr:</t>
  </si>
  <si>
    <t>Gammelt gasfyr:</t>
  </si>
  <si>
    <t>Aktuelt pris på naturgas:</t>
  </si>
  <si>
    <t>kr. pr. m3</t>
  </si>
  <si>
    <t>kr. pr. kWh inklusiv moms</t>
  </si>
  <si>
    <t>Nyt pillefyr:</t>
  </si>
  <si>
    <t>kr. pr. kWh  inklusiv moms</t>
  </si>
  <si>
    <t>Standardhus på 130 m2</t>
  </si>
  <si>
    <t>Prisen pr. kWh</t>
  </si>
  <si>
    <t>Eget parcelhus e.l.</t>
  </si>
  <si>
    <t xml:space="preserve">Eget hus </t>
  </si>
  <si>
    <t>Danmarks Statistik</t>
  </si>
  <si>
    <t>Det valgte antal m2</t>
  </si>
  <si>
    <t>Den valgte bolig fra dialog - tal</t>
  </si>
  <si>
    <t>Den valgte bolig - beløb</t>
  </si>
  <si>
    <t>Vedligeholdelse pr. m2</t>
  </si>
  <si>
    <t>Parcelhus - standard antal m2</t>
  </si>
  <si>
    <t>Ejerlejlighed - standard antal m2</t>
  </si>
  <si>
    <t>Lejelejlighed - standard antal m2</t>
  </si>
  <si>
    <t>Andelsbolig - standard antal m2</t>
  </si>
  <si>
    <t>Over/under standard antal m2</t>
  </si>
  <si>
    <t>+/- for afvigelse fra standard</t>
  </si>
  <si>
    <t>Det valgte antal voksne</t>
  </si>
  <si>
    <t>Det valgte antal børn</t>
  </si>
  <si>
    <t>Beløb til korrigering hvis mindre end 2 voksne</t>
  </si>
  <si>
    <t>1. korrektion: Vedligeholdelse justeret efter m2</t>
  </si>
  <si>
    <t>2. korrektion: Efter voksne</t>
  </si>
  <si>
    <t>3. korrektion: Efter børn</t>
  </si>
  <si>
    <t>Model</t>
  </si>
  <si>
    <t>Beløb til korrigering hvis ingen børn</t>
  </si>
  <si>
    <t>Træpillefyr</t>
  </si>
  <si>
    <t>Baseret på følgende beregninger:</t>
  </si>
  <si>
    <t>http://www.sm.dk/temaer/sociale-omraader/boern-unge-og-familie/dagtilbudsomraadet/dagtilbud/tilskud-og-foraeldrebetaling/Sider/Start.aspx</t>
  </si>
  <si>
    <t>Beregnet efter antal biler og deres størrelse</t>
  </si>
  <si>
    <t>0-1</t>
  </si>
  <si>
    <t>1-2</t>
  </si>
  <si>
    <t>2-3</t>
  </si>
  <si>
    <t>3-4</t>
  </si>
  <si>
    <t>4-5</t>
  </si>
  <si>
    <t>5-6</t>
  </si>
  <si>
    <t>7-8</t>
  </si>
  <si>
    <t>6-7</t>
  </si>
  <si>
    <t>Copy</t>
  </si>
  <si>
    <t>1. Gaver, velgørenhed</t>
  </si>
  <si>
    <t>2. Gaver, velgørenhed</t>
  </si>
  <si>
    <t>Udgiften i den valgte kommune gange antal børn i aldersgruppen under hensyn til søskenderabat på 50 procent.</t>
  </si>
  <si>
    <t>Links om reglerne:</t>
  </si>
  <si>
    <t>g/kr</t>
  </si>
  <si>
    <t>&lt;-- ret ved prisændringer</t>
  </si>
  <si>
    <t xml:space="preserve">Aktuel pris på fyringsolie: </t>
  </si>
  <si>
    <t>kr. pr. liter</t>
  </si>
  <si>
    <t xml:space="preserve">Nyt oliefyr: </t>
  </si>
  <si>
    <t>Valgt i Start</t>
  </si>
  <si>
    <t xml:space="preserve">0-2 år: </t>
  </si>
  <si>
    <t xml:space="preserve">3-6 år: </t>
  </si>
  <si>
    <t xml:space="preserve">7-14 år: </t>
  </si>
  <si>
    <t xml:space="preserve">I alt </t>
  </si>
  <si>
    <r>
      <t xml:space="preserve">Søskendetilskud </t>
    </r>
    <r>
      <rPr>
        <sz val="10"/>
        <rFont val="Arial"/>
        <family val="2"/>
      </rPr>
      <t xml:space="preserve">- beregning af antal børn efter søskenderabat. </t>
    </r>
  </si>
  <si>
    <t>Elpris</t>
  </si>
  <si>
    <t>(IO forest products)</t>
  </si>
  <si>
    <t>Faktorer til at beregne CO2</t>
  </si>
  <si>
    <t>Træpiller</t>
  </si>
  <si>
    <t>Olie udvinding</t>
  </si>
  <si>
    <t>Afbrænding, olie</t>
  </si>
  <si>
    <t>g/l</t>
  </si>
  <si>
    <t>udfra en udledning på 276 g/kwh (Emissionsfaktoren er beregnet på baggrund af DMU’s emissionsfaktorer for gasolie: Energinet DK (2011): Metoder og datagrundlag til Miljørapport 2011) og et energiindhold på 10 Kwh pr. liter</t>
  </si>
  <si>
    <t xml:space="preserve">Oliepris </t>
  </si>
  <si>
    <t>kr/l</t>
  </si>
  <si>
    <t>Naturgas</t>
  </si>
  <si>
    <t>Gas udvinding</t>
  </si>
  <si>
    <t>Afbrænding, gas</t>
  </si>
  <si>
    <t>g/nm3</t>
  </si>
  <si>
    <t>udfra en udledning på 205 g/kwh (Emissionsfaktoren er beregnet på baggrund af DMU’s emissionsfaktorer for gasolie: Energinet DK (2011): Metoder og datagrundlag til Miljørapport 2011) og et energiindhold på 11,10 Kwh pr. nm3</t>
  </si>
  <si>
    <t xml:space="preserve">gaspris </t>
  </si>
  <si>
    <t>kr/nm3</t>
  </si>
  <si>
    <t>Fjernvarmeproduktion</t>
  </si>
  <si>
    <t>g/kwh</t>
  </si>
  <si>
    <t>Fjernvarmepris</t>
  </si>
  <si>
    <t>kr/kwh</t>
  </si>
  <si>
    <t>Samlet udledning</t>
  </si>
  <si>
    <t>Elproduktion</t>
  </si>
  <si>
    <t>Furesø</t>
  </si>
  <si>
    <t>http://www.skm.dk/skatteomraadet/talogstatistik/satser_og_beloeb/183.html</t>
  </si>
  <si>
    <t xml:space="preserve">Der er trukket fra for rabat ved el-varme. Se note. </t>
  </si>
  <si>
    <t>Tøj/sko</t>
  </si>
  <si>
    <t>Medicin og lægeudgifter</t>
  </si>
  <si>
    <t>Gaver, velgørenhed</t>
  </si>
  <si>
    <t>Kroner op --&gt;</t>
  </si>
  <si>
    <t>Alle husstande</t>
  </si>
  <si>
    <t>Voksenækvivalenterne</t>
  </si>
  <si>
    <t>OECD</t>
  </si>
  <si>
    <t>I model</t>
  </si>
  <si>
    <t>Første person &gt; 14 år</t>
  </si>
  <si>
    <t>Efterfølgende &gt; 14 år</t>
  </si>
  <si>
    <t>Børn 0-14 år</t>
  </si>
  <si>
    <t>Efter to børn</t>
  </si>
  <si>
    <t>Forbrugsenhed:</t>
  </si>
  <si>
    <t>Forbrugsenheder pr. barn:</t>
  </si>
  <si>
    <t>Forbrug for</t>
  </si>
  <si>
    <t>Vækst år til år --&gt;</t>
  </si>
  <si>
    <t/>
  </si>
  <si>
    <t>Personer</t>
  </si>
  <si>
    <t>Forbrugsenheder</t>
  </si>
  <si>
    <t>(voksenækvivalenter)</t>
  </si>
  <si>
    <t>Antal voksne i familien</t>
  </si>
  <si>
    <t>Børn 0-2 år --&gt;</t>
  </si>
  <si>
    <t>Børn 3-6 år --&gt;</t>
  </si>
  <si>
    <t>Børn 7-14 år --&gt;</t>
  </si>
  <si>
    <t>Børn 15-17 år --&gt;</t>
  </si>
  <si>
    <t>Voksne i alt &gt;14 år</t>
  </si>
  <si>
    <t>Beregning af FE-voksne:</t>
  </si>
  <si>
    <t>Børn i alt &lt;14 år</t>
  </si>
  <si>
    <t>Beregning af FE-børn:</t>
  </si>
  <si>
    <t>Forbrugsenheder i alt</t>
  </si>
  <si>
    <t>Kroner pr. forbrugsenhed</t>
  </si>
  <si>
    <t>Familierne antallet af forbrugsenheder:</t>
  </si>
  <si>
    <t>Kommune id</t>
  </si>
  <si>
    <t>Bil 1: Nybegynder</t>
  </si>
  <si>
    <t>Bil 2: Nybegynder</t>
  </si>
  <si>
    <t>Bil 3: Nybegynder</t>
  </si>
  <si>
    <t>Bil 3: Elitebillist</t>
  </si>
  <si>
    <t>Bil 4: Nybegynder</t>
  </si>
  <si>
    <t>Bil 1: 3 år skadesfri</t>
  </si>
  <si>
    <t>Nykredit Forsikring - efter kommune</t>
  </si>
  <si>
    <t>El uden varmerabat</t>
  </si>
  <si>
    <t>Kvartal/måned</t>
  </si>
  <si>
    <t>Reduktion af børne- og ungeydelsen hvis høje indtægter</t>
  </si>
  <si>
    <t xml:space="preserve">Hvis der er børn under 18 år i husstanden, skal der ekstra spørgsmål ind i tungerne for navn og indtægt: </t>
  </si>
  <si>
    <t>Månedsløn før skat --&gt;</t>
  </si>
  <si>
    <t>Hvis der kun er én voksen:</t>
  </si>
  <si>
    <t>Hvis der er flere end én voksen:</t>
  </si>
  <si>
    <t>Hvis ugifte:</t>
  </si>
  <si>
    <t>Er I gift eller ugift? --&gt;</t>
  </si>
  <si>
    <t>Hvis gifte:</t>
  </si>
  <si>
    <t>Samlet indkomst:</t>
  </si>
  <si>
    <t>2 procent af dette</t>
  </si>
  <si>
    <t>Fratræk for høj indkomst</t>
  </si>
  <si>
    <t>Udbetaling før eventuel fratræk for høj indkomst</t>
  </si>
  <si>
    <t>Valg af indkomst pr. måned</t>
  </si>
  <si>
    <t>Valg af indkomst pr. år</t>
  </si>
  <si>
    <t>Styring af valg</t>
  </si>
  <si>
    <t>Indkomst før skat hos den, der modtager børne- og ungeydelsen --&gt;</t>
  </si>
  <si>
    <t>Indkomst over beskatningsgrundlag</t>
  </si>
  <si>
    <t>Den valgte indkomst til aftrapning:</t>
  </si>
  <si>
    <t>Kroner pr. år</t>
  </si>
  <si>
    <t xml:space="preserve">Reglerne - Skatteministeriet: </t>
  </si>
  <si>
    <t>https://www.retsinformation.dk/Forms/R0710.aspx?id=143287</t>
  </si>
  <si>
    <t>Indkomst pr. måned før skat hos person 1 --&gt;</t>
  </si>
  <si>
    <t>Indkomst pr. måned før skat hos person 2 --&gt;</t>
  </si>
  <si>
    <t>Antal måneder</t>
  </si>
  <si>
    <t>Måneder</t>
  </si>
  <si>
    <t>Aktuel pris: 11.02.2014</t>
  </si>
  <si>
    <t>Aktuel pris: Hos DONG. Det kan være billigere, men også dyrere.</t>
  </si>
  <si>
    <t>Aarhus</t>
  </si>
  <si>
    <t xml:space="preserve">København: </t>
  </si>
  <si>
    <t xml:space="preserve">Dragør: </t>
  </si>
  <si>
    <t xml:space="preserve">Albertslund: </t>
  </si>
  <si>
    <t xml:space="preserve">Svendborg: </t>
  </si>
  <si>
    <t>pr. m3</t>
  </si>
  <si>
    <t xml:space="preserve">Vandafledningsbidrag pr. spildevandsstik </t>
  </si>
  <si>
    <t>Fast vandbidrag pr. måler</t>
  </si>
  <si>
    <t>Fast afgift består af disse to (pris inkl. moms):</t>
  </si>
  <si>
    <t>http://www.vandogaffald.dk/vand/priser</t>
  </si>
  <si>
    <t>Faste afgifter</t>
  </si>
  <si>
    <t>&lt;-- Nu fast gennemsnitspris</t>
  </si>
  <si>
    <t>http://www.skm.dk/skattetal/satser/satser-og-beloebsgraenser/boerne-og-ungeydelsesloven/</t>
  </si>
  <si>
    <t>Beregning af bundfradraget før AM-bidrag:</t>
  </si>
  <si>
    <t>Bundfradraget før AM-bidraget:</t>
  </si>
  <si>
    <t>Prisen --&gt;</t>
  </si>
  <si>
    <t>Standardhus på 130 m2 (gennemsnitaugust 2014)</t>
  </si>
  <si>
    <t>--&gt;</t>
  </si>
  <si>
    <t>https://www.retsinformation.dk/forms/r0710.aspx?id=145909</t>
  </si>
  <si>
    <t>Personskattelovens § 7</t>
  </si>
  <si>
    <t>Børnecheck efter fratræk for høje indkomster pr. år</t>
  </si>
  <si>
    <t>pr. måned:</t>
  </si>
  <si>
    <t>Nykredits Smartbudget</t>
  </si>
  <si>
    <t>Inputtal fra brugere</t>
  </si>
  <si>
    <t>Person 1</t>
  </si>
  <si>
    <t>Person 3</t>
  </si>
  <si>
    <t>Person 2</t>
  </si>
  <si>
    <t>Person 4</t>
  </si>
  <si>
    <t>Person 5</t>
  </si>
  <si>
    <t>Person 6</t>
  </si>
  <si>
    <t>Boligudgift pr. måned</t>
  </si>
  <si>
    <t>Kommune</t>
  </si>
  <si>
    <t>Alle celler udpeget med --&gt; er inputceller</t>
  </si>
  <si>
    <t>efter skat</t>
  </si>
  <si>
    <t>før skat</t>
  </si>
  <si>
    <t>Familien:</t>
  </si>
  <si>
    <t>Skriv antal</t>
  </si>
  <si>
    <t>Børn:</t>
  </si>
  <si>
    <t>Biler:</t>
  </si>
  <si>
    <t>Benzin - forbrug pr. måned</t>
  </si>
  <si>
    <t>Billån pr. måned</t>
  </si>
  <si>
    <t>Budgettet</t>
  </si>
  <si>
    <t>Antal børn:</t>
  </si>
  <si>
    <t>Antal biler:</t>
  </si>
  <si>
    <t>Boligtype</t>
  </si>
  <si>
    <t>Antal m2 bolig</t>
  </si>
  <si>
    <t>Varmekilde</t>
  </si>
  <si>
    <t>Voksne i alt:</t>
  </si>
  <si>
    <t>Voksne i husstanden:</t>
  </si>
  <si>
    <t>Antal mænd:</t>
  </si>
  <si>
    <t>Antal kvinder:</t>
  </si>
  <si>
    <t>Andre indtægter</t>
  </si>
  <si>
    <t>Andre indtægter pr. måned:</t>
  </si>
  <si>
    <t>Løn pr. måned i alt:</t>
  </si>
  <si>
    <t>Outputtal til brugerne</t>
  </si>
  <si>
    <t>Renteudgifter til andre lån pr. måned</t>
  </si>
  <si>
    <t>Renter på andre lån</t>
  </si>
  <si>
    <t>antal børn, der skal ganges med taksten fra Kommunedata</t>
  </si>
  <si>
    <t>kr. pr. år</t>
  </si>
  <si>
    <t>Gift eller ugift</t>
  </si>
  <si>
    <t>Valgt antal voksne / antal børn</t>
  </si>
  <si>
    <t>Dialog - gift/ugift</t>
  </si>
  <si>
    <t>Ugift</t>
  </si>
  <si>
    <t>Gift</t>
  </si>
  <si>
    <t>Den mindste løn:</t>
  </si>
  <si>
    <t>Valget af den mindste løn</t>
  </si>
  <si>
    <t>1 = ugifte 2 = gifte (Vælges i "Dialog")</t>
  </si>
  <si>
    <t>Beregningsmodel for grøn ejerafgift:</t>
  </si>
  <si>
    <t>Lille bil - skadefri i 0-2 år</t>
  </si>
  <si>
    <t>Lille bil - skadefri i 3-4 år</t>
  </si>
  <si>
    <t>Lille bil - skadefri i 5 år eller mere (elite)</t>
  </si>
  <si>
    <t>Mellem - skadefri i 0-2 år</t>
  </si>
  <si>
    <t>Mellem - skadefri i 3-4 år</t>
  </si>
  <si>
    <t>Mellem - skadefri i 5 år eller mere (elite)</t>
  </si>
  <si>
    <t>Stor - skadefri i 0-2 år</t>
  </si>
  <si>
    <t>Stor - skadefri i 3-4 år</t>
  </si>
  <si>
    <t>Stor - skadefri i 5 år eller mere (elite)</t>
  </si>
  <si>
    <t>Meget stor - skadefri i 0-2 år</t>
  </si>
  <si>
    <t>Meget stor - skadefri i 3-4 år</t>
  </si>
  <si>
    <t>Meget stor- skadefri i 5 år eller mere (elite)</t>
  </si>
  <si>
    <t>Bil 1 - vælg</t>
  </si>
  <si>
    <t>Bil 2 - vælg</t>
  </si>
  <si>
    <t>Bil 3 - vælg</t>
  </si>
  <si>
    <t>Dialog bilforsikring - bil 1</t>
  </si>
  <si>
    <t>Dialog bilforsikring - bil 2</t>
  </si>
  <si>
    <t>Dialog bilforsikring - bil 3</t>
  </si>
  <si>
    <t>Små biler i alt</t>
  </si>
  <si>
    <t>Mellem i alt</t>
  </si>
  <si>
    <t>Stor i alt</t>
  </si>
  <si>
    <t>Meget stor i alt</t>
  </si>
  <si>
    <t>Ingen bil</t>
  </si>
  <si>
    <t>Kolonne-nummer i Kommunedata</t>
  </si>
  <si>
    <t>Bil 1:</t>
  </si>
  <si>
    <t>Bil 2:</t>
  </si>
  <si>
    <t>Bil 3:</t>
  </si>
  <si>
    <t>Lille bil kører over 20 kilometer på en liter benzin</t>
  </si>
  <si>
    <t>Mellemstor bil kører ca. 14 kilometer på en liter benzin</t>
  </si>
  <si>
    <t>Stor bil kører ca.10 kilometer på en liter benzin</t>
  </si>
  <si>
    <t>Meget stor bil kører 6-7 kilometer på en liter benzin</t>
  </si>
  <si>
    <t>Dialog varmekilde</t>
  </si>
  <si>
    <t>Antal biler i alt</t>
  </si>
  <si>
    <t>Forsikring for bil 1, bil  og bil 3 - Dialog og Kommunedata</t>
  </si>
  <si>
    <t>Valg</t>
  </si>
  <si>
    <t>Egen ejerlejlighed</t>
  </si>
  <si>
    <t>Egne tal / Bruger</t>
  </si>
  <si>
    <t>Model - beløb afhænger af hvor mange kilometer bilen kører pr. liter. Delt op på lille, mellem, stor og meget stor bil.</t>
  </si>
  <si>
    <t>Danmarks Statistik + model (halvering hvis bil)</t>
  </si>
  <si>
    <t>Opsparing</t>
  </si>
  <si>
    <t>Overskud herefter</t>
  </si>
  <si>
    <t>Opsparing pr. måned</t>
  </si>
  <si>
    <t>Overskud</t>
  </si>
  <si>
    <t>Husstanden udleder i alt:</t>
  </si>
  <si>
    <t>CO2 per person i husstanden:</t>
  </si>
  <si>
    <t>Huske</t>
  </si>
  <si>
    <t>0-stilling hvis negativ</t>
  </si>
  <si>
    <t>Ejerafgift/Grøn afgift (i alt for de valgte biler)</t>
  </si>
  <si>
    <t>Valgte</t>
  </si>
  <si>
    <t>familie</t>
  </si>
  <si>
    <t>1. Kontingent til foreninger</t>
  </si>
  <si>
    <t>2. Kontingent til foreninger</t>
  </si>
  <si>
    <t>Kommune:</t>
  </si>
  <si>
    <t>ID</t>
  </si>
  <si>
    <t>f.eks. udbytter mv.</t>
  </si>
  <si>
    <t>Lejet værelse</t>
  </si>
  <si>
    <t>Lejet hus</t>
  </si>
  <si>
    <t>Justeret fra 30</t>
  </si>
  <si>
    <t xml:space="preserve">Lejet hus </t>
  </si>
  <si>
    <t>0 hvis &lt; 0</t>
  </si>
  <si>
    <t>kr. slut  X=</t>
  </si>
  <si>
    <t>Hvis &lt; X så X</t>
  </si>
  <si>
    <t>http://www.grønafgift.dk/groen-ejerafgift-personbiler/</t>
  </si>
  <si>
    <t>http://www.fdm.dk/biler/biloekonomi/vaegtafgift-2016</t>
  </si>
  <si>
    <t>Se side om el-opvarmning:</t>
  </si>
  <si>
    <t>Resterende antal kwh til opvarmning</t>
  </si>
  <si>
    <t>Hvis boligen opvarmes med el (det er kwh-timer over dette der bruges til opvarmning og får rabat)</t>
  </si>
  <si>
    <t>Model fra: Danish Building Research Institute -  Kirsten Gram-Hanssen. http://vbn.aau.dk/files/14395277/SBi_2005-09.pdf side 6</t>
  </si>
  <si>
    <r>
      <t>Varmeforbrug i etageboliger: -</t>
    </r>
    <r>
      <rPr>
        <sz val="10"/>
        <rFont val="Arial"/>
        <family val="2"/>
      </rPr>
      <t>2577 kWh +119 kWh/m2 * kvadratmeter bolig</t>
    </r>
  </si>
  <si>
    <t>Bil forsikring (i alt for de valgte biler)</t>
  </si>
  <si>
    <t>Test: Endeligt forbrug pr. måned:</t>
  </si>
  <si>
    <t xml:space="preserve">FU6: </t>
  </si>
  <si>
    <t>I budgettet benyttes beregning fra modeller</t>
  </si>
  <si>
    <t>&lt;-- Rettet fra -7000</t>
  </si>
  <si>
    <t>Husstandenes årlige forbrug efter tid, husstandsgrupper, forbrugsart og prisenhed</t>
  </si>
  <si>
    <t>Enhed: kr. pr. husstand</t>
  </si>
  <si>
    <t>213 Antal husstande i undersøgelsen</t>
  </si>
  <si>
    <t>214 Antal husstande i Danmark - tusinder</t>
  </si>
  <si>
    <t>255 Antal personer i Danmark - tusinder</t>
  </si>
  <si>
    <t>2 Antal personer i husstanden</t>
  </si>
  <si>
    <t>251 Antal voksne i husstanden</t>
  </si>
  <si>
    <t>252 Antal børn i husstandne</t>
  </si>
  <si>
    <t>250 Andel af boligejere i husstanden</t>
  </si>
  <si>
    <t>253 Andel med kvindelig hovedperson</t>
  </si>
  <si>
    <t>254 Alder på hovedpersonen i husstanden</t>
  </si>
  <si>
    <t>261 Antal forbrugsenheder</t>
  </si>
  <si>
    <t>307 Areal til beboelse, m2</t>
  </si>
  <si>
    <t>314 Opførelsesår</t>
  </si>
  <si>
    <t>01 FØDEVARER OG IKKE-ALKOHOLISKE DRIKKEVARER</t>
  </si>
  <si>
    <t>01.1.1.1 Ris</t>
  </si>
  <si>
    <t>01.1.1.2 Mel og gryn</t>
  </si>
  <si>
    <t>01.1.1.3 Brød</t>
  </si>
  <si>
    <t>01.1.1.4 Andet bagværk</t>
  </si>
  <si>
    <t>01.1.1.5 Pizza og quiche</t>
  </si>
  <si>
    <t>01.1.1.6 Pastaprodukter og couscous</t>
  </si>
  <si>
    <t>01.1.1.7 Morgenmadsprodukter</t>
  </si>
  <si>
    <t>01.1.1.8 Andre kornprodukter</t>
  </si>
  <si>
    <t>01.1.2.1 Okse- og kalvekød</t>
  </si>
  <si>
    <t>01.1.2.2 Svinekød</t>
  </si>
  <si>
    <t>01.1.2.3 Lamme- og gedekød</t>
  </si>
  <si>
    <t>01.1.2.4 Fjerkræ</t>
  </si>
  <si>
    <t>01.1.2.5 Andet kød</t>
  </si>
  <si>
    <t>01.1.2.6 Indmad o.l.</t>
  </si>
  <si>
    <t>01.1.2.7 Tørret, saltet eller røget kød</t>
  </si>
  <si>
    <t>01.1.2.8 Andet kødpålæg mv.</t>
  </si>
  <si>
    <t>01.1.3.1 Fisk, fersk</t>
  </si>
  <si>
    <t>01.1.3.2 Fisk, frossen</t>
  </si>
  <si>
    <t>01.1.3.3 Skaldyr, fersk</t>
  </si>
  <si>
    <t>01.1.3.4 Skaldyr, frossen</t>
  </si>
  <si>
    <t>01.1.3.5 Tørrede, røgede eller saltede fisk og skaldyr</t>
  </si>
  <si>
    <t>01.1.3.6 Andre konserverede eller forarbejdede fisk og skalddyr</t>
  </si>
  <si>
    <t>01.1.4.1 Mælk, frisk</t>
  </si>
  <si>
    <t>01.1.4.2 Mælk med lavt fedtindhold, frisk</t>
  </si>
  <si>
    <t>01.1.4.3 Konserveret mælk</t>
  </si>
  <si>
    <t>01.1.4.4 Yoghurt</t>
  </si>
  <si>
    <t>01.1.4.5 Ost</t>
  </si>
  <si>
    <t>01.1.4.6 Andre mejeriprodukter</t>
  </si>
  <si>
    <t>01.1.4.7 Æg</t>
  </si>
  <si>
    <t>01.1.5.1 Smør</t>
  </si>
  <si>
    <t>01.1.5.2 Margarine og andre vegetabilske fedtstoffer</t>
  </si>
  <si>
    <t>01.1.5.3 Olivenolie</t>
  </si>
  <si>
    <t>01.1.5.4 Andre olier</t>
  </si>
  <si>
    <t>01.1.5.5 Animalske fedtstoffer</t>
  </si>
  <si>
    <t>01.1.6.1 Frugt, frisk</t>
  </si>
  <si>
    <t>01.1.6.2 Frugt, frossen</t>
  </si>
  <si>
    <t>01.1.6.3 Tørrede frugter og nødder</t>
  </si>
  <si>
    <t>01.1.6.4 Konserverede frugter, frugtbaserede produkter</t>
  </si>
  <si>
    <t>01.1.7.1 Grøntsager ekskl. kartofler, frisk</t>
  </si>
  <si>
    <t>01.1.7.2 Grøntsager, frosne</t>
  </si>
  <si>
    <t>01.1.7.3 Tørrede eller forarbejdede grøntsager</t>
  </si>
  <si>
    <t>01.1.7.4 Kartofler og kartoffelprodukter</t>
  </si>
  <si>
    <t>01.1.7.5 Chips mv.</t>
  </si>
  <si>
    <t>01.1.7.6 Andre rod-og knoldgrøntsager</t>
  </si>
  <si>
    <t>01.1.8.1 Sukker o.l.</t>
  </si>
  <si>
    <t>01.1.8.2 Syltetøj, marmelade og honning</t>
  </si>
  <si>
    <t>01.1.8.3 Chokolade</t>
  </si>
  <si>
    <t>01.1.8.4 Slik og marcipan</t>
  </si>
  <si>
    <t>01.1.8.5 Konsumis</t>
  </si>
  <si>
    <t>01.1.8.6 Kunstige sødemidler</t>
  </si>
  <si>
    <t>01.1.9.1 Sovs og andre smagspræparater</t>
  </si>
  <si>
    <t>01.1.9.2 Salt, krydderier og krydderurter</t>
  </si>
  <si>
    <t>01.1.9.3 Babymad</t>
  </si>
  <si>
    <t>01.1.9.4 Færdigretter</t>
  </si>
  <si>
    <t>01.1.9.9 Andre fødevarer</t>
  </si>
  <si>
    <t>01.2.1.1 Kaffe</t>
  </si>
  <si>
    <t>01.2.1.2 Te</t>
  </si>
  <si>
    <t>01.2.1.3 Kakao</t>
  </si>
  <si>
    <t>01.2.2.1 Mineralvand eller kildevand</t>
  </si>
  <si>
    <t>01.2.2.2 Læskedrikke</t>
  </si>
  <si>
    <t>01.2.2.3 Frugt, grøntsagssaft og koncentrater til saft</t>
  </si>
  <si>
    <t>02 ALKOHOLISKE DRIKKEVARER OG TOBAK</t>
  </si>
  <si>
    <t>02.1.1.1 Spiritus og likør</t>
  </si>
  <si>
    <t>02.1.1.2 Alkoholiske læskedrikke</t>
  </si>
  <si>
    <t>02.1.2.1 Vin af druer</t>
  </si>
  <si>
    <t>02.1.2.2 Vin af andre frugter</t>
  </si>
  <si>
    <t>02.1.2.3 Hedvin</t>
  </si>
  <si>
    <t>02.1.2.4 Vinbaserede drikkevarer og alkoholfri vin</t>
  </si>
  <si>
    <t>02.1.3.1 Lagerøl</t>
  </si>
  <si>
    <t>02.1.3.2 Andre øl</t>
  </si>
  <si>
    <t>02.1.3.3 Lav og alkoholfri øl</t>
  </si>
  <si>
    <t>02.1.3.4 Øl-baserede drikkevarer</t>
  </si>
  <si>
    <t>02.2.0.1 Cigaretter</t>
  </si>
  <si>
    <t>02.2.0.2 Cigarer o.l.</t>
  </si>
  <si>
    <t>02.2.0.3 Andre tobaksvarer</t>
  </si>
  <si>
    <t>02.3.0.0 Euforiserende stoffer</t>
  </si>
  <si>
    <t>03 BEKLÆDNING OG FODTØJ</t>
  </si>
  <si>
    <t>03.1.1.0 Materialer til beklædning</t>
  </si>
  <si>
    <t>03.1.2.1 Tøj til mænd</t>
  </si>
  <si>
    <t>03.1.2.2 Tøj til kvinder</t>
  </si>
  <si>
    <t>03.1.2.3 Tøj til børn under 14 år</t>
  </si>
  <si>
    <t>03.1.3.1 Andre beklædningsgenstande</t>
  </si>
  <si>
    <t>03.1.3.2 Beklædningstilbehør</t>
  </si>
  <si>
    <t>03.1.4.1 Vask og rensning af tøj</t>
  </si>
  <si>
    <t>03.1.4.2 Reparation og leje af beklædning</t>
  </si>
  <si>
    <t>03.2.1.1 Fodtøj til mænd</t>
  </si>
  <si>
    <t>03.2.1.2 Fodtøj til kvinder</t>
  </si>
  <si>
    <t>03.2.1.3 Fodtøj til børn under 14 år</t>
  </si>
  <si>
    <t>03.2.2.0 Reparation og leje af fodtøj</t>
  </si>
  <si>
    <t>04 BOLIGBENYTTELSE, ELEKTRICITET OG OPVARMNING</t>
  </si>
  <si>
    <t>04.1.1.0 Faktisk husleje betalt af lejere</t>
  </si>
  <si>
    <t>04.1.2.1 Lejernes faktiske husleje for fritidsbolig</t>
  </si>
  <si>
    <t>04.2.1.0 Beregnet lejeværdi af ejerboliger</t>
  </si>
  <si>
    <t>04.2.2.0 Andre imputerede huslejer</t>
  </si>
  <si>
    <t>04.3.1.0 Materialer til vedligeholdelse og reparation af bolig</t>
  </si>
  <si>
    <t>04.3.2.1 Tjenesteydelser, blikkenslagere</t>
  </si>
  <si>
    <t>04.3.2.2 Tjenesteydelser, elektrikere</t>
  </si>
  <si>
    <t>04.3.2.3 Vedligeholdelse af varmeanlæg</t>
  </si>
  <si>
    <t>04.3.2.4 Tjenesteydelser, malere</t>
  </si>
  <si>
    <t>04.3.2.5 Tjenesteydelser, tømrere og snedkere</t>
  </si>
  <si>
    <t>04.3.2.9 Andre tjenester til vedligeholde og reparation af bolig</t>
  </si>
  <si>
    <t>04.4.1.0 Vandforsyning</t>
  </si>
  <si>
    <t>04.4.2.0 Renovation</t>
  </si>
  <si>
    <t>04.4.3.0 Vandafledningsafgift mv.</t>
  </si>
  <si>
    <t>04.4.4.2 Sikkerhedstjenester</t>
  </si>
  <si>
    <t>04.4.4.9 Andre tjenester vedr. bolig</t>
  </si>
  <si>
    <t>04.5.1.0 Elektricitet</t>
  </si>
  <si>
    <t>04.5.2.1 Naturgas o.l.</t>
  </si>
  <si>
    <t>04.5.2.2 Flydende kulbrinter</t>
  </si>
  <si>
    <t>04.5.3.0 Flydende brændsel</t>
  </si>
  <si>
    <t>04.5.4.1 Kul</t>
  </si>
  <si>
    <t>04.5.4.9 Andet fast brændsel</t>
  </si>
  <si>
    <t>04.5.5.0 Fjernvarme mv.</t>
  </si>
  <si>
    <t>05 MØBLER, HUSHOLDNINGSUDSTYR OG HUSHOLDNINGSTJENESTER</t>
  </si>
  <si>
    <t>05.1.1.1 Møbler</t>
  </si>
  <si>
    <t>05.1.1.2 Havemøbler</t>
  </si>
  <si>
    <t>05.1.1.3 Lamper</t>
  </si>
  <si>
    <t>05.1.1.9 Andre møbler og boligudstyr</t>
  </si>
  <si>
    <t>05.1.2.1 Tæpper</t>
  </si>
  <si>
    <t>05.1.2.2 Anden gulvbelægning</t>
  </si>
  <si>
    <t>05.1.2.3 Montering af faste tæpper og gulvbelægning</t>
  </si>
  <si>
    <t>05.1.3.0 Reparation af møbler, boligudstyr og gulvbelægning</t>
  </si>
  <si>
    <t>05.2.0.1 Møbelstof og gardiner</t>
  </si>
  <si>
    <t>05.2.0.2 Sengelinned</t>
  </si>
  <si>
    <t>05.2.0.3 Duge og håndklæder</t>
  </si>
  <si>
    <t>05.2.0.4 Reparation af boligtekstiler</t>
  </si>
  <si>
    <t>05.2.0.9 Andre boligtekstiler</t>
  </si>
  <si>
    <t>05.3.1.1 Køleskabe, frysere og køle-fryseskabe</t>
  </si>
  <si>
    <t>05.3.1.2 Vaskemaskiner, tørretumlere og opvaskemaskiner</t>
  </si>
  <si>
    <t>05.3.1.3 Komfurer</t>
  </si>
  <si>
    <t>05.3.1.4 Varmeapparater, klimaanlæg</t>
  </si>
  <si>
    <t>05.3.1.5 Støvsuger o.l.</t>
  </si>
  <si>
    <t>05.3.1.9 Andre større husholdningsapparater</t>
  </si>
  <si>
    <t>05.3.2.1 Foodprocessorer</t>
  </si>
  <si>
    <t>05.3.2.2 Kaffemaskiner, elkedler o.l.</t>
  </si>
  <si>
    <t>05.3.2.3 Strygejern</t>
  </si>
  <si>
    <t>05.3.2.4 Toaster,brødrister o.l.</t>
  </si>
  <si>
    <t>05.3.2.9 Andre små elektriske husholdningsapparater</t>
  </si>
  <si>
    <t>05.3.3.0 Reparation og leje af husholdningsmaskiner</t>
  </si>
  <si>
    <t>05.4.0.1 Glas, keramik og porcelæn</t>
  </si>
  <si>
    <t>05.4.0.2 Bestik og sølvtøj</t>
  </si>
  <si>
    <t>05.4.0.3 Ikke-elektriske køkkenredskaber og artikler</t>
  </si>
  <si>
    <t>05.5.1.1 Større motoriserede redskaber og udstyr</t>
  </si>
  <si>
    <t>05.5.1.2 Reparation og leje af udstyr og større redskaber</t>
  </si>
  <si>
    <t>05.5.2.1 Ikke-motoriserede mindre redskaber</t>
  </si>
  <si>
    <t>05.5.2.2 Diverse tilbehør til mindre redskaber</t>
  </si>
  <si>
    <t>05.5.2.3 Reparation af ikke-motoriserede mindre redskaber o.l.</t>
  </si>
  <si>
    <t>05.6.1.1 Rengøringsartikler</t>
  </si>
  <si>
    <t>05.6.1.2 Andre ikke-varige små husholdningsartikler</t>
  </si>
  <si>
    <t>05.6.2.1 Hjælp til hjemog have</t>
  </si>
  <si>
    <t>05.6.2.3 Leje af møbler og inventar</t>
  </si>
  <si>
    <t>05.6.2.9 Rengøring og vinduespudsning</t>
  </si>
  <si>
    <t>06 SUNDHED</t>
  </si>
  <si>
    <t>06.1.1.0 Farmaceutiske produkter</t>
  </si>
  <si>
    <t>06.1.2.1 Graviditetstest, kondomer mv.</t>
  </si>
  <si>
    <t>06.1.2.9 Andre medicinske produkter o.l.</t>
  </si>
  <si>
    <t>06.1.3.1 Briller og kontaktlinser</t>
  </si>
  <si>
    <t>06.1.3.2 Høreapparater</t>
  </si>
  <si>
    <t>06.1.3.3 Reparation af terapeutiske apparater og udstyr</t>
  </si>
  <si>
    <t>06.1.3.9 Andre terapeutiske apparater og udstyr</t>
  </si>
  <si>
    <t>06.2.1.1 Praktiserende læge</t>
  </si>
  <si>
    <t>06.2.1.2 Speciallæge</t>
  </si>
  <si>
    <t>06.2.2.0 Tandlæge</t>
  </si>
  <si>
    <t>06.2.3.1 Tjenesteydelser, laboratorier og røntgenklinikker</t>
  </si>
  <si>
    <t>06.2.3.9 Andre paramedicinske tjenester</t>
  </si>
  <si>
    <t>06.3.0.0 Tjenesteydelser, hospitaler</t>
  </si>
  <si>
    <t>07 TRANSPORT</t>
  </si>
  <si>
    <t>07.1.1.1 Nye biler</t>
  </si>
  <si>
    <t>07.1.1.2 Brugte biler</t>
  </si>
  <si>
    <t>07.1.2.0 Motorcykler</t>
  </si>
  <si>
    <t>07.1.3.0 Cykler</t>
  </si>
  <si>
    <t>07.2.1.1 Dæk</t>
  </si>
  <si>
    <t>07.2.1.2 Reservedele til personlige transportmidler</t>
  </si>
  <si>
    <t>07.2.1.3 Tilbehør til personlige transportmidler</t>
  </si>
  <si>
    <t>07.2.2.1 Diesel</t>
  </si>
  <si>
    <t>07.2.2.2 Benzin</t>
  </si>
  <si>
    <t>07.2.2.3 Andre brændstoffer til personlige transportmidler</t>
  </si>
  <si>
    <t>07.2.2.4 Smøremidler</t>
  </si>
  <si>
    <t>07.2.3.0 Vedligeholdelse og reparation af personlige transportmidler</t>
  </si>
  <si>
    <t>07.2.4.1 Leje af bil og garage</t>
  </si>
  <si>
    <t>07.2.4.2 Vejafgifter og parkometre</t>
  </si>
  <si>
    <t>07.2.4.3 Køretimer, kørekort og syn af bil</t>
  </si>
  <si>
    <t>07.3.1.1 Transport med tog</t>
  </si>
  <si>
    <t>07.3.1.2 Transport med metro</t>
  </si>
  <si>
    <t>07.3.2.1 Transport med bus</t>
  </si>
  <si>
    <t>07.3.2.2 Taxi</t>
  </si>
  <si>
    <t>07.3.3.1 Indensrigsflyvning</t>
  </si>
  <si>
    <t>07.3.3.2 Udenrigsflyvning</t>
  </si>
  <si>
    <t>07.3.4.1 Personbefordring ad søvejen</t>
  </si>
  <si>
    <t>07.3.5.0 Kombineret persontransport</t>
  </si>
  <si>
    <t>07.3.6.2 Flytning og opmagasinering</t>
  </si>
  <si>
    <t>07.3.6.9 Andre købte transporttjenester o.l.</t>
  </si>
  <si>
    <t>08 KOMMUNIKATION</t>
  </si>
  <si>
    <t>08.1.0.1 Porto</t>
  </si>
  <si>
    <t>08.2.0.1 Fastnettelefon, udstyr</t>
  </si>
  <si>
    <t>08.2.0.2 Mobiltelefon, udstyr</t>
  </si>
  <si>
    <t>08.2.0.4 Reparation af telefon mv.</t>
  </si>
  <si>
    <t>08.3.0.1 Fastnettelefon, tjenester</t>
  </si>
  <si>
    <t>08.3.0.2 Mobiltelefon, tjenester</t>
  </si>
  <si>
    <t>08.3.0.3 Internet</t>
  </si>
  <si>
    <t>08.3.0.4 Kombinerede teletjenester</t>
  </si>
  <si>
    <t>09 FRITID OG KULTUR</t>
  </si>
  <si>
    <t>09.1.1.1 Musikanlæg, højtalere o.l.</t>
  </si>
  <si>
    <t>09.1.1.2 Tv, dvd-afspiller, videooptager o.l.</t>
  </si>
  <si>
    <t>09.1.1.9 Høretelefoner, digitale fotorammer, E-bogslæsere o.l.</t>
  </si>
  <si>
    <t>09.1.2.1 Kameraer</t>
  </si>
  <si>
    <t>09.1.2.3 Mikroskop, kikkert mv.</t>
  </si>
  <si>
    <t>09.1.3.1 PCer, tablets mv.</t>
  </si>
  <si>
    <t>09.1.3.2 Tilbehør til PCer, tablets mv.</t>
  </si>
  <si>
    <t>09.1.3.3 Software</t>
  </si>
  <si>
    <t>09.1.3.4 Regnemaskiner og andet edb-udstyr</t>
  </si>
  <si>
    <t>09.1.4.1 Indspillede medier</t>
  </si>
  <si>
    <t>09.1.4.2 Uindspillede optagemedie</t>
  </si>
  <si>
    <t>09.1.4.9 Memory-card, usb-stik mv.</t>
  </si>
  <si>
    <t>09.1.5.0 Reparation af udstyr, audiovisuelt og fotografisk</t>
  </si>
  <si>
    <t>09.2.1.1 Autocampere, campingvogne og påhængsvogne</t>
  </si>
  <si>
    <t>09.2.1.3 Både, påhængsmotorer og montering af udstyr i både</t>
  </si>
  <si>
    <t>09.2.1.4 Heste, ponyer og tilbehør</t>
  </si>
  <si>
    <t>09.2.1.5 Udstyr til spil og sport</t>
  </si>
  <si>
    <t>09.2.2.1 Musikinstrumenter</t>
  </si>
  <si>
    <t>09.2.3.0 Vedligeholdelse og reparation af andre større forbrugsgoder</t>
  </si>
  <si>
    <t>09.3.1.1 Spil og hobbyartikler</t>
  </si>
  <si>
    <t>09.3.1.2 Legetøj og fest artikler</t>
  </si>
  <si>
    <t>09.3.2.1 Udstyr til sport</t>
  </si>
  <si>
    <t>09.3.2.2 Udstyr til camping og friluftsaktiviteter</t>
  </si>
  <si>
    <t>09.3.2.3 Reparation af udstyr til sport, camping og friluftsliv</t>
  </si>
  <si>
    <t>09.3.3.1 Gødning, havekrukker mv.</t>
  </si>
  <si>
    <t>09.3.3.2 Planter og blomster</t>
  </si>
  <si>
    <t>09.3.4.1 Køb af kæledyr</t>
  </si>
  <si>
    <t>09.3.4.2 Artikler til kæledyr</t>
  </si>
  <si>
    <t>09.3.5.0 Dyrlæge og andre tjenester i forbindelse med kæledyr</t>
  </si>
  <si>
    <t>09.4.1.1 Fritid og sport - Tilskuer</t>
  </si>
  <si>
    <t>09.4.1.2 Fritid og sport - Deltagelse</t>
  </si>
  <si>
    <t>09.4.2.1 Biografer, teatre, koncerter</t>
  </si>
  <si>
    <t>09.4.2.2 Museer, biblioteker, zoologiske haver</t>
  </si>
  <si>
    <t>09.4.2.3 Tv og radiolicens, abonnementer</t>
  </si>
  <si>
    <t>09.4.2.4 Leje af udstyr og tilbehør til kultur</t>
  </si>
  <si>
    <t>09.4.2.5 Fotograferingstjenester</t>
  </si>
  <si>
    <t>09.4.2.9 Leje af musikinstrumenter</t>
  </si>
  <si>
    <t>09.4.3.0 Hasardspil</t>
  </si>
  <si>
    <t>09.5.1.1 Skønliteratur</t>
  </si>
  <si>
    <t>09.5.1.2 Fag-, studiebøger</t>
  </si>
  <si>
    <t>09.5.1.3 Andre fagbøger</t>
  </si>
  <si>
    <t>09.5.1.4 E-bøger mv.</t>
  </si>
  <si>
    <t>09.5.2.1 Aviser</t>
  </si>
  <si>
    <t>09.5.2.2 Magasiner og tidsskrifter</t>
  </si>
  <si>
    <t>09.5.3.0 Diverse tryksager</t>
  </si>
  <si>
    <t>09.5.4.1 Produkter af papir</t>
  </si>
  <si>
    <t>09.5.4.9 Andre papirvarer og tegnematerialer</t>
  </si>
  <si>
    <t>09.6.0.1 Pakkerejser, indenrigs</t>
  </si>
  <si>
    <t>09.6.0.2 Pakkerejser, udenrigs</t>
  </si>
  <si>
    <t>10 UDDANNELSE</t>
  </si>
  <si>
    <t>10.1.0.2 Grundskole</t>
  </si>
  <si>
    <t>10.2.0.0 Ungdomsuddannelse</t>
  </si>
  <si>
    <t>10.4.0.0 Videregående uddannelse</t>
  </si>
  <si>
    <t>10.5.0.0 Undervisning uden for niveau</t>
  </si>
  <si>
    <t>11 RESTAURANTER OG HOTELLER</t>
  </si>
  <si>
    <t>11.1.1.1 Restauranter, cafeer mv.</t>
  </si>
  <si>
    <t>11.1.1.2 Fastfood, takeaway</t>
  </si>
  <si>
    <t>11.1.2.0 Kantiner</t>
  </si>
  <si>
    <t>11.2.0.1 Hoteller, moteller, kroer o.l.</t>
  </si>
  <si>
    <t>11.2.0.2 Feriecentre, campingpladser, vandrerhjem o.l.</t>
  </si>
  <si>
    <t>11.2.0.3 Anden indlogering</t>
  </si>
  <si>
    <t>12 ANDRE VARER OG TJENESTER</t>
  </si>
  <si>
    <t>12.1.1.1 Frisør til mænd og børn</t>
  </si>
  <si>
    <t>12.1.1.2 Frisør til kvinder</t>
  </si>
  <si>
    <t>12.1.1.3 Personlige plejebehandlinger</t>
  </si>
  <si>
    <t>12.1.2.1 Elektriske apparater til personlig pleje</t>
  </si>
  <si>
    <t>12.1.2.2 Reparation af elektriske apparater til personlig pleje</t>
  </si>
  <si>
    <t>12.1.3.1 Ikke-elektriske apparater</t>
  </si>
  <si>
    <t>12.1.3.2 Artikler til personlig hygiejne o.l.</t>
  </si>
  <si>
    <t>12.2.0.0 Prostitution</t>
  </si>
  <si>
    <t>12.3.1.1 Smykker</t>
  </si>
  <si>
    <t>12.3.1.2 Ure</t>
  </si>
  <si>
    <t>12.3.1.3 Reparation af smykker og ure</t>
  </si>
  <si>
    <t>12.3.2.1 Tasker, rygsække o.l.</t>
  </si>
  <si>
    <t>12.3.2.2 Artikler til babyer</t>
  </si>
  <si>
    <t>12.3.2.3 Reparation af andre personlige effekter</t>
  </si>
  <si>
    <t>12.3.2.9 Andre personlige effekter</t>
  </si>
  <si>
    <t>12.4.0.1 Børnepasning</t>
  </si>
  <si>
    <t>12.4.0.3 Tjenester til at fastholde folk i deres private hjem</t>
  </si>
  <si>
    <t>12.5.1.0 Livsforsikringer</t>
  </si>
  <si>
    <t>12.5.2.0 Forsikring i forbindelse med med boligen</t>
  </si>
  <si>
    <t>12.5.3.2 Privat sygeforsikring</t>
  </si>
  <si>
    <t>12.5.4.1 Motorkøretøjsforsikring</t>
  </si>
  <si>
    <t>12.5.4.2 Rejseforsikringer</t>
  </si>
  <si>
    <t>12.5.5.0 Andre forsikringer</t>
  </si>
  <si>
    <t>12.6.2.1 Gebyr til bank og kreditforeninger</t>
  </si>
  <si>
    <t>12.6.2.2 Revisor</t>
  </si>
  <si>
    <t>12.7.0.1 Administrative gebyrer</t>
  </si>
  <si>
    <t>12.7.0.2 Juridiske tjenesteydelser og regnskabsførelse</t>
  </si>
  <si>
    <t>12.7.0.3 Begravelsestjenester</t>
  </si>
  <si>
    <t>12.7.0.4 Øvrige gebyrer og tjenester</t>
  </si>
  <si>
    <t>Enlig 60 år og over uden børn</t>
  </si>
  <si>
    <t>2 voksne, hovedperson 60 år og over uden børn</t>
  </si>
  <si>
    <t>Husstande med mindst 3 voksne</t>
  </si>
  <si>
    <t>ALLE SOCIOØKONOMISKE STATUSER</t>
  </si>
  <si>
    <t>Selvstændig</t>
  </si>
  <si>
    <t>Lønmodtager på højeste niveau</t>
  </si>
  <si>
    <t>Lønmodtager på mellemniveau</t>
  </si>
  <si>
    <t>Lønmodtager på grundniveau</t>
  </si>
  <si>
    <t>Arbejdsløs</t>
  </si>
  <si>
    <t>Uddannelsessøgende</t>
  </si>
  <si>
    <t>Pensionist,efterlønmodtager</t>
  </si>
  <si>
    <t>Ude af erhverv i øvrigt</t>
  </si>
  <si>
    <t>ALLE INDKOMSTGRUPPER</t>
  </si>
  <si>
    <t>Under 150.000 kr.</t>
  </si>
  <si>
    <t>150.000 - 299.999 kr.</t>
  </si>
  <si>
    <t>300.000 - 499.999 kr.</t>
  </si>
  <si>
    <t>500.000 - 799.999 kr.</t>
  </si>
  <si>
    <t>800.000 kr. og derover</t>
  </si>
  <si>
    <t>ALLE BOLIGTYPER</t>
  </si>
  <si>
    <t>ALLE REGIONER</t>
  </si>
  <si>
    <t>Hovedstaden</t>
  </si>
  <si>
    <t>Sjælland</t>
  </si>
  <si>
    <t>Syddanmark</t>
  </si>
  <si>
    <t>Midtjylland</t>
  </si>
  <si>
    <t>Nordjylland</t>
  </si>
  <si>
    <t xml:space="preserve">Fra 1994-2013 er data fra FU baseret på en 3-årig stikprøve. Det betyder at data er indsamlet over 3 år og omregnes til det midterste år. Fra  2014 vil undersøgelsen være baseret på en 2-årig stikprøve. Forbruget er inkl. moms mv.  Ændringen i indsamlingsmetoden skader på ingen måde dataenes sammenlignelighed over tid. Usikkerhedsberegninger for FU ligger på www.dst.dk/forbrug. Uhensigtsmæssigeheder i fbm. implementering af COICOP5 kan også findes her. </t>
  </si>
  <si>
    <t>05.6.2.1 Hjælp til hjem og have</t>
  </si>
  <si>
    <t>Telefon/mobil</t>
  </si>
  <si>
    <t>Smartbudget i procent af forbruget i alt</t>
  </si>
  <si>
    <t>1. Internet</t>
  </si>
  <si>
    <t>2. Internet</t>
  </si>
  <si>
    <t>1.Værksted</t>
  </si>
  <si>
    <t>2. Værksted</t>
  </si>
  <si>
    <t>A-kasse 2017</t>
  </si>
  <si>
    <t>16,7 - 15,4</t>
  </si>
  <si>
    <t>15,4 - 14,3</t>
  </si>
  <si>
    <t>14,3 - 13,3</t>
  </si>
  <si>
    <t>20 - 18,2</t>
  </si>
  <si>
    <t>18,2 - 16,7</t>
  </si>
  <si>
    <t xml:space="preserve">13,3 - 12,5 </t>
  </si>
  <si>
    <t>12,5 - 11,8</t>
  </si>
  <si>
    <t>11,8 - 11,1</t>
  </si>
  <si>
    <t>11,1 - 10,5</t>
  </si>
  <si>
    <t>10,5 - 10,0</t>
  </si>
  <si>
    <t xml:space="preserve">10,0 - 9,1 </t>
  </si>
  <si>
    <t xml:space="preserve">9,1 - 8,3 </t>
  </si>
  <si>
    <t>8,3 - 7,7</t>
  </si>
  <si>
    <t>7,7 - 7,1</t>
  </si>
  <si>
    <t>7,1 - 6,7</t>
  </si>
  <si>
    <t>6,7 - 6,3</t>
  </si>
  <si>
    <t>6,3 - 5,9</t>
  </si>
  <si>
    <t>5,9 - 5,6</t>
  </si>
  <si>
    <t>5,6 - 5,3</t>
  </si>
  <si>
    <t>5,3 - 5,0</t>
  </si>
  <si>
    <t>5,0 - 4,8</t>
  </si>
  <si>
    <t>4,8 - 4,5</t>
  </si>
  <si>
    <t>Ikke indregnet</t>
  </si>
  <si>
    <t>http://www.dalmosebraende.dk/</t>
  </si>
  <si>
    <t>https://www.dalmosebraende.dk/traepiller-i-saekke.html</t>
  </si>
  <si>
    <t>http://www.vandcenter.dk/priser/forbrugspriser</t>
  </si>
  <si>
    <t>http://www.hofor.dk/vand/priser-paa-vand-2017/</t>
  </si>
  <si>
    <t>http://www.aarhusvand.dk/privat/priser/</t>
  </si>
  <si>
    <t>http://www.energiviborg.dk/forside/vand/vandpriser/</t>
  </si>
  <si>
    <t>http://www.vordingborgforsyning.dk/takster-og-priser#</t>
  </si>
  <si>
    <t>Se også:</t>
  </si>
  <si>
    <t>http://www.danva.dk/Presse/Vandsektoren/Vandpris-dk.aspx</t>
  </si>
  <si>
    <t>Tjek</t>
  </si>
  <si>
    <t>forsørgere:</t>
  </si>
  <si>
    <t xml:space="preserve">Valg af </t>
  </si>
  <si>
    <t>antal børn:</t>
  </si>
  <si>
    <r>
      <t>Bundfradr</t>
    </r>
    <r>
      <rPr>
        <sz val="10"/>
        <rFont val="Arial"/>
        <family val="2"/>
      </rPr>
      <t>a</t>
    </r>
    <r>
      <rPr>
        <sz val="10"/>
        <rFont val="Arial"/>
        <family val="2"/>
      </rPr>
      <t>get i topskattegrundlaget --&gt;</t>
    </r>
  </si>
  <si>
    <t>Tv og radio</t>
  </si>
  <si>
    <t xml:space="preserve">FU51: </t>
  </si>
  <si>
    <t>TV licens</t>
  </si>
  <si>
    <t>Telefoni</t>
  </si>
  <si>
    <t>2016-FU51</t>
  </si>
  <si>
    <t>2018 ok</t>
  </si>
  <si>
    <t>https://www.sygeforsikring.dk/grupper#tabs-5556</t>
  </si>
  <si>
    <t>Falck: vejhjælp start</t>
  </si>
  <si>
    <t>https://www.falck.dk/vejhjaelp/produkter/autohjaelp/#productpage-configurator</t>
  </si>
  <si>
    <t>https://fdm.dk/bliv-medlem?gclid=EAIaIQobChMI7Jzu9vTh2AIV1xbTCh2KWQ9TEAAYAiAAEgIuIvD_BwE</t>
  </si>
  <si>
    <t>Fagforeninger 2018</t>
  </si>
  <si>
    <t>https://www.borger.dk/familie-og-boern/Familieydelser-oversigt/Boerne-ungeydelse/Boerne-ungeydelse-nedsaettelse</t>
  </si>
  <si>
    <t>Alt om familie og børn</t>
  </si>
  <si>
    <t>http://energitilsynet.dk/varme/statistik/prisstatistik/pr-1-august-2017/</t>
  </si>
  <si>
    <t>Kr. pr. år. Vægtet gennemsnit af 428 fjernvarmeværker i august 2017. Kilde: Energitilsynet</t>
  </si>
  <si>
    <t>Aktuel pris hos Dalmosebraende.dk</t>
  </si>
  <si>
    <t>Vælg år i kolonne B</t>
  </si>
  <si>
    <t>Tal ændres til højre --&gt;</t>
  </si>
  <si>
    <t>Vand (senest tilgængelige tal)</t>
  </si>
  <si>
    <t>BBR</t>
  </si>
  <si>
    <t>Ejendomsskat (grundskyld)</t>
  </si>
  <si>
    <t>https://www.borger.dk/familie-og-boern/Familieydelser-oversigt/Boerne-ungeydelse</t>
  </si>
  <si>
    <t>&lt;-- 2020</t>
  </si>
  <si>
    <t>Bundfradraget for 2020 før reduktion med AM-bidrag er:</t>
  </si>
  <si>
    <t>Borger.dk</t>
  </si>
  <si>
    <t>Opdateret 2020</t>
  </si>
  <si>
    <t>Kristelig Fagforening (krifa Basis)</t>
  </si>
  <si>
    <t>Nordfyns</t>
  </si>
  <si>
    <t>Gns. for kommuner</t>
  </si>
  <si>
    <t>Kirke</t>
  </si>
  <si>
    <t>Grundskyld</t>
  </si>
  <si>
    <t>Person 1 - indtægt før skat</t>
  </si>
  <si>
    <t>Person 2 - indtægt før skat</t>
  </si>
  <si>
    <t>Person 3 - indtægt før skat</t>
  </si>
  <si>
    <t>Person 4 - indtægt før skat</t>
  </si>
  <si>
    <t>Person 5 - indtægt før skat</t>
  </si>
  <si>
    <t>Person 6 - indtægt før skat</t>
  </si>
  <si>
    <t>Før skat</t>
  </si>
  <si>
    <t>før AM-bidrag</t>
  </si>
  <si>
    <t>pr. måned</t>
  </si>
  <si>
    <t>Husstande i undersøgelsen (antal)</t>
  </si>
  <si>
    <t>Husstande i Danmark (1.000)</t>
  </si>
  <si>
    <t>Personer i Danmark (1.000)</t>
  </si>
  <si>
    <t>Personer i husstanden (antal)</t>
  </si>
  <si>
    <t>Voksne i husstanden (antal)</t>
  </si>
  <si>
    <t>Børn i husstanden (antal)</t>
  </si>
  <si>
    <t>Andel af boligejere i husstanden (procent)</t>
  </si>
  <si>
    <t>Andel med kvindelig hovedperson (procent)</t>
  </si>
  <si>
    <t>Alder på hovedpersonen i husstanden</t>
  </si>
  <si>
    <t>Forbrugsenheder (antal)</t>
  </si>
  <si>
    <t>Areal til beboelse (m2)</t>
  </si>
  <si>
    <t>Opførelsesår</t>
  </si>
  <si>
    <t>01.1.2.7 Kød, tørret, saltet eller røget</t>
  </si>
  <si>
    <t>01.1.2.8 Andre tilberedninger af kød</t>
  </si>
  <si>
    <t>01.1.3.5 Fisk og skaldyr, tørrede, røgede eller saltede</t>
  </si>
  <si>
    <t>01.1.3.6 Fisk og skaldyr, konservede og forarbejdede</t>
  </si>
  <si>
    <t>01.1.4.3 Mælk, konserveret</t>
  </si>
  <si>
    <t>01.1.5.4 Andre spiselige olier</t>
  </si>
  <si>
    <t>01.1.5.5 Andre spiselige animalske fedtstoffer</t>
  </si>
  <si>
    <t>01.1.6.3 Frugter og nødder, tørrede</t>
  </si>
  <si>
    <t>01.1.6.4 Frugter og frugtbaserede produkter, konservede</t>
  </si>
  <si>
    <t>01.1.7.3 Grøntsager, tørrede og forarbejdede</t>
  </si>
  <si>
    <t>01.1.8.6 Kunstige sukkererstatninger</t>
  </si>
  <si>
    <t>01.1.9.1 Sovser, smagspræparater</t>
  </si>
  <si>
    <t>01.1.9.2 Salt, krydderier og køkkenurter</t>
  </si>
  <si>
    <t>01.2.1.3 Kakao og chokoladepulver</t>
  </si>
  <si>
    <t>01.2.2.3 Frugt- og grøntsagssaft</t>
  </si>
  <si>
    <t>02.1.3.1 Pilsnerøl</t>
  </si>
  <si>
    <t>02.1.3.2 Andre alkoholholdige øl</t>
  </si>
  <si>
    <t>02.1.3.3 Øl med lavt alkoholindhold og alkoholfri øl</t>
  </si>
  <si>
    <t>03.1.2.1 Beklædning til mænd</t>
  </si>
  <si>
    <t>03.1.2.2 Beklædning til kvinder</t>
  </si>
  <si>
    <t>03.1.2.3 Beklædning til småbørn (0-2 år) og børn (3-13 år)</t>
  </si>
  <si>
    <t>03.1.3.1 Andre artikler til beklædning</t>
  </si>
  <si>
    <t>03.2.2.0 Reparation af fodtøj</t>
  </si>
  <si>
    <t>04.2.1.0 Beregnet lejeværdi af egen bolig</t>
  </si>
  <si>
    <t>04.2.2.0 Andre beregnede lejeværdier</t>
  </si>
  <si>
    <t>04.3.2.9 Andre tjenester til vedligeholdelse og reparation af bolig</t>
  </si>
  <si>
    <t>04.4.4.9 Andre tjenester i forbindelse med boliger</t>
  </si>
  <si>
    <t>04.5.2.1 Natur- og bygas</t>
  </si>
  <si>
    <t>05.1.1.1 Boligmøbler</t>
  </si>
  <si>
    <t>05.1.1.3 Belysningsudstyr</t>
  </si>
  <si>
    <t>05.1.2.1 Gulvtæpper</t>
  </si>
  <si>
    <t>05.1.3.0 Reparation af møbler, boligudstyr og gulvbelægninger</t>
  </si>
  <si>
    <t>05.3.1.5 Rengøringsudstyr</t>
  </si>
  <si>
    <t>05.3.2.9 Andre mindre elektriske husholdningsapparater</t>
  </si>
  <si>
    <t>05.4.0.2 Spisebestik, fade og sølvtøj</t>
  </si>
  <si>
    <t>05.5.1.1 Motoriserede større redskaber og udstyr</t>
  </si>
  <si>
    <t>05.5.2.3 Rep. af ikke-motoriserede mindre redskaber, tilbehør</t>
  </si>
  <si>
    <t>05.6.1.1 Rengørings- og vedligeholdelsesprodukter</t>
  </si>
  <si>
    <t>05.6.1.2 Andre ikke-varige mindre husholdningsartikler</t>
  </si>
  <si>
    <t>05.6.2.3 Leje af møbler og boligudstyr</t>
  </si>
  <si>
    <t>06.1.3.1 Briller med korrigerende glas og kontaktlinser</t>
  </si>
  <si>
    <t>06.1.3.9 Andre terapeutiske apparater</t>
  </si>
  <si>
    <t>06.2.1.1 Behandling hos praktiserende læge</t>
  </si>
  <si>
    <t>06.2.1.2 Behandling hos speciallæge</t>
  </si>
  <si>
    <t>06.2.2.0 Tandbehandling</t>
  </si>
  <si>
    <t>06.2.3.9 Andre paramedicinske tjenesteydelser</t>
  </si>
  <si>
    <t>06.3.0.0 Hospitalstjenester</t>
  </si>
  <si>
    <t>07.2.4.1 Leje af garage, parkering og personlige transportmidler</t>
  </si>
  <si>
    <t>07.3.1.1 Personbefordring med tog</t>
  </si>
  <si>
    <t>07.3.1.2 Personbefordring med metro</t>
  </si>
  <si>
    <t>07.3.2.1 Personbefordring med bus</t>
  </si>
  <si>
    <t>07.3.2.2 Personbefordring med taxi og lejet bil med fører</t>
  </si>
  <si>
    <t>07.3.3.2 International flyvning</t>
  </si>
  <si>
    <t>07.3.5.0 Kombineret personbefordring</t>
  </si>
  <si>
    <t>08.1.0.1 Posttjenester</t>
  </si>
  <si>
    <t>08.2.0.1 Fastnettelefonudstyr</t>
  </si>
  <si>
    <t>08.2.0.2 Mobiltelefonudstyr</t>
  </si>
  <si>
    <t>08.2.0.4 Reparation af telefon- og telefaxudstyr</t>
  </si>
  <si>
    <t>08.3.0.4 Kombinerede telekommunikationstjenester</t>
  </si>
  <si>
    <t>09.1.2.3 Optiske instrumenter</t>
  </si>
  <si>
    <t>09.1.3.2 Tilbehør til databehandlingsudstyr</t>
  </si>
  <si>
    <t>09.1.3.4 Regnemaskiner og andet databehandlingsudstyr</t>
  </si>
  <si>
    <t>09.1.4.1 Indspillede optagemedier</t>
  </si>
  <si>
    <t>09.1.4.2 Uindspillede optagemedier</t>
  </si>
  <si>
    <t>09.1.4.9 Andre optagemedier</t>
  </si>
  <si>
    <t>09.1.5.0 Reparation af audiovisuelt og fotografisk udstyr mv.</t>
  </si>
  <si>
    <t>09.2.1.4 Heste og tilbehør</t>
  </si>
  <si>
    <t>09.3.1.2 Legetøj og festartikler</t>
  </si>
  <si>
    <t>09.3.2.3 Reparation af udstyr til sport, camping og friluftsaktivitet</t>
  </si>
  <si>
    <t>09.3.3.1 Haveprodukter</t>
  </si>
  <si>
    <t>09.4.1.1 Fritids- og sportstjenester - tilstedeværelse</t>
  </si>
  <si>
    <t>09.4.1.2 Fritids- og sportstjenester - deltagelse</t>
  </si>
  <si>
    <t>09.4.2.4 Leje af udstyr og tilbehør i forbindelse med kultur</t>
  </si>
  <si>
    <t>09.4.2.5 Fotografiske tjenester</t>
  </si>
  <si>
    <t>09.4.2.9 Andre kulturtjenester</t>
  </si>
  <si>
    <t>09.5.1.2 Undervisningsbøger</t>
  </si>
  <si>
    <t>09.5.1.3 Anden faglitteratur</t>
  </si>
  <si>
    <t>09.5.2.2 Blade og tidsskrifter</t>
  </si>
  <si>
    <t>09.5.4.1 Papirprodukter</t>
  </si>
  <si>
    <t>09.6.0.1 Indenlandske pakkerejser</t>
  </si>
  <si>
    <t>09.6.0.2 Udenlandske pakkerejser</t>
  </si>
  <si>
    <t>12.1.1.1 Frisør til mænd og børn 0-13 år</t>
  </si>
  <si>
    <t>12.1.1.3 Behandlinger inden for personlig pleje</t>
  </si>
  <si>
    <t>12.1.3.1 Ikke-elektrisk udstyr</t>
  </si>
  <si>
    <t>12.3.2.2 Babyartikler</t>
  </si>
  <si>
    <t>12.5.4.1 Transportforsikringer</t>
  </si>
  <si>
    <t>12.5.4.2 Rejseforsikring</t>
  </si>
  <si>
    <t>12.5.5.0 Anden forsikring</t>
  </si>
  <si>
    <t>12.7.0.1 Administrationsgebyrer</t>
  </si>
  <si>
    <t>12.7.0.2 Juridiske tjenester og regnskabsførelse</t>
  </si>
  <si>
    <t>12.7.0.4 Andre gebyrer og tjenester</t>
  </si>
  <si>
    <t>&lt;150.000</t>
  </si>
  <si>
    <t>150.000-299.999</t>
  </si>
  <si>
    <t>300.000-499.999</t>
  </si>
  <si>
    <t>500.000-799.999</t>
  </si>
  <si>
    <t>&gt;800.000</t>
  </si>
  <si>
    <t>Valg:</t>
  </si>
  <si>
    <t>&lt;-- Hvis antal m2 bolig mindre end dette, så bruges DS tal</t>
  </si>
  <si>
    <t>https://bestilfyringsolie.dk/order-page/olietype-olietank/</t>
  </si>
  <si>
    <t>https://www.seas-nve.dk/privat/el/elvarme</t>
  </si>
  <si>
    <t>http://gasprisguiden.dk/#</t>
  </si>
  <si>
    <t>Alle boliger</t>
  </si>
  <si>
    <t>Efter skat</t>
  </si>
  <si>
    <t>Valgt:</t>
  </si>
  <si>
    <t>Alle boligtyper</t>
  </si>
  <si>
    <t>Sættes til 0</t>
  </si>
  <si>
    <t>Tal fra Danmarks Statistik</t>
  </si>
  <si>
    <t>Valgte forsikring for bil 1 i K-data</t>
  </si>
  <si>
    <t>Valgte forsikring for bil 1 i K-data2</t>
  </si>
  <si>
    <t>K-data</t>
  </si>
  <si>
    <t>K-data2</t>
  </si>
  <si>
    <t>I alt for alle:</t>
  </si>
  <si>
    <t>Valg af kommune i K-data</t>
  </si>
  <si>
    <t>Valg af kommune i K-data2</t>
  </si>
  <si>
    <t>Fra K-data:</t>
  </si>
  <si>
    <t>Fra K-data2:</t>
  </si>
  <si>
    <t>ok 2020</t>
  </si>
  <si>
    <t>Kolonnenummer for K-data2</t>
  </si>
  <si>
    <t>Skatteprocent</t>
  </si>
  <si>
    <t>inkl. bundskat</t>
  </si>
  <si>
    <t>id-nr.</t>
  </si>
  <si>
    <t>09.5.1.1 Skønlitteratur</t>
  </si>
  <si>
    <t>Valg af antal</t>
  </si>
  <si>
    <t>Dagpleje takster i 2020</t>
  </si>
  <si>
    <t>Valgte antal forbrugsenheder</t>
  </si>
  <si>
    <t>Forbrugsenheder aktuelt:</t>
  </si>
  <si>
    <t>I alt efter forbrugsenheder:</t>
  </si>
  <si>
    <t>Vandpriser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</si>
</sst>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00"/>
    <numFmt numFmtId="166" formatCode="0.0"/>
    <numFmt numFmtId="167" formatCode="0.0000"/>
    <numFmt numFmtId="168" formatCode="dd\.mm\.yy"/>
    <numFmt numFmtId="169" formatCode="#,##0.000"/>
  </numFmts>
  <fonts count="47" x14ac:knownFonts="1">
    <font>
      <sz val="10"/>
      <name val="Arial"/>
    </font>
    <font>
      <sz val="10"/>
      <name val="Arial"/>
      <family val="2"/>
    </font>
    <font>
      <b/>
      <sz val="10"/>
      <name val="Arial"/>
      <family val="2"/>
    </font>
    <font>
      <b/>
      <sz val="10"/>
      <color indexed="9"/>
      <name val="Arial"/>
      <family val="2"/>
    </font>
    <font>
      <sz val="10"/>
      <name val="Arial"/>
      <family val="2"/>
    </font>
    <font>
      <sz val="9"/>
      <name val="Arial"/>
      <family val="2"/>
    </font>
    <font>
      <b/>
      <sz val="9"/>
      <name val="Arial"/>
      <family val="2"/>
    </font>
    <font>
      <sz val="9"/>
      <name val="Arial"/>
      <family val="2"/>
    </font>
    <font>
      <b/>
      <sz val="9"/>
      <name val="Arial"/>
      <family val="2"/>
    </font>
    <font>
      <u/>
      <sz val="10"/>
      <color indexed="12"/>
      <name val="Arial"/>
      <family val="2"/>
    </font>
    <font>
      <b/>
      <sz val="9"/>
      <color indexed="81"/>
      <name val="Tahoma"/>
      <family val="2"/>
    </font>
    <font>
      <b/>
      <sz val="11"/>
      <name val="Arial"/>
      <family val="2"/>
    </font>
    <font>
      <sz val="8"/>
      <name val="Arial"/>
      <family val="2"/>
    </font>
    <font>
      <b/>
      <sz val="9"/>
      <color indexed="9"/>
      <name val="Arial"/>
      <family val="2"/>
    </font>
    <font>
      <u/>
      <sz val="9"/>
      <color indexed="12"/>
      <name val="Arial"/>
      <family val="2"/>
    </font>
    <font>
      <b/>
      <sz val="9"/>
      <color indexed="12"/>
      <name val="Arial"/>
      <family val="2"/>
    </font>
    <font>
      <sz val="9"/>
      <color indexed="12"/>
      <name val="Arial"/>
      <family val="2"/>
    </font>
    <font>
      <b/>
      <sz val="9"/>
      <color indexed="12"/>
      <name val="Arial"/>
      <family val="2"/>
    </font>
    <font>
      <sz val="9"/>
      <color indexed="12"/>
      <name val="Arial"/>
      <family val="2"/>
    </font>
    <font>
      <sz val="8"/>
      <name val="Arial"/>
      <family val="2"/>
    </font>
    <font>
      <b/>
      <sz val="9"/>
      <name val="Verdana"/>
      <family val="2"/>
    </font>
    <font>
      <b/>
      <sz val="8"/>
      <name val="Arial"/>
      <family val="2"/>
    </font>
    <font>
      <b/>
      <sz val="9"/>
      <color indexed="23"/>
      <name val="Verdana"/>
      <family val="2"/>
    </font>
    <font>
      <sz val="10"/>
      <color indexed="23"/>
      <name val="Arial"/>
      <family val="2"/>
    </font>
    <font>
      <sz val="10"/>
      <color indexed="23"/>
      <name val="Arial"/>
      <family val="2"/>
    </font>
    <font>
      <b/>
      <sz val="8"/>
      <color indexed="81"/>
      <name val="Tahoma"/>
      <family val="2"/>
    </font>
    <font>
      <b/>
      <u/>
      <sz val="10"/>
      <name val="Arial"/>
      <family val="2"/>
    </font>
    <font>
      <b/>
      <sz val="10"/>
      <color indexed="23"/>
      <name val="Arial"/>
      <family val="2"/>
    </font>
    <font>
      <sz val="11"/>
      <color indexed="8"/>
      <name val="Calibri"/>
      <family val="2"/>
    </font>
    <font>
      <b/>
      <sz val="11"/>
      <color indexed="8"/>
      <name val="Calibri"/>
      <family val="2"/>
    </font>
    <font>
      <sz val="8"/>
      <color indexed="8"/>
      <name val="Verdana"/>
      <family val="2"/>
    </font>
    <font>
      <b/>
      <sz val="10"/>
      <color indexed="10"/>
      <name val="Arial"/>
      <family val="2"/>
    </font>
    <font>
      <sz val="10"/>
      <name val="Arial"/>
      <family val="2"/>
    </font>
    <font>
      <b/>
      <sz val="14"/>
      <name val="Calibri"/>
      <family val="2"/>
    </font>
    <font>
      <b/>
      <sz val="8"/>
      <color indexed="23"/>
      <name val="Verdana"/>
      <family val="2"/>
    </font>
    <font>
      <i/>
      <sz val="10"/>
      <name val="Arial"/>
      <family val="2"/>
    </font>
    <font>
      <sz val="10"/>
      <color theme="1"/>
      <name val="Arial"/>
      <family val="2"/>
    </font>
    <font>
      <u/>
      <sz val="10"/>
      <color theme="11"/>
      <name val="Arial"/>
      <family val="2"/>
    </font>
    <font>
      <b/>
      <sz val="9"/>
      <color indexed="81"/>
      <name val="Arial"/>
      <family val="2"/>
    </font>
    <font>
      <b/>
      <sz val="13"/>
      <color rgb="FF000000"/>
      <name val="Calibri"/>
      <family val="2"/>
    </font>
    <font>
      <i/>
      <sz val="11"/>
      <color rgb="FF000000"/>
      <name val="Calibri"/>
      <family val="2"/>
    </font>
    <font>
      <b/>
      <sz val="9"/>
      <color rgb="FF000000"/>
      <name val="Tahoma"/>
      <family val="2"/>
    </font>
    <font>
      <b/>
      <sz val="9"/>
      <color rgb="FF000000"/>
      <name val="Arial"/>
      <family val="2"/>
    </font>
    <font>
      <sz val="10"/>
      <color rgb="FF000000"/>
      <name val="Tahoma"/>
      <family val="2"/>
    </font>
    <font>
      <b/>
      <sz val="8"/>
      <color rgb="FF000000"/>
      <name val="Tahoma"/>
      <family val="2"/>
    </font>
    <font>
      <b/>
      <sz val="10"/>
      <color rgb="FF000000"/>
      <name val="Tahoma"/>
      <family val="2"/>
    </font>
    <font>
      <sz val="10"/>
      <color rgb="FF222222"/>
      <name val="Arial"/>
      <family val="2"/>
    </font>
  </fonts>
  <fills count="13">
    <fill>
      <patternFill patternType="none"/>
    </fill>
    <fill>
      <patternFill patternType="gray125"/>
    </fill>
    <fill>
      <patternFill patternType="solid">
        <fgColor indexed="43"/>
        <bgColor indexed="64"/>
      </patternFill>
    </fill>
    <fill>
      <patternFill patternType="solid">
        <fgColor indexed="10"/>
        <bgColor indexed="64"/>
      </patternFill>
    </fill>
    <fill>
      <patternFill patternType="solid">
        <fgColor indexed="22"/>
        <bgColor indexed="64"/>
      </patternFill>
    </fill>
    <fill>
      <patternFill patternType="solid">
        <fgColor indexed="18"/>
        <bgColor indexed="64"/>
      </patternFill>
    </fill>
    <fill>
      <patternFill patternType="solid">
        <fgColor rgb="FFFFFF99"/>
        <bgColor indexed="64"/>
      </patternFill>
    </fill>
    <fill>
      <patternFill patternType="solid">
        <fgColor rgb="FFFF0000"/>
        <bgColor indexed="64"/>
      </patternFill>
    </fill>
    <fill>
      <patternFill patternType="solid">
        <fgColor rgb="FF92D050"/>
        <bgColor indexed="64"/>
      </patternFill>
    </fill>
    <fill>
      <patternFill patternType="solid">
        <fgColor theme="0" tint="-4.9989318521683403E-2"/>
        <bgColor indexed="64"/>
      </patternFill>
    </fill>
    <fill>
      <patternFill patternType="solid">
        <fgColor rgb="FFFFFF66"/>
        <bgColor indexed="64"/>
      </patternFill>
    </fill>
    <fill>
      <patternFill patternType="solid">
        <fgColor theme="4"/>
        <bgColor indexed="64"/>
      </patternFill>
    </fill>
    <fill>
      <patternFill patternType="solid">
        <fgColor theme="2"/>
        <bgColor indexed="64"/>
      </patternFill>
    </fill>
  </fills>
  <borders count="32">
    <border>
      <left/>
      <right/>
      <top/>
      <bottom/>
      <diagonal/>
    </border>
    <border>
      <left/>
      <right/>
      <top/>
      <bottom style="medium">
        <color auto="1"/>
      </bottom>
      <diagonal/>
    </border>
    <border>
      <left style="medium">
        <color auto="1"/>
      </left>
      <right/>
      <top style="medium">
        <color auto="1"/>
      </top>
      <bottom/>
      <diagonal/>
    </border>
    <border>
      <left style="medium">
        <color auto="1"/>
      </left>
      <right/>
      <top/>
      <bottom/>
      <diagonal/>
    </border>
    <border>
      <left style="medium">
        <color auto="1"/>
      </left>
      <right/>
      <top/>
      <bottom style="medium">
        <color auto="1"/>
      </bottom>
      <diagonal/>
    </border>
    <border>
      <left/>
      <right style="medium">
        <color auto="1"/>
      </right>
      <top style="medium">
        <color auto="1"/>
      </top>
      <bottom/>
      <diagonal/>
    </border>
    <border>
      <left/>
      <right style="medium">
        <color auto="1"/>
      </right>
      <top/>
      <bottom/>
      <diagonal/>
    </border>
    <border>
      <left/>
      <right style="medium">
        <color auto="1"/>
      </right>
      <top/>
      <bottom style="medium">
        <color auto="1"/>
      </bottom>
      <diagonal/>
    </border>
    <border>
      <left style="medium">
        <color auto="1"/>
      </left>
      <right style="medium">
        <color auto="1"/>
      </right>
      <top style="medium">
        <color auto="1"/>
      </top>
      <bottom style="medium">
        <color auto="1"/>
      </bottom>
      <diagonal/>
    </border>
    <border>
      <left/>
      <right/>
      <top style="medium">
        <color auto="1"/>
      </top>
      <bottom/>
      <diagonal/>
    </border>
    <border>
      <left style="medium">
        <color auto="1"/>
      </left>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medium">
        <color auto="1"/>
      </left>
      <right style="medium">
        <color auto="1"/>
      </right>
      <top/>
      <bottom/>
      <diagonal/>
    </border>
    <border>
      <left/>
      <right/>
      <top/>
      <bottom style="thin">
        <color auto="1"/>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medium">
        <color auto="1"/>
      </top>
      <bottom style="medium">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style="thin">
        <color auto="1"/>
      </left>
      <right/>
      <top/>
      <bottom style="thin">
        <color auto="1"/>
      </bottom>
      <diagonal/>
    </border>
    <border>
      <left/>
      <right style="thin">
        <color auto="1"/>
      </right>
      <top/>
      <bottom style="thin">
        <color auto="1"/>
      </bottom>
      <diagonal/>
    </border>
    <border>
      <left/>
      <right/>
      <top style="thin">
        <color auto="1"/>
      </top>
      <bottom style="medium">
        <color auto="1"/>
      </bottom>
      <diagonal/>
    </border>
    <border>
      <left style="medium">
        <color auto="1"/>
      </left>
      <right/>
      <top/>
      <bottom style="thin">
        <color indexed="64"/>
      </bottom>
      <diagonal/>
    </border>
    <border>
      <left/>
      <right style="medium">
        <color auto="1"/>
      </right>
      <top/>
      <bottom style="thin">
        <color indexed="64"/>
      </bottom>
      <diagonal/>
    </border>
  </borders>
  <cellStyleXfs count="308">
    <xf numFmtId="0" fontId="0" fillId="0" borderId="0">
      <alignment vertical="top"/>
    </xf>
    <xf numFmtId="0" fontId="9" fillId="0" borderId="0" applyNumberFormat="0" applyFill="0" applyBorder="0" applyAlignment="0" applyProtection="0">
      <alignment vertical="top"/>
      <protection locked="0"/>
    </xf>
    <xf numFmtId="0" fontId="36" fillId="0" borderId="0"/>
    <xf numFmtId="0" fontId="1" fillId="0" borderId="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xf numFmtId="0" fontId="37" fillId="0" borderId="0" applyNumberFormat="0" applyFill="0" applyBorder="0" applyAlignment="0" applyProtection="0">
      <alignment vertical="top"/>
    </xf>
  </cellStyleXfs>
  <cellXfs count="299">
    <xf numFmtId="0" fontId="0" fillId="0" borderId="0" xfId="0">
      <alignment vertical="top"/>
    </xf>
    <xf numFmtId="0" fontId="2" fillId="0" borderId="0" xfId="0" applyFont="1">
      <alignment vertical="top"/>
    </xf>
    <xf numFmtId="0" fontId="1" fillId="0" borderId="0" xfId="0" applyFont="1" applyAlignment="1" applyProtection="1">
      <alignment horizontal="left"/>
      <protection locked="0"/>
    </xf>
    <xf numFmtId="0" fontId="5" fillId="0" borderId="0" xfId="0" applyFont="1">
      <alignment vertical="top"/>
    </xf>
    <xf numFmtId="0" fontId="5" fillId="0" borderId="0" xfId="0" applyFont="1" applyAlignment="1" applyProtection="1">
      <alignment horizontal="left"/>
      <protection locked="0"/>
    </xf>
    <xf numFmtId="3" fontId="0" fillId="0" borderId="0" xfId="0" applyNumberFormat="1">
      <alignment vertical="top"/>
    </xf>
    <xf numFmtId="3" fontId="5" fillId="0" borderId="0" xfId="0" applyNumberFormat="1" applyFont="1" applyAlignment="1" applyProtection="1">
      <alignment horizontal="right"/>
      <protection locked="0"/>
    </xf>
    <xf numFmtId="0" fontId="5" fillId="0" borderId="0" xfId="0" applyFont="1" applyAlignment="1">
      <alignment vertical="top" wrapText="1"/>
    </xf>
    <xf numFmtId="0" fontId="6" fillId="0" borderId="0" xfId="0" applyFont="1" applyAlignment="1">
      <alignment vertical="top" wrapText="1"/>
    </xf>
    <xf numFmtId="3" fontId="5" fillId="0" borderId="0" xfId="0" applyNumberFormat="1" applyFont="1">
      <alignment vertical="top"/>
    </xf>
    <xf numFmtId="4" fontId="5" fillId="0" borderId="0" xfId="0" applyNumberFormat="1" applyFont="1">
      <alignment vertical="top"/>
    </xf>
    <xf numFmtId="0" fontId="0" fillId="0" borderId="0" xfId="0" applyAlignment="1">
      <alignment vertical="top" wrapText="1"/>
    </xf>
    <xf numFmtId="0" fontId="4" fillId="0" borderId="0" xfId="0" applyFont="1">
      <alignment vertical="top"/>
    </xf>
    <xf numFmtId="0" fontId="0" fillId="0" borderId="1" xfId="0" applyBorder="1">
      <alignment vertical="top"/>
    </xf>
    <xf numFmtId="0" fontId="6" fillId="0" borderId="0" xfId="0" applyFont="1">
      <alignment vertical="top"/>
    </xf>
    <xf numFmtId="0" fontId="6" fillId="0" borderId="0" xfId="0" applyFont="1" applyAlignment="1"/>
    <xf numFmtId="0" fontId="5" fillId="0" borderId="0" xfId="0" applyFont="1" applyAlignment="1">
      <alignment horizontal="right" vertical="top"/>
    </xf>
    <xf numFmtId="0" fontId="6" fillId="2" borderId="0" xfId="0" applyFont="1" applyFill="1" applyAlignment="1" applyProtection="1">
      <alignment horizontal="left"/>
      <protection locked="0"/>
    </xf>
    <xf numFmtId="164" fontId="5" fillId="0" borderId="0" xfId="0" applyNumberFormat="1" applyFont="1">
      <alignment vertical="top"/>
    </xf>
    <xf numFmtId="0" fontId="6" fillId="0" borderId="0" xfId="0" applyFont="1" applyAlignment="1" applyProtection="1">
      <alignment horizontal="left"/>
      <protection locked="0"/>
    </xf>
    <xf numFmtId="0" fontId="6" fillId="2" borderId="0" xfId="0" applyFont="1" applyFill="1">
      <alignment vertical="top"/>
    </xf>
    <xf numFmtId="164" fontId="6" fillId="2" borderId="0" xfId="0" applyNumberFormat="1" applyFont="1" applyFill="1" applyAlignment="1" applyProtection="1">
      <alignment horizontal="left"/>
      <protection locked="0"/>
    </xf>
    <xf numFmtId="164" fontId="6" fillId="0" borderId="0" xfId="0" applyNumberFormat="1" applyFont="1" applyAlignment="1" applyProtection="1">
      <alignment horizontal="right"/>
      <protection locked="0"/>
    </xf>
    <xf numFmtId="164" fontId="5" fillId="0" borderId="0" xfId="0" applyNumberFormat="1" applyFont="1" applyAlignment="1" applyProtection="1">
      <alignment horizontal="right"/>
      <protection locked="0"/>
    </xf>
    <xf numFmtId="164" fontId="6" fillId="0" borderId="1" xfId="0" applyNumberFormat="1" applyFont="1" applyBorder="1" applyAlignment="1" applyProtection="1">
      <alignment horizontal="left"/>
      <protection locked="0"/>
    </xf>
    <xf numFmtId="3" fontId="6" fillId="0" borderId="0" xfId="0" applyNumberFormat="1" applyFont="1" applyAlignment="1" applyProtection="1">
      <alignment horizontal="center"/>
      <protection locked="0"/>
    </xf>
    <xf numFmtId="3" fontId="6" fillId="3" borderId="0" xfId="0" applyNumberFormat="1" applyFont="1" applyFill="1" applyAlignment="1" applyProtection="1">
      <alignment horizontal="center"/>
      <protection locked="0"/>
    </xf>
    <xf numFmtId="164" fontId="6" fillId="0" borderId="0" xfId="0" applyNumberFormat="1" applyFont="1" applyAlignment="1" applyProtection="1">
      <alignment horizontal="left"/>
      <protection locked="0"/>
    </xf>
    <xf numFmtId="3" fontId="6" fillId="0" borderId="1" xfId="0" applyNumberFormat="1" applyFont="1" applyBorder="1">
      <alignment vertical="top"/>
    </xf>
    <xf numFmtId="3" fontId="5" fillId="0" borderId="1" xfId="0" applyNumberFormat="1" applyFont="1" applyBorder="1">
      <alignment vertical="top"/>
    </xf>
    <xf numFmtId="3" fontId="5" fillId="0" borderId="1" xfId="0" applyNumberFormat="1" applyFont="1" applyBorder="1" applyAlignment="1" applyProtection="1">
      <alignment horizontal="right"/>
      <protection locked="0"/>
    </xf>
    <xf numFmtId="0" fontId="5" fillId="0" borderId="0" xfId="3" applyFont="1">
      <alignment vertical="top"/>
    </xf>
    <xf numFmtId="3" fontId="6" fillId="0" borderId="0" xfId="0" applyNumberFormat="1" applyFont="1">
      <alignment vertical="top"/>
    </xf>
    <xf numFmtId="3" fontId="6" fillId="0" borderId="0" xfId="0" applyNumberFormat="1" applyFont="1" applyAlignment="1" applyProtection="1">
      <alignment horizontal="right"/>
      <protection locked="0"/>
    </xf>
    <xf numFmtId="164" fontId="5" fillId="0" borderId="1" xfId="0" applyNumberFormat="1" applyFont="1" applyBorder="1" applyAlignment="1" applyProtection="1">
      <alignment horizontal="right"/>
      <protection locked="0"/>
    </xf>
    <xf numFmtId="0" fontId="14" fillId="0" borderId="0" xfId="1" applyFont="1" applyProtection="1">
      <alignment vertical="top"/>
    </xf>
    <xf numFmtId="0" fontId="0" fillId="0" borderId="0" xfId="0" quotePrefix="1">
      <alignment vertical="top"/>
    </xf>
    <xf numFmtId="0" fontId="17" fillId="0" borderId="1" xfId="0" applyFont="1" applyBorder="1">
      <alignment vertical="top"/>
    </xf>
    <xf numFmtId="0" fontId="18" fillId="0" borderId="0" xfId="0" applyFont="1">
      <alignment vertical="top"/>
    </xf>
    <xf numFmtId="0" fontId="16" fillId="0" borderId="0" xfId="0" applyFont="1">
      <alignment vertical="top"/>
    </xf>
    <xf numFmtId="0" fontId="9" fillId="0" borderId="0" xfId="1" applyProtection="1">
      <alignment vertical="top"/>
    </xf>
    <xf numFmtId="0" fontId="5" fillId="0" borderId="1" xfId="0" applyFont="1" applyBorder="1">
      <alignment vertical="top"/>
    </xf>
    <xf numFmtId="0" fontId="9" fillId="0" borderId="1" xfId="1" applyBorder="1" applyProtection="1">
      <alignment vertical="top"/>
    </xf>
    <xf numFmtId="0" fontId="17" fillId="0" borderId="0" xfId="0" applyFont="1">
      <alignment vertical="top"/>
    </xf>
    <xf numFmtId="0" fontId="0" fillId="0" borderId="0" xfId="0" quotePrefix="1" applyAlignment="1">
      <alignment horizontal="right" vertical="top"/>
    </xf>
    <xf numFmtId="166" fontId="5" fillId="0" borderId="0" xfId="0" applyNumberFormat="1" applyFont="1">
      <alignment vertical="top"/>
    </xf>
    <xf numFmtId="0" fontId="5" fillId="4" borderId="0" xfId="0" applyFont="1" applyFill="1">
      <alignment vertical="top"/>
    </xf>
    <xf numFmtId="0" fontId="0" fillId="0" borderId="2" xfId="0" applyBorder="1">
      <alignment vertical="top"/>
    </xf>
    <xf numFmtId="0" fontId="0" fillId="0" borderId="3" xfId="0" applyBorder="1">
      <alignment vertical="top"/>
    </xf>
    <xf numFmtId="0" fontId="0" fillId="0" borderId="4" xfId="0" applyBorder="1">
      <alignment vertical="top"/>
    </xf>
    <xf numFmtId="0" fontId="2" fillId="0" borderId="0" xfId="0" quotePrefix="1" applyFont="1" applyAlignment="1">
      <alignment horizontal="center" vertical="top"/>
    </xf>
    <xf numFmtId="0" fontId="11" fillId="0" borderId="0" xfId="0" applyFont="1">
      <alignment vertical="top"/>
    </xf>
    <xf numFmtId="0" fontId="2" fillId="0" borderId="0" xfId="0" quotePrefix="1" applyFont="1" applyAlignment="1">
      <alignment horizontal="left" vertical="top"/>
    </xf>
    <xf numFmtId="3" fontId="19" fillId="0" borderId="0" xfId="0" applyNumberFormat="1" applyFont="1" applyAlignment="1" applyProtection="1">
      <alignment horizontal="right"/>
      <protection locked="0"/>
    </xf>
    <xf numFmtId="3" fontId="2" fillId="0" borderId="0" xfId="0" applyNumberFormat="1" applyFont="1">
      <alignment vertical="top"/>
    </xf>
    <xf numFmtId="3" fontId="0" fillId="0" borderId="0" xfId="0" quotePrefix="1" applyNumberFormat="1">
      <alignment vertical="top"/>
    </xf>
    <xf numFmtId="3" fontId="4" fillId="0" borderId="0" xfId="0" applyNumberFormat="1" applyFont="1">
      <alignment vertical="top"/>
    </xf>
    <xf numFmtId="0" fontId="5" fillId="5" borderId="0" xfId="0" applyFont="1" applyFill="1">
      <alignment vertical="top"/>
    </xf>
    <xf numFmtId="0" fontId="13" fillId="5" borderId="0" xfId="0" applyFont="1" applyFill="1">
      <alignment vertical="top"/>
    </xf>
    <xf numFmtId="0" fontId="0" fillId="0" borderId="0" xfId="0" applyAlignment="1">
      <alignment horizontal="right"/>
    </xf>
    <xf numFmtId="0" fontId="11" fillId="0" borderId="1" xfId="0" applyFont="1" applyBorder="1" applyAlignment="1">
      <alignment horizontal="left"/>
    </xf>
    <xf numFmtId="3" fontId="0" fillId="0" borderId="5" xfId="0" applyNumberFormat="1" applyBorder="1">
      <alignment vertical="top"/>
    </xf>
    <xf numFmtId="3" fontId="0" fillId="0" borderId="6" xfId="0" applyNumberFormat="1" applyBorder="1">
      <alignment vertical="top"/>
    </xf>
    <xf numFmtId="3" fontId="0" fillId="0" borderId="7" xfId="0" applyNumberFormat="1" applyBorder="1">
      <alignment vertical="top"/>
    </xf>
    <xf numFmtId="0" fontId="7" fillId="0" borderId="0" xfId="0" applyFont="1">
      <alignment vertical="top"/>
    </xf>
    <xf numFmtId="0" fontId="3" fillId="5" borderId="8" xfId="0" applyFont="1" applyFill="1" applyBorder="1">
      <alignment vertical="top"/>
    </xf>
    <xf numFmtId="3" fontId="0" fillId="0" borderId="1" xfId="0" applyNumberFormat="1" applyBorder="1">
      <alignment vertical="top"/>
    </xf>
    <xf numFmtId="3" fontId="0" fillId="0" borderId="1" xfId="0" quotePrefix="1" applyNumberFormat="1" applyBorder="1">
      <alignment vertical="top"/>
    </xf>
    <xf numFmtId="3" fontId="21" fillId="0" borderId="0" xfId="0" applyNumberFormat="1" applyFont="1" applyAlignment="1" applyProtection="1">
      <alignment horizontal="center"/>
      <protection locked="0"/>
    </xf>
    <xf numFmtId="0" fontId="22" fillId="0" borderId="0" xfId="0" applyFont="1" applyAlignment="1">
      <alignment horizontal="center"/>
    </xf>
    <xf numFmtId="0" fontId="23" fillId="0" borderId="0" xfId="0" applyFont="1">
      <alignment vertical="top"/>
    </xf>
    <xf numFmtId="0" fontId="24" fillId="0" borderId="0" xfId="0" applyFont="1">
      <alignment vertical="top"/>
    </xf>
    <xf numFmtId="0" fontId="5" fillId="4" borderId="1" xfId="0" applyFont="1" applyFill="1" applyBorder="1">
      <alignment vertical="top"/>
    </xf>
    <xf numFmtId="0" fontId="0" fillId="2" borderId="8" xfId="0" applyFill="1" applyBorder="1" applyProtection="1">
      <alignment vertical="top"/>
      <protection locked="0"/>
    </xf>
    <xf numFmtId="0" fontId="5" fillId="0" borderId="9" xfId="0" applyFont="1" applyBorder="1">
      <alignment vertical="top"/>
    </xf>
    <xf numFmtId="0" fontId="5" fillId="0" borderId="9" xfId="0" quotePrefix="1" applyFont="1" applyBorder="1" applyAlignment="1">
      <alignment horizontal="center" vertical="top"/>
    </xf>
    <xf numFmtId="17" fontId="5" fillId="0" borderId="9" xfId="0" quotePrefix="1" applyNumberFormat="1" applyFont="1" applyBorder="1" applyAlignment="1">
      <alignment horizontal="center" vertical="top"/>
    </xf>
    <xf numFmtId="0" fontId="5" fillId="0" borderId="5" xfId="0" applyFont="1" applyBorder="1">
      <alignment vertical="top"/>
    </xf>
    <xf numFmtId="0" fontId="5" fillId="0" borderId="3" xfId="0" applyFont="1" applyBorder="1">
      <alignment vertical="top"/>
    </xf>
    <xf numFmtId="3" fontId="5" fillId="0" borderId="6" xfId="0" applyNumberFormat="1" applyFont="1" applyBorder="1">
      <alignment vertical="top"/>
    </xf>
    <xf numFmtId="0" fontId="5" fillId="0" borderId="3" xfId="0" quotePrefix="1" applyFont="1" applyBorder="1">
      <alignment vertical="top"/>
    </xf>
    <xf numFmtId="0" fontId="5" fillId="0" borderId="4" xfId="0" applyFont="1" applyBorder="1">
      <alignment vertical="top"/>
    </xf>
    <xf numFmtId="3" fontId="5" fillId="0" borderId="7" xfId="0" applyNumberFormat="1" applyFont="1" applyBorder="1">
      <alignment vertical="top"/>
    </xf>
    <xf numFmtId="4" fontId="7" fillId="0" borderId="0" xfId="0" applyNumberFormat="1" applyFont="1">
      <alignment vertical="top"/>
    </xf>
    <xf numFmtId="0" fontId="0" fillId="0" borderId="0" xfId="0" applyAlignment="1">
      <alignment horizontal="center" vertical="top"/>
    </xf>
    <xf numFmtId="0" fontId="2" fillId="0" borderId="0" xfId="0" applyFont="1" applyAlignment="1">
      <alignment horizontal="right" vertical="top"/>
    </xf>
    <xf numFmtId="0" fontId="0" fillId="0" borderId="0" xfId="0" applyAlignment="1">
      <alignment horizontal="right" vertical="top"/>
    </xf>
    <xf numFmtId="2" fontId="0" fillId="0" borderId="0" xfId="0" applyNumberFormat="1">
      <alignment vertical="top"/>
    </xf>
    <xf numFmtId="0" fontId="8" fillId="0" borderId="1" xfId="0" applyFont="1" applyBorder="1">
      <alignment vertical="top"/>
    </xf>
    <xf numFmtId="0" fontId="2" fillId="0" borderId="1" xfId="0" applyFont="1" applyBorder="1">
      <alignment vertical="top"/>
    </xf>
    <xf numFmtId="0" fontId="26" fillId="0" borderId="0" xfId="0" applyFont="1">
      <alignment vertical="top"/>
    </xf>
    <xf numFmtId="4" fontId="2" fillId="0" borderId="0" xfId="0" applyNumberFormat="1" applyFont="1">
      <alignment vertical="top"/>
    </xf>
    <xf numFmtId="0" fontId="8" fillId="0" borderId="2" xfId="0" applyFont="1" applyBorder="1">
      <alignment vertical="top"/>
    </xf>
    <xf numFmtId="0" fontId="5" fillId="0" borderId="6" xfId="0" applyFont="1" applyBorder="1">
      <alignment vertical="top"/>
    </xf>
    <xf numFmtId="0" fontId="5" fillId="0" borderId="7" xfId="0" applyFont="1" applyBorder="1">
      <alignment vertical="top"/>
    </xf>
    <xf numFmtId="0" fontId="1" fillId="0" borderId="1" xfId="0" applyFont="1" applyBorder="1" applyAlignment="1" applyProtection="1">
      <alignment horizontal="left"/>
      <protection locked="0"/>
    </xf>
    <xf numFmtId="3" fontId="6" fillId="0" borderId="0" xfId="0" quotePrefix="1" applyNumberFormat="1" applyFont="1" applyAlignment="1" applyProtection="1">
      <alignment horizontal="center"/>
      <protection locked="0"/>
    </xf>
    <xf numFmtId="3" fontId="5" fillId="2" borderId="0" xfId="0" applyNumberFormat="1" applyFont="1" applyFill="1">
      <alignment vertical="top"/>
    </xf>
    <xf numFmtId="3" fontId="5" fillId="2" borderId="0" xfId="0" applyNumberFormat="1" applyFont="1" applyFill="1" applyAlignment="1" applyProtection="1">
      <alignment horizontal="right"/>
      <protection locked="0"/>
    </xf>
    <xf numFmtId="0" fontId="8" fillId="2" borderId="0" xfId="0" applyFont="1" applyFill="1">
      <alignment vertical="top"/>
    </xf>
    <xf numFmtId="0" fontId="24" fillId="0" borderId="3" xfId="0" applyFont="1" applyBorder="1">
      <alignment vertical="top"/>
    </xf>
    <xf numFmtId="0" fontId="27" fillId="0" borderId="0" xfId="0" applyFont="1">
      <alignment vertical="top"/>
    </xf>
    <xf numFmtId="4" fontId="0" fillId="0" borderId="0" xfId="0" applyNumberFormat="1">
      <alignment vertical="top"/>
    </xf>
    <xf numFmtId="0" fontId="2" fillId="0" borderId="0" xfId="0" applyFont="1" applyAlignment="1">
      <alignment horizontal="center" vertical="top"/>
    </xf>
    <xf numFmtId="0" fontId="2" fillId="0" borderId="2" xfId="0" applyFont="1" applyBorder="1">
      <alignment vertical="top"/>
    </xf>
    <xf numFmtId="0" fontId="9" fillId="0" borderId="9" xfId="1" applyBorder="1" applyProtection="1">
      <alignment vertical="top"/>
    </xf>
    <xf numFmtId="0" fontId="0" fillId="0" borderId="5" xfId="0" applyBorder="1">
      <alignment vertical="top"/>
    </xf>
    <xf numFmtId="0" fontId="0" fillId="0" borderId="6" xfId="0" applyBorder="1">
      <alignment vertical="top"/>
    </xf>
    <xf numFmtId="0" fontId="2" fillId="0" borderId="3" xfId="0" applyFont="1" applyBorder="1">
      <alignment vertical="top"/>
    </xf>
    <xf numFmtId="0" fontId="2" fillId="0" borderId="6" xfId="0" applyFont="1" applyBorder="1">
      <alignment vertical="top"/>
    </xf>
    <xf numFmtId="0" fontId="2" fillId="0" borderId="6" xfId="0" quotePrefix="1" applyFont="1" applyBorder="1">
      <alignment vertical="top"/>
    </xf>
    <xf numFmtId="0" fontId="0" fillId="0" borderId="7" xfId="0" applyBorder="1">
      <alignment vertical="top"/>
    </xf>
    <xf numFmtId="0" fontId="5" fillId="0" borderId="0" xfId="0" applyFont="1" applyAlignment="1">
      <alignment horizontal="left" vertical="top"/>
    </xf>
    <xf numFmtId="0" fontId="9" fillId="0" borderId="0" xfId="1" applyAlignment="1" applyProtection="1">
      <alignment horizontal="left" vertical="top"/>
    </xf>
    <xf numFmtId="0" fontId="4" fillId="0" borderId="0" xfId="0" applyFont="1" applyAlignment="1"/>
    <xf numFmtId="0" fontId="0" fillId="0" borderId="0" xfId="0" applyAlignment="1"/>
    <xf numFmtId="0" fontId="4" fillId="0" borderId="0" xfId="0" applyFont="1" applyAlignment="1">
      <alignment horizontal="center" vertical="top"/>
    </xf>
    <xf numFmtId="4" fontId="4" fillId="0" borderId="0" xfId="0" applyNumberFormat="1" applyFont="1">
      <alignment vertical="top"/>
    </xf>
    <xf numFmtId="0" fontId="0" fillId="0" borderId="9" xfId="0" applyBorder="1" applyAlignment="1"/>
    <xf numFmtId="0" fontId="0" fillId="0" borderId="5" xfId="0" applyBorder="1" applyAlignment="1"/>
    <xf numFmtId="0" fontId="0" fillId="0" borderId="3" xfId="0" applyBorder="1" applyAlignment="1"/>
    <xf numFmtId="0" fontId="0" fillId="0" borderId="6" xfId="0" applyBorder="1" applyAlignment="1"/>
    <xf numFmtId="0" fontId="0" fillId="0" borderId="4" xfId="0" applyBorder="1" applyAlignment="1"/>
    <xf numFmtId="0" fontId="0" fillId="0" borderId="1" xfId="0" applyBorder="1" applyAlignment="1"/>
    <xf numFmtId="0" fontId="0" fillId="0" borderId="7" xfId="0" applyBorder="1" applyAlignment="1"/>
    <xf numFmtId="0" fontId="2" fillId="0" borderId="2" xfId="0" applyFont="1" applyBorder="1" applyAlignment="1"/>
    <xf numFmtId="0" fontId="2" fillId="0" borderId="1" xfId="0" applyFont="1" applyBorder="1" applyAlignment="1"/>
    <xf numFmtId="1" fontId="5" fillId="0" borderId="0" xfId="0" applyNumberFormat="1" applyFont="1">
      <alignment vertical="top"/>
    </xf>
    <xf numFmtId="0" fontId="5" fillId="0" borderId="14" xfId="0" applyFont="1" applyBorder="1">
      <alignment vertical="top"/>
    </xf>
    <xf numFmtId="0" fontId="4" fillId="0" borderId="3" xfId="0" applyFont="1" applyBorder="1">
      <alignment vertical="top"/>
    </xf>
    <xf numFmtId="14" fontId="0" fillId="0" borderId="0" xfId="0" applyNumberFormat="1">
      <alignment vertical="top"/>
    </xf>
    <xf numFmtId="0" fontId="31" fillId="0" borderId="0" xfId="0" applyFont="1">
      <alignment vertical="top"/>
    </xf>
    <xf numFmtId="0" fontId="5" fillId="0" borderId="0" xfId="0" quotePrefix="1" applyFont="1">
      <alignment vertical="top"/>
    </xf>
    <xf numFmtId="0" fontId="29" fillId="0" borderId="2" xfId="0" applyFont="1" applyBorder="1" applyAlignment="1"/>
    <xf numFmtId="0" fontId="29" fillId="0" borderId="1" xfId="0" applyFont="1" applyBorder="1" applyAlignment="1"/>
    <xf numFmtId="0" fontId="0" fillId="0" borderId="0" xfId="0" applyAlignment="1">
      <alignment horizontal="center"/>
    </xf>
    <xf numFmtId="0" fontId="28" fillId="0" borderId="9" xfId="0" applyFont="1" applyBorder="1" applyAlignment="1"/>
    <xf numFmtId="0" fontId="23" fillId="0" borderId="13" xfId="0" applyFont="1" applyBorder="1">
      <alignment vertical="top"/>
    </xf>
    <xf numFmtId="0" fontId="4" fillId="0" borderId="0" xfId="0" applyFont="1" applyAlignment="1">
      <alignment horizontal="center" vertical="top" wrapText="1"/>
    </xf>
    <xf numFmtId="0" fontId="32" fillId="0" borderId="0" xfId="0" applyFont="1">
      <alignment vertical="top"/>
    </xf>
    <xf numFmtId="0" fontId="6" fillId="0" borderId="0" xfId="3" applyFont="1">
      <alignment vertical="top"/>
    </xf>
    <xf numFmtId="3" fontId="21" fillId="0" borderId="0" xfId="0" applyNumberFormat="1" applyFont="1" applyAlignment="1" applyProtection="1">
      <alignment horizontal="left"/>
      <protection locked="0"/>
    </xf>
    <xf numFmtId="164" fontId="6" fillId="0" borderId="0" xfId="0" applyNumberFormat="1" applyFont="1">
      <alignment vertical="top"/>
    </xf>
    <xf numFmtId="164" fontId="6" fillId="2" borderId="0" xfId="0" applyNumberFormat="1" applyFont="1" applyFill="1">
      <alignment vertical="top"/>
    </xf>
    <xf numFmtId="3" fontId="6" fillId="6" borderId="0" xfId="0" applyNumberFormat="1" applyFont="1" applyFill="1" applyAlignment="1" applyProtection="1">
      <alignment horizontal="right"/>
      <protection locked="0"/>
    </xf>
    <xf numFmtId="3" fontId="21" fillId="7" borderId="0" xfId="0" applyNumberFormat="1" applyFont="1" applyFill="1" applyAlignment="1" applyProtection="1">
      <alignment horizontal="center"/>
      <protection locked="0"/>
    </xf>
    <xf numFmtId="0" fontId="32" fillId="0" borderId="0" xfId="0" quotePrefix="1" applyFont="1">
      <alignment vertical="top"/>
    </xf>
    <xf numFmtId="3" fontId="19" fillId="0" borderId="0" xfId="0" applyNumberFormat="1" applyFont="1" applyAlignment="1" applyProtection="1">
      <alignment horizontal="left"/>
      <protection locked="0"/>
    </xf>
    <xf numFmtId="0" fontId="13" fillId="8" borderId="0" xfId="0" applyFont="1" applyFill="1">
      <alignment vertical="top"/>
    </xf>
    <xf numFmtId="0" fontId="5" fillId="4" borderId="16" xfId="0" applyFont="1" applyFill="1" applyBorder="1">
      <alignment vertical="top"/>
    </xf>
    <xf numFmtId="0" fontId="15" fillId="0" borderId="16" xfId="0" applyFont="1" applyBorder="1">
      <alignment vertical="top"/>
    </xf>
    <xf numFmtId="3" fontId="6" fillId="0" borderId="16" xfId="0" applyNumberFormat="1" applyFont="1" applyBorder="1">
      <alignment vertical="top"/>
    </xf>
    <xf numFmtId="3" fontId="5" fillId="0" borderId="16" xfId="0" applyNumberFormat="1" applyFont="1" applyBorder="1">
      <alignment vertical="top"/>
    </xf>
    <xf numFmtId="3" fontId="5" fillId="0" borderId="16" xfId="0" applyNumberFormat="1" applyFont="1" applyBorder="1" applyAlignment="1" applyProtection="1">
      <alignment horizontal="right"/>
      <protection locked="0"/>
    </xf>
    <xf numFmtId="164" fontId="6" fillId="0" borderId="16" xfId="0" applyNumberFormat="1" applyFont="1" applyBorder="1" applyAlignment="1" applyProtection="1">
      <alignment horizontal="left"/>
      <protection locked="0"/>
    </xf>
    <xf numFmtId="3" fontId="6" fillId="6" borderId="16" xfId="0" applyNumberFormat="1" applyFont="1" applyFill="1" applyBorder="1" applyAlignment="1" applyProtection="1">
      <alignment horizontal="right"/>
      <protection locked="0"/>
    </xf>
    <xf numFmtId="0" fontId="5" fillId="0" borderId="16" xfId="0" applyFont="1" applyBorder="1">
      <alignment vertical="top"/>
    </xf>
    <xf numFmtId="3" fontId="5" fillId="0" borderId="0" xfId="0" quotePrefix="1" applyNumberFormat="1" applyFont="1">
      <alignment vertical="top"/>
    </xf>
    <xf numFmtId="3" fontId="6" fillId="0" borderId="16" xfId="0" applyNumberFormat="1" applyFont="1" applyBorder="1" applyAlignment="1" applyProtection="1">
      <alignment horizontal="right"/>
      <protection locked="0"/>
    </xf>
    <xf numFmtId="0" fontId="21" fillId="0" borderId="0" xfId="0" applyFont="1" applyAlignment="1">
      <alignment vertical="center" wrapText="1"/>
    </xf>
    <xf numFmtId="3" fontId="5" fillId="2" borderId="16" xfId="0" applyNumberFormat="1" applyFont="1" applyFill="1" applyBorder="1">
      <alignment vertical="top"/>
    </xf>
    <xf numFmtId="167" fontId="0" fillId="0" borderId="0" xfId="0" applyNumberFormat="1">
      <alignment vertical="top"/>
    </xf>
    <xf numFmtId="0" fontId="4" fillId="0" borderId="0" xfId="0" applyFont="1" applyAlignment="1">
      <alignment horizontal="right" vertical="top"/>
    </xf>
    <xf numFmtId="3" fontId="0" fillId="9" borderId="0" xfId="0" applyNumberFormat="1" applyFill="1">
      <alignment vertical="top"/>
    </xf>
    <xf numFmtId="0" fontId="4" fillId="0" borderId="0" xfId="0" applyFont="1" applyAlignment="1">
      <alignment vertical="top" wrapText="1"/>
    </xf>
    <xf numFmtId="3" fontId="0" fillId="0" borderId="15" xfId="0" applyNumberFormat="1" applyBorder="1" applyProtection="1">
      <alignment vertical="top"/>
      <protection locked="0"/>
    </xf>
    <xf numFmtId="3" fontId="0" fillId="0" borderId="17" xfId="0" applyNumberFormat="1" applyBorder="1" applyProtection="1">
      <alignment vertical="top"/>
      <protection locked="0"/>
    </xf>
    <xf numFmtId="3" fontId="0" fillId="0" borderId="18" xfId="0" applyNumberFormat="1" applyBorder="1" applyProtection="1">
      <alignment vertical="top"/>
      <protection locked="0"/>
    </xf>
    <xf numFmtId="3" fontId="9" fillId="0" borderId="0" xfId="1" applyNumberFormat="1" applyProtection="1">
      <alignment vertical="top"/>
    </xf>
    <xf numFmtId="0" fontId="4" fillId="9" borderId="0" xfId="0" applyFont="1" applyFill="1">
      <alignment vertical="top"/>
    </xf>
    <xf numFmtId="0" fontId="0" fillId="9" borderId="0" xfId="0" applyFill="1">
      <alignment vertical="top"/>
    </xf>
    <xf numFmtId="0" fontId="4" fillId="9" borderId="0" xfId="0" applyFont="1" applyFill="1" applyAlignment="1">
      <alignment horizontal="right" vertical="top"/>
    </xf>
    <xf numFmtId="0" fontId="0" fillId="9" borderId="0" xfId="0" applyFill="1" applyProtection="1">
      <alignment vertical="top"/>
      <protection locked="0"/>
    </xf>
    <xf numFmtId="0" fontId="4" fillId="9" borderId="0" xfId="0" applyFont="1" applyFill="1" applyAlignment="1">
      <alignment horizontal="center" vertical="top"/>
    </xf>
    <xf numFmtId="0" fontId="21" fillId="9" borderId="0" xfId="0" applyFont="1" applyFill="1" applyAlignment="1">
      <alignment vertical="center" wrapText="1"/>
    </xf>
    <xf numFmtId="0" fontId="21" fillId="6" borderId="0" xfId="0" applyFont="1" applyFill="1" applyAlignment="1">
      <alignment vertical="center" wrapText="1"/>
    </xf>
    <xf numFmtId="0" fontId="21" fillId="6" borderId="1" xfId="0" applyFont="1" applyFill="1" applyBorder="1" applyAlignment="1">
      <alignment vertical="center" wrapText="1"/>
    </xf>
    <xf numFmtId="0" fontId="21" fillId="9" borderId="1" xfId="0" applyFont="1" applyFill="1" applyBorder="1" applyAlignment="1">
      <alignment vertical="center" wrapText="1"/>
    </xf>
    <xf numFmtId="0" fontId="21" fillId="0" borderId="1" xfId="0" applyFont="1" applyBorder="1" applyAlignment="1">
      <alignment vertical="center" wrapText="1"/>
    </xf>
    <xf numFmtId="3" fontId="5" fillId="0" borderId="0" xfId="0" applyNumberFormat="1" applyFont="1" applyAlignment="1">
      <alignment horizontal="left" vertical="top"/>
    </xf>
    <xf numFmtId="4" fontId="9" fillId="0" borderId="0" xfId="1" applyNumberFormat="1" applyProtection="1">
      <alignment vertical="top"/>
    </xf>
    <xf numFmtId="3" fontId="9" fillId="0" borderId="0" xfId="1" quotePrefix="1" applyNumberFormat="1" applyProtection="1">
      <alignment vertical="top"/>
    </xf>
    <xf numFmtId="3" fontId="6" fillId="9" borderId="0" xfId="0" applyNumberFormat="1" applyFont="1" applyFill="1">
      <alignment vertical="top"/>
    </xf>
    <xf numFmtId="3" fontId="6" fillId="0" borderId="0" xfId="0" applyNumberFormat="1" applyFont="1" applyAlignment="1">
      <alignment vertical="top" wrapText="1"/>
    </xf>
    <xf numFmtId="4" fontId="30" fillId="0" borderId="0" xfId="0" applyNumberFormat="1" applyFont="1" applyAlignment="1">
      <alignment horizontal="left" vertical="center"/>
    </xf>
    <xf numFmtId="4" fontId="30" fillId="0" borderId="6" xfId="0" applyNumberFormat="1" applyFont="1" applyBorder="1" applyAlignment="1">
      <alignment horizontal="left" vertical="center"/>
    </xf>
    <xf numFmtId="168" fontId="0" fillId="0" borderId="0" xfId="0" applyNumberFormat="1">
      <alignment vertical="top"/>
    </xf>
    <xf numFmtId="0" fontId="33" fillId="0" borderId="0" xfId="0" applyFont="1">
      <alignment vertical="top"/>
    </xf>
    <xf numFmtId="0" fontId="4" fillId="0" borderId="0" xfId="0" quotePrefix="1" applyFont="1" applyAlignment="1">
      <alignment horizontal="right" vertical="top"/>
    </xf>
    <xf numFmtId="0" fontId="0" fillId="0" borderId="15" xfId="0" applyBorder="1" applyProtection="1">
      <alignment vertical="top"/>
      <protection locked="0"/>
    </xf>
    <xf numFmtId="3" fontId="32" fillId="0" borderId="15" xfId="0" applyNumberFormat="1" applyFont="1" applyBorder="1" applyProtection="1">
      <alignment vertical="top"/>
      <protection locked="0"/>
    </xf>
    <xf numFmtId="0" fontId="2" fillId="0" borderId="1" xfId="0" applyFont="1" applyBorder="1" applyAlignment="1">
      <alignment horizontal="right"/>
    </xf>
    <xf numFmtId="0" fontId="2" fillId="0" borderId="1" xfId="0" applyFont="1" applyBorder="1" applyAlignment="1">
      <alignment horizontal="right" vertical="top"/>
    </xf>
    <xf numFmtId="0" fontId="4" fillId="0" borderId="4" xfId="0" applyFont="1" applyBorder="1">
      <alignment vertical="top"/>
    </xf>
    <xf numFmtId="0" fontId="20" fillId="10" borderId="3" xfId="0" applyFont="1" applyFill="1" applyBorder="1">
      <alignment vertical="top"/>
    </xf>
    <xf numFmtId="3" fontId="2" fillId="10" borderId="0" xfId="0" applyNumberFormat="1" applyFont="1" applyFill="1">
      <alignment vertical="top"/>
    </xf>
    <xf numFmtId="3" fontId="2" fillId="0" borderId="19" xfId="0" applyNumberFormat="1" applyFont="1" applyBorder="1">
      <alignment vertical="top"/>
    </xf>
    <xf numFmtId="0" fontId="2" fillId="0" borderId="7" xfId="0" applyFont="1" applyBorder="1">
      <alignment vertical="top"/>
    </xf>
    <xf numFmtId="0" fontId="2" fillId="0" borderId="0" xfId="0" applyFont="1" applyAlignment="1">
      <alignment horizontal="right"/>
    </xf>
    <xf numFmtId="3" fontId="0" fillId="0" borderId="14" xfId="0" applyNumberFormat="1" applyBorder="1">
      <alignment vertical="top"/>
    </xf>
    <xf numFmtId="0" fontId="4" fillId="0" borderId="0" xfId="0" quotePrefix="1" applyFont="1">
      <alignment vertical="top"/>
    </xf>
    <xf numFmtId="3" fontId="4" fillId="0" borderId="0" xfId="0" quotePrefix="1" applyNumberFormat="1" applyFont="1" applyAlignment="1">
      <alignment horizontal="right" vertical="top"/>
    </xf>
    <xf numFmtId="3" fontId="32" fillId="0" borderId="0" xfId="0" applyNumberFormat="1" applyFont="1" applyProtection="1">
      <alignment vertical="top"/>
      <protection locked="0"/>
    </xf>
    <xf numFmtId="0" fontId="0" fillId="0" borderId="0" xfId="0" applyProtection="1">
      <alignment vertical="top"/>
      <protection locked="0"/>
    </xf>
    <xf numFmtId="169" fontId="4" fillId="0" borderId="0" xfId="0" applyNumberFormat="1" applyFont="1">
      <alignment vertical="top"/>
    </xf>
    <xf numFmtId="3" fontId="0" fillId="0" borderId="20" xfId="0" applyNumberFormat="1" applyBorder="1">
      <alignment vertical="top"/>
    </xf>
    <xf numFmtId="0" fontId="0" fillId="0" borderId="21" xfId="0" applyBorder="1">
      <alignment vertical="top"/>
    </xf>
    <xf numFmtId="3" fontId="0" fillId="0" borderId="22" xfId="0" applyNumberFormat="1" applyBorder="1">
      <alignment vertical="top"/>
    </xf>
    <xf numFmtId="0" fontId="0" fillId="0" borderId="23" xfId="0" applyBorder="1">
      <alignment vertical="top"/>
    </xf>
    <xf numFmtId="0" fontId="34" fillId="0" borderId="11" xfId="0" applyFont="1" applyBorder="1" applyAlignment="1">
      <alignment horizontal="center" wrapText="1"/>
    </xf>
    <xf numFmtId="3" fontId="2" fillId="0" borderId="24" xfId="0" applyNumberFormat="1" applyFont="1" applyBorder="1">
      <alignment vertical="top"/>
    </xf>
    <xf numFmtId="0" fontId="2" fillId="0" borderId="25" xfId="0" applyFont="1" applyBorder="1">
      <alignment vertical="top"/>
    </xf>
    <xf numFmtId="169" fontId="4" fillId="0" borderId="13" xfId="0" applyNumberFormat="1" applyFont="1" applyBorder="1">
      <alignment vertical="top"/>
    </xf>
    <xf numFmtId="0" fontId="24" fillId="0" borderId="4" xfId="0" applyFont="1" applyBorder="1">
      <alignment vertical="top"/>
    </xf>
    <xf numFmtId="169" fontId="4" fillId="0" borderId="1" xfId="0" applyNumberFormat="1" applyFont="1" applyBorder="1">
      <alignment vertical="top"/>
    </xf>
    <xf numFmtId="0" fontId="22" fillId="0" borderId="2" xfId="0" applyFont="1" applyBorder="1" applyAlignment="1">
      <alignment horizontal="center"/>
    </xf>
    <xf numFmtId="169" fontId="4" fillId="0" borderId="12" xfId="0" applyNumberFormat="1" applyFont="1" applyBorder="1">
      <alignment vertical="top"/>
    </xf>
    <xf numFmtId="0" fontId="0" fillId="0" borderId="9" xfId="0" applyBorder="1">
      <alignment vertical="top"/>
    </xf>
    <xf numFmtId="0" fontId="4" fillId="0" borderId="1" xfId="0" applyFont="1" applyBorder="1">
      <alignment vertical="top"/>
    </xf>
    <xf numFmtId="0" fontId="20" fillId="10" borderId="0" xfId="0" applyFont="1" applyFill="1">
      <alignment vertical="top"/>
    </xf>
    <xf numFmtId="3" fontId="4" fillId="0" borderId="0" xfId="0" applyNumberFormat="1" applyFont="1" applyProtection="1">
      <alignment vertical="top"/>
      <protection locked="0"/>
    </xf>
    <xf numFmtId="0" fontId="20" fillId="0" borderId="10" xfId="0" applyFont="1" applyBorder="1">
      <alignment vertical="top"/>
    </xf>
    <xf numFmtId="0" fontId="20" fillId="0" borderId="19" xfId="0" applyFont="1" applyBorder="1">
      <alignment vertical="top"/>
    </xf>
    <xf numFmtId="0" fontId="23" fillId="0" borderId="3" xfId="0" applyFont="1" applyBorder="1">
      <alignment vertical="top"/>
    </xf>
    <xf numFmtId="3" fontId="2" fillId="0" borderId="2" xfId="0" applyNumberFormat="1" applyFont="1" applyBorder="1">
      <alignment vertical="top"/>
    </xf>
    <xf numFmtId="3" fontId="2" fillId="0" borderId="9" xfId="0" applyNumberFormat="1" applyFont="1" applyBorder="1">
      <alignment vertical="top"/>
    </xf>
    <xf numFmtId="3" fontId="2" fillId="0" borderId="5" xfId="0" applyNumberFormat="1" applyFont="1" applyBorder="1">
      <alignment vertical="top"/>
    </xf>
    <xf numFmtId="3" fontId="2" fillId="0" borderId="1" xfId="0" applyNumberFormat="1" applyFont="1" applyBorder="1">
      <alignment vertical="top"/>
    </xf>
    <xf numFmtId="0" fontId="2" fillId="0" borderId="4" xfId="0" applyFont="1" applyBorder="1">
      <alignment vertical="top"/>
    </xf>
    <xf numFmtId="165" fontId="23" fillId="0" borderId="13" xfId="0" applyNumberFormat="1" applyFont="1" applyBorder="1">
      <alignment vertical="top"/>
    </xf>
    <xf numFmtId="0" fontId="4" fillId="0" borderId="20" xfId="0" applyFont="1" applyBorder="1">
      <alignment vertical="top"/>
    </xf>
    <xf numFmtId="164" fontId="0" fillId="0" borderId="26" xfId="0" applyNumberFormat="1" applyBorder="1">
      <alignment vertical="top"/>
    </xf>
    <xf numFmtId="0" fontId="4" fillId="0" borderId="27" xfId="0" applyFont="1" applyBorder="1">
      <alignment vertical="top"/>
    </xf>
    <xf numFmtId="166" fontId="0" fillId="0" borderId="14" xfId="0" applyNumberFormat="1" applyBorder="1">
      <alignment vertical="top"/>
    </xf>
    <xf numFmtId="0" fontId="0" fillId="0" borderId="28" xfId="0" applyBorder="1">
      <alignment vertical="top"/>
    </xf>
    <xf numFmtId="0" fontId="0" fillId="0" borderId="26" xfId="0" applyBorder="1">
      <alignment vertical="top"/>
    </xf>
    <xf numFmtId="0" fontId="0" fillId="0" borderId="14" xfId="0" applyBorder="1">
      <alignment vertical="top"/>
    </xf>
    <xf numFmtId="164" fontId="0" fillId="0" borderId="0" xfId="0" applyNumberFormat="1">
      <alignment vertical="top"/>
    </xf>
    <xf numFmtId="0" fontId="35" fillId="0" borderId="0" xfId="0" applyFont="1">
      <alignment vertical="top"/>
    </xf>
    <xf numFmtId="0" fontId="23" fillId="0" borderId="13" xfId="0" quotePrefix="1" applyFont="1" applyBorder="1">
      <alignment vertical="top"/>
    </xf>
    <xf numFmtId="169" fontId="2" fillId="9" borderId="0" xfId="0" applyNumberFormat="1" applyFont="1" applyFill="1">
      <alignment vertical="top"/>
    </xf>
    <xf numFmtId="169" fontId="0" fillId="0" borderId="0" xfId="0" applyNumberFormat="1">
      <alignment vertical="top"/>
    </xf>
    <xf numFmtId="169" fontId="4" fillId="0" borderId="7" xfId="0" applyNumberFormat="1" applyFont="1" applyBorder="1">
      <alignment vertical="top"/>
    </xf>
    <xf numFmtId="3" fontId="12" fillId="0" borderId="0" xfId="0" applyNumberFormat="1" applyFont="1" applyAlignment="1" applyProtection="1">
      <alignment horizontal="right"/>
      <protection locked="0"/>
    </xf>
    <xf numFmtId="0" fontId="0" fillId="0" borderId="18" xfId="0" applyBorder="1" applyProtection="1">
      <alignment vertical="top"/>
      <protection locked="0"/>
    </xf>
    <xf numFmtId="0" fontId="2" fillId="0" borderId="15" xfId="0" applyFont="1" applyBorder="1">
      <alignment vertical="top"/>
    </xf>
    <xf numFmtId="4" fontId="0" fillId="0" borderId="1" xfId="0" applyNumberFormat="1" applyBorder="1">
      <alignment vertical="top"/>
    </xf>
    <xf numFmtId="0" fontId="9" fillId="0" borderId="0" xfId="1" applyAlignment="1" applyProtection="1">
      <alignment vertical="top"/>
    </xf>
    <xf numFmtId="0" fontId="6" fillId="0" borderId="29" xfId="0" applyFont="1" applyBorder="1">
      <alignment vertical="top"/>
    </xf>
    <xf numFmtId="3" fontId="6" fillId="0" borderId="29" xfId="0" applyNumberFormat="1" applyFont="1" applyBorder="1">
      <alignment vertical="top"/>
    </xf>
    <xf numFmtId="0" fontId="5" fillId="11" borderId="29" xfId="0" applyFont="1" applyFill="1" applyBorder="1">
      <alignment vertical="top"/>
    </xf>
    <xf numFmtId="164" fontId="6" fillId="0" borderId="26" xfId="0" applyNumberFormat="1" applyFont="1" applyBorder="1" applyAlignment="1" applyProtection="1">
      <alignment horizontal="left"/>
      <protection locked="0"/>
    </xf>
    <xf numFmtId="4" fontId="5" fillId="0" borderId="0" xfId="0" applyNumberFormat="1" applyFont="1" applyAlignment="1">
      <alignment vertical="top" wrapText="1"/>
    </xf>
    <xf numFmtId="0" fontId="39" fillId="0" borderId="0" xfId="0" applyFont="1" applyAlignment="1"/>
    <xf numFmtId="0" fontId="40" fillId="0" borderId="0" xfId="0" applyFont="1" applyAlignment="1"/>
    <xf numFmtId="0" fontId="0" fillId="0" borderId="0" xfId="0" applyAlignment="1">
      <alignment horizontal="left"/>
    </xf>
    <xf numFmtId="3" fontId="0" fillId="0" borderId="0" xfId="0" applyNumberFormat="1" applyAlignment="1">
      <alignment horizontal="right"/>
    </xf>
    <xf numFmtId="3" fontId="2" fillId="0" borderId="0" xfId="0" quotePrefix="1" applyNumberFormat="1" applyFont="1" applyAlignment="1">
      <alignment horizontal="left" vertical="top"/>
    </xf>
    <xf numFmtId="3" fontId="4" fillId="0" borderId="1" xfId="0" applyNumberFormat="1" applyFont="1" applyBorder="1">
      <alignment vertical="top"/>
    </xf>
    <xf numFmtId="3" fontId="2" fillId="0" borderId="0" xfId="0" applyNumberFormat="1" applyFont="1" applyAlignment="1" applyProtection="1">
      <alignment horizontal="right"/>
      <protection locked="0"/>
    </xf>
    <xf numFmtId="0" fontId="5" fillId="0" borderId="29" xfId="0" applyFont="1" applyBorder="1">
      <alignment vertical="top"/>
    </xf>
    <xf numFmtId="3" fontId="5" fillId="9" borderId="0" xfId="0" applyNumberFormat="1" applyFont="1" applyFill="1">
      <alignment vertical="top"/>
    </xf>
    <xf numFmtId="0" fontId="2" fillId="0" borderId="0" xfId="0" applyFont="1" applyAlignment="1">
      <alignment horizontal="left"/>
    </xf>
    <xf numFmtId="0" fontId="6" fillId="0" borderId="0" xfId="0" quotePrefix="1" applyFont="1">
      <alignment vertical="top"/>
    </xf>
    <xf numFmtId="3" fontId="1" fillId="0" borderId="0" xfId="0" quotePrefix="1" applyNumberFormat="1" applyFont="1">
      <alignment vertical="top"/>
    </xf>
    <xf numFmtId="0" fontId="1" fillId="0" borderId="0" xfId="0" applyFont="1" applyAlignment="1">
      <alignment horizontal="right" vertical="top"/>
    </xf>
    <xf numFmtId="0" fontId="2" fillId="0" borderId="14" xfId="0" applyFont="1" applyBorder="1" applyAlignment="1">
      <alignment horizontal="right"/>
    </xf>
    <xf numFmtId="0" fontId="2" fillId="0" borderId="14" xfId="0" applyFont="1" applyBorder="1">
      <alignment vertical="top"/>
    </xf>
    <xf numFmtId="0" fontId="2" fillId="0" borderId="14" xfId="0" applyFont="1" applyBorder="1" applyAlignment="1">
      <alignment horizontal="right" vertical="top"/>
    </xf>
    <xf numFmtId="3" fontId="2" fillId="0" borderId="14" xfId="0" applyNumberFormat="1" applyFont="1" applyBorder="1">
      <alignment vertical="top"/>
    </xf>
    <xf numFmtId="2" fontId="2" fillId="0" borderId="0" xfId="0" applyNumberFormat="1" applyFont="1" applyAlignment="1">
      <alignment horizontal="center" vertical="top"/>
    </xf>
    <xf numFmtId="0" fontId="1" fillId="0" borderId="0" xfId="0" applyFont="1">
      <alignment vertical="top"/>
    </xf>
    <xf numFmtId="2" fontId="1" fillId="0" borderId="0" xfId="0" applyNumberFormat="1" applyFont="1">
      <alignment vertical="top"/>
    </xf>
    <xf numFmtId="3" fontId="1" fillId="0" borderId="0" xfId="0" applyNumberFormat="1" applyFont="1">
      <alignment vertical="top"/>
    </xf>
    <xf numFmtId="3" fontId="0" fillId="0" borderId="0" xfId="0" applyNumberFormat="1" applyAlignment="1"/>
    <xf numFmtId="3" fontId="6" fillId="0" borderId="0" xfId="0" applyNumberFormat="1" applyFont="1" applyAlignment="1" applyProtection="1">
      <alignment horizontal="left"/>
      <protection locked="0"/>
    </xf>
    <xf numFmtId="3" fontId="1" fillId="12" borderId="15" xfId="0" applyNumberFormat="1" applyFont="1" applyFill="1" applyBorder="1">
      <alignment vertical="top"/>
    </xf>
    <xf numFmtId="3" fontId="2" fillId="12" borderId="24" xfId="0" applyNumberFormat="1" applyFont="1" applyFill="1" applyBorder="1">
      <alignment vertical="top"/>
    </xf>
    <xf numFmtId="0" fontId="1" fillId="0" borderId="0" xfId="0" applyFont="1" applyAlignment="1">
      <alignment vertical="top" wrapText="1"/>
    </xf>
    <xf numFmtId="0" fontId="0" fillId="0" borderId="0" xfId="0" applyAlignment="1">
      <alignment horizontal="left" vertical="top" wrapText="1"/>
    </xf>
    <xf numFmtId="3" fontId="2" fillId="0" borderId="6" xfId="0" applyNumberFormat="1" applyFont="1" applyBorder="1">
      <alignment vertical="top"/>
    </xf>
    <xf numFmtId="3" fontId="2" fillId="0" borderId="30" xfId="0" applyNumberFormat="1" applyFont="1" applyBorder="1">
      <alignment vertical="top"/>
    </xf>
    <xf numFmtId="0" fontId="2" fillId="0" borderId="31" xfId="0" applyFont="1" applyBorder="1">
      <alignment vertical="top"/>
    </xf>
    <xf numFmtId="0" fontId="2" fillId="0" borderId="30" xfId="0" applyFont="1" applyBorder="1">
      <alignment vertical="top"/>
    </xf>
    <xf numFmtId="3" fontId="12" fillId="9" borderId="15" xfId="0" applyNumberFormat="1" applyFont="1" applyFill="1" applyBorder="1" applyAlignment="1" applyProtection="1">
      <alignment horizontal="right"/>
      <protection locked="0"/>
    </xf>
    <xf numFmtId="3" fontId="5" fillId="0" borderId="0" xfId="0" quotePrefix="1" applyNumberFormat="1" applyFont="1" applyAlignment="1">
      <alignment horizontal="right" vertical="top"/>
    </xf>
    <xf numFmtId="4" fontId="12" fillId="9" borderId="15" xfId="0" applyNumberFormat="1" applyFont="1" applyFill="1" applyBorder="1" applyAlignment="1" applyProtection="1">
      <alignment horizontal="right"/>
      <protection locked="0"/>
    </xf>
    <xf numFmtId="3" fontId="46" fillId="0" borderId="0" xfId="0" applyNumberFormat="1" applyFont="1" applyAlignment="1"/>
    <xf numFmtId="0" fontId="46" fillId="0" borderId="0" xfId="0" applyFont="1" applyAlignment="1"/>
    <xf numFmtId="3" fontId="5" fillId="9" borderId="15" xfId="0" quotePrefix="1" applyNumberFormat="1" applyFont="1" applyFill="1" applyBorder="1" applyAlignment="1">
      <alignment horizontal="right" vertical="top"/>
    </xf>
    <xf numFmtId="3" fontId="21" fillId="9" borderId="15" xfId="0" applyNumberFormat="1" applyFont="1" applyFill="1" applyBorder="1" applyAlignment="1" applyProtection="1">
      <alignment horizontal="right"/>
      <protection locked="0"/>
    </xf>
    <xf numFmtId="3" fontId="6" fillId="9" borderId="15" xfId="0" applyNumberFormat="1" applyFont="1" applyFill="1" applyBorder="1">
      <alignment vertical="top"/>
    </xf>
    <xf numFmtId="3" fontId="21" fillId="9" borderId="18" xfId="0" applyNumberFormat="1" applyFont="1" applyFill="1" applyBorder="1" applyAlignment="1" applyProtection="1">
      <alignment horizontal="right"/>
      <protection locked="0"/>
    </xf>
    <xf numFmtId="0" fontId="33" fillId="0" borderId="0" xfId="0" applyFont="1" applyAlignment="1">
      <alignment vertical="center"/>
    </xf>
    <xf numFmtId="0" fontId="2" fillId="0" borderId="0" xfId="0" applyFont="1" applyAlignment="1">
      <alignment horizontal="left" vertical="center"/>
    </xf>
    <xf numFmtId="3" fontId="7" fillId="0" borderId="0" xfId="0" applyNumberFormat="1" applyFont="1">
      <alignment vertical="top"/>
    </xf>
    <xf numFmtId="164" fontId="6" fillId="2" borderId="0" xfId="0" applyNumberFormat="1" applyFont="1" applyFill="1" applyAlignment="1" applyProtection="1">
      <alignment horizontal="center"/>
      <protection locked="0"/>
    </xf>
    <xf numFmtId="0" fontId="8" fillId="0" borderId="0" xfId="0" quotePrefix="1" applyFont="1" applyAlignment="1">
      <alignment horizontal="center" vertical="top"/>
    </xf>
    <xf numFmtId="0" fontId="8" fillId="0" borderId="0" xfId="0" applyFont="1" applyAlignment="1">
      <alignment horizontal="center" vertical="top"/>
    </xf>
  </cellXfs>
  <cellStyles count="308">
    <cellStyle name="Followed Hyperlink" xfId="4" builtinId="9" hidden="1"/>
    <cellStyle name="Followed Hyperlink" xfId="5" builtinId="9" hidden="1"/>
    <cellStyle name="Followed Hyperlink" xfId="6" builtinId="9" hidden="1"/>
    <cellStyle name="Followed Hyperlink" xfId="7"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Followed Hyperlink" xfId="15" builtinId="9" hidden="1"/>
    <cellStyle name="Followed Hyperlink" xfId="16" builtinId="9" hidden="1"/>
    <cellStyle name="Followed Hyperlink" xfId="17" builtinId="9" hidden="1"/>
    <cellStyle name="Followed Hyperlink" xfId="18" builtinId="9" hidden="1"/>
    <cellStyle name="Followed Hyperlink" xfId="19" builtinId="9" hidden="1"/>
    <cellStyle name="Followed Hyperlink" xfId="20" builtinId="9" hidden="1"/>
    <cellStyle name="Followed Hyperlink" xfId="21" builtinId="9" hidden="1"/>
    <cellStyle name="Followed Hyperlink" xfId="22" builtinId="9" hidden="1"/>
    <cellStyle name="Followed Hyperlink" xfId="23" builtinId="9" hidden="1"/>
    <cellStyle name="Followed Hyperlink" xfId="24" builtinId="9" hidden="1"/>
    <cellStyle name="Followed Hyperlink" xfId="25" builtinId="9" hidden="1"/>
    <cellStyle name="Followed Hyperlink" xfId="26" builtinId="9" hidden="1"/>
    <cellStyle name="Followed Hyperlink" xfId="27" builtinId="9" hidden="1"/>
    <cellStyle name="Followed Hyperlink" xfId="28" builtinId="9" hidden="1"/>
    <cellStyle name="Followed Hyperlink" xfId="29" builtinId="9" hidden="1"/>
    <cellStyle name="Followed Hyperlink" xfId="30" builtinId="9" hidden="1"/>
    <cellStyle name="Followed Hyperlink" xfId="31" builtinId="9" hidden="1"/>
    <cellStyle name="Followed Hyperlink" xfId="32" builtinId="9" hidden="1"/>
    <cellStyle name="Followed Hyperlink" xfId="33" builtinId="9" hidden="1"/>
    <cellStyle name="Followed Hyperlink" xfId="34" builtinId="9" hidden="1"/>
    <cellStyle name="Followed Hyperlink" xfId="35" builtinId="9" hidden="1"/>
    <cellStyle name="Followed Hyperlink" xfId="36" builtinId="9" hidden="1"/>
    <cellStyle name="Followed Hyperlink" xfId="37" builtinId="9" hidden="1"/>
    <cellStyle name="Followed Hyperlink" xfId="38" builtinId="9" hidden="1"/>
    <cellStyle name="Followed Hyperlink" xfId="39" builtinId="9" hidden="1"/>
    <cellStyle name="Followed Hyperlink" xfId="40" builtinId="9" hidden="1"/>
    <cellStyle name="Followed Hyperlink" xfId="41" builtinId="9" hidden="1"/>
    <cellStyle name="Followed Hyperlink" xfId="42" builtinId="9" hidden="1"/>
    <cellStyle name="Followed Hyperlink" xfId="43" builtinId="9" hidden="1"/>
    <cellStyle name="Followed Hyperlink" xfId="44" builtinId="9" hidden="1"/>
    <cellStyle name="Followed Hyperlink" xfId="45" builtinId="9" hidden="1"/>
    <cellStyle name="Followed Hyperlink" xfId="46" builtinId="9" hidden="1"/>
    <cellStyle name="Followed Hyperlink" xfId="47" builtinId="9" hidden="1"/>
    <cellStyle name="Followed Hyperlink" xfId="48" builtinId="9" hidden="1"/>
    <cellStyle name="Followed Hyperlink" xfId="49" builtinId="9" hidden="1"/>
    <cellStyle name="Followed Hyperlink" xfId="50" builtinId="9" hidden="1"/>
    <cellStyle name="Followed Hyperlink" xfId="51" builtinId="9" hidden="1"/>
    <cellStyle name="Followed Hyperlink" xfId="52" builtinId="9" hidden="1"/>
    <cellStyle name="Followed Hyperlink" xfId="53" builtinId="9" hidden="1"/>
    <cellStyle name="Followed Hyperlink" xfId="54" builtinId="9" hidden="1"/>
    <cellStyle name="Followed Hyperlink" xfId="55" builtinId="9" hidden="1"/>
    <cellStyle name="Followed Hyperlink" xfId="56" builtinId="9" hidden="1"/>
    <cellStyle name="Followed Hyperlink" xfId="57" builtinId="9" hidden="1"/>
    <cellStyle name="Followed Hyperlink" xfId="58" builtinId="9" hidden="1"/>
    <cellStyle name="Followed Hyperlink" xfId="59" builtinId="9" hidden="1"/>
    <cellStyle name="Followed Hyperlink" xfId="60" builtinId="9" hidden="1"/>
    <cellStyle name="Followed Hyperlink" xfId="61" builtinId="9" hidden="1"/>
    <cellStyle name="Followed Hyperlink" xfId="62" builtinId="9" hidden="1"/>
    <cellStyle name="Followed Hyperlink" xfId="63" builtinId="9" hidden="1"/>
    <cellStyle name="Followed Hyperlink" xfId="64" builtinId="9" hidden="1"/>
    <cellStyle name="Followed Hyperlink" xfId="65" builtinId="9" hidden="1"/>
    <cellStyle name="Followed Hyperlink" xfId="66" builtinId="9" hidden="1"/>
    <cellStyle name="Followed Hyperlink" xfId="67" builtinId="9" hidden="1"/>
    <cellStyle name="Followed Hyperlink" xfId="68" builtinId="9" hidden="1"/>
    <cellStyle name="Followed Hyperlink" xfId="69" builtinId="9" hidden="1"/>
    <cellStyle name="Followed Hyperlink" xfId="70" builtinId="9" hidden="1"/>
    <cellStyle name="Followed Hyperlink" xfId="71" builtinId="9" hidden="1"/>
    <cellStyle name="Followed Hyperlink" xfId="72" builtinId="9" hidden="1"/>
    <cellStyle name="Followed Hyperlink" xfId="73" builtinId="9" hidden="1"/>
    <cellStyle name="Followed Hyperlink" xfId="74" builtinId="9" hidden="1"/>
    <cellStyle name="Followed Hyperlink" xfId="75" builtinId="9" hidden="1"/>
    <cellStyle name="Followed Hyperlink" xfId="76" builtinId="9" hidden="1"/>
    <cellStyle name="Followed Hyperlink" xfId="77" builtinId="9" hidden="1"/>
    <cellStyle name="Followed Hyperlink" xfId="78" builtinId="9" hidden="1"/>
    <cellStyle name="Followed Hyperlink" xfId="79" builtinId="9" hidden="1"/>
    <cellStyle name="Followed Hyperlink" xfId="80" builtinId="9" hidden="1"/>
    <cellStyle name="Followed Hyperlink" xfId="81" builtinId="9" hidden="1"/>
    <cellStyle name="Followed Hyperlink" xfId="82" builtinId="9" hidden="1"/>
    <cellStyle name="Followed Hyperlink" xfId="83" builtinId="9" hidden="1"/>
    <cellStyle name="Followed Hyperlink" xfId="84" builtinId="9" hidden="1"/>
    <cellStyle name="Followed Hyperlink" xfId="85" builtinId="9" hidden="1"/>
    <cellStyle name="Followed Hyperlink" xfId="86" builtinId="9" hidden="1"/>
    <cellStyle name="Followed Hyperlink" xfId="87" builtinId="9" hidden="1"/>
    <cellStyle name="Followed Hyperlink" xfId="88" builtinId="9" hidden="1"/>
    <cellStyle name="Followed Hyperlink" xfId="89" builtinId="9" hidden="1"/>
    <cellStyle name="Followed Hyperlink" xfId="90" builtinId="9" hidden="1"/>
    <cellStyle name="Followed Hyperlink" xfId="91" builtinId="9" hidden="1"/>
    <cellStyle name="Followed Hyperlink" xfId="92" builtinId="9" hidden="1"/>
    <cellStyle name="Followed Hyperlink" xfId="93" builtinId="9" hidden="1"/>
    <cellStyle name="Followed Hyperlink" xfId="94" builtinId="9" hidden="1"/>
    <cellStyle name="Followed Hyperlink" xfId="95" builtinId="9" hidden="1"/>
    <cellStyle name="Followed Hyperlink" xfId="96" builtinId="9" hidden="1"/>
    <cellStyle name="Followed Hyperlink" xfId="97" builtinId="9" hidden="1"/>
    <cellStyle name="Followed Hyperlink" xfId="98" builtinId="9" hidden="1"/>
    <cellStyle name="Followed Hyperlink" xfId="99" builtinId="9" hidden="1"/>
    <cellStyle name="Followed Hyperlink" xfId="100" builtinId="9" hidden="1"/>
    <cellStyle name="Followed Hyperlink" xfId="101" builtinId="9" hidden="1"/>
    <cellStyle name="Followed Hyperlink" xfId="102" builtinId="9" hidden="1"/>
    <cellStyle name="Followed Hyperlink" xfId="103" builtinId="9" hidden="1"/>
    <cellStyle name="Followed Hyperlink" xfId="104" builtinId="9" hidden="1"/>
    <cellStyle name="Followed Hyperlink" xfId="105" builtinId="9" hidden="1"/>
    <cellStyle name="Followed Hyperlink" xfId="106" builtinId="9" hidden="1"/>
    <cellStyle name="Followed Hyperlink" xfId="107" builtinId="9" hidden="1"/>
    <cellStyle name="Followed Hyperlink" xfId="108" builtinId="9" hidden="1"/>
    <cellStyle name="Followed Hyperlink" xfId="109" builtinId="9" hidden="1"/>
    <cellStyle name="Followed Hyperlink" xfId="110" builtinId="9" hidden="1"/>
    <cellStyle name="Followed Hyperlink" xfId="111" builtinId="9" hidden="1"/>
    <cellStyle name="Followed Hyperlink" xfId="112" builtinId="9" hidden="1"/>
    <cellStyle name="Followed Hyperlink" xfId="113" builtinId="9" hidden="1"/>
    <cellStyle name="Followed Hyperlink" xfId="114" builtinId="9" hidden="1"/>
    <cellStyle name="Followed Hyperlink" xfId="115" builtinId="9" hidden="1"/>
    <cellStyle name="Followed Hyperlink" xfId="116" builtinId="9" hidden="1"/>
    <cellStyle name="Followed Hyperlink" xfId="117" builtinId="9" hidden="1"/>
    <cellStyle name="Followed Hyperlink" xfId="118" builtinId="9" hidden="1"/>
    <cellStyle name="Followed Hyperlink" xfId="119" builtinId="9" hidden="1"/>
    <cellStyle name="Followed Hyperlink" xfId="120" builtinId="9" hidden="1"/>
    <cellStyle name="Followed Hyperlink" xfId="121" builtinId="9" hidden="1"/>
    <cellStyle name="Followed Hyperlink" xfId="122" builtinId="9" hidden="1"/>
    <cellStyle name="Followed Hyperlink" xfId="123" builtinId="9" hidden="1"/>
    <cellStyle name="Followed Hyperlink" xfId="124" builtinId="9" hidden="1"/>
    <cellStyle name="Followed Hyperlink" xfId="125" builtinId="9" hidden="1"/>
    <cellStyle name="Followed Hyperlink" xfId="126" builtinId="9" hidden="1"/>
    <cellStyle name="Followed Hyperlink" xfId="127" builtinId="9" hidden="1"/>
    <cellStyle name="Followed Hyperlink" xfId="128" builtinId="9" hidden="1"/>
    <cellStyle name="Followed Hyperlink" xfId="129" builtinId="9" hidden="1"/>
    <cellStyle name="Followed Hyperlink" xfId="130" builtinId="9" hidden="1"/>
    <cellStyle name="Followed Hyperlink" xfId="131" builtinId="9" hidden="1"/>
    <cellStyle name="Followed Hyperlink" xfId="132" builtinId="9" hidden="1"/>
    <cellStyle name="Followed Hyperlink" xfId="133" builtinId="9" hidden="1"/>
    <cellStyle name="Followed Hyperlink" xfId="134" builtinId="9" hidden="1"/>
    <cellStyle name="Followed Hyperlink" xfId="135" builtinId="9" hidden="1"/>
    <cellStyle name="Followed Hyperlink" xfId="136" builtinId="9" hidden="1"/>
    <cellStyle name="Followed Hyperlink" xfId="137" builtinId="9" hidden="1"/>
    <cellStyle name="Followed Hyperlink" xfId="138" builtinId="9" hidden="1"/>
    <cellStyle name="Followed Hyperlink" xfId="139" builtinId="9" hidden="1"/>
    <cellStyle name="Followed Hyperlink" xfId="140" builtinId="9" hidden="1"/>
    <cellStyle name="Followed Hyperlink" xfId="141" builtinId="9" hidden="1"/>
    <cellStyle name="Followed Hyperlink" xfId="142" builtinId="9" hidden="1"/>
    <cellStyle name="Followed Hyperlink" xfId="143" builtinId="9" hidden="1"/>
    <cellStyle name="Followed Hyperlink" xfId="144" builtinId="9" hidden="1"/>
    <cellStyle name="Followed Hyperlink" xfId="145" builtinId="9" hidden="1"/>
    <cellStyle name="Followed Hyperlink" xfId="146" builtinId="9" hidden="1"/>
    <cellStyle name="Followed Hyperlink" xfId="147" builtinId="9" hidden="1"/>
    <cellStyle name="Followed Hyperlink" xfId="148" builtinId="9" hidden="1"/>
    <cellStyle name="Followed Hyperlink" xfId="149" builtinId="9" hidden="1"/>
    <cellStyle name="Followed Hyperlink" xfId="150" builtinId="9" hidden="1"/>
    <cellStyle name="Followed Hyperlink" xfId="151" builtinId="9" hidden="1"/>
    <cellStyle name="Followed Hyperlink" xfId="152" builtinId="9" hidden="1"/>
    <cellStyle name="Followed Hyperlink" xfId="153" builtinId="9" hidden="1"/>
    <cellStyle name="Followed Hyperlink" xfId="154" builtinId="9" hidden="1"/>
    <cellStyle name="Followed Hyperlink" xfId="155" builtinId="9" hidden="1"/>
    <cellStyle name="Followed Hyperlink" xfId="156" builtinId="9" hidden="1"/>
    <cellStyle name="Followed Hyperlink" xfId="157" builtinId="9" hidden="1"/>
    <cellStyle name="Followed Hyperlink" xfId="158" builtinId="9" hidden="1"/>
    <cellStyle name="Followed Hyperlink" xfId="159" builtinId="9" hidden="1"/>
    <cellStyle name="Followed Hyperlink" xfId="160" builtinId="9" hidden="1"/>
    <cellStyle name="Followed Hyperlink" xfId="161" builtinId="9" hidden="1"/>
    <cellStyle name="Followed Hyperlink" xfId="162" builtinId="9" hidden="1"/>
    <cellStyle name="Followed Hyperlink" xfId="163" builtinId="9" hidden="1"/>
    <cellStyle name="Followed Hyperlink" xfId="164" builtinId="9" hidden="1"/>
    <cellStyle name="Followed Hyperlink" xfId="165" builtinId="9" hidden="1"/>
    <cellStyle name="Followed Hyperlink" xfId="166" builtinId="9" hidden="1"/>
    <cellStyle name="Followed Hyperlink" xfId="167" builtinId="9" hidden="1"/>
    <cellStyle name="Followed Hyperlink" xfId="168" builtinId="9" hidden="1"/>
    <cellStyle name="Followed Hyperlink" xfId="169" builtinId="9" hidden="1"/>
    <cellStyle name="Followed Hyperlink" xfId="170" builtinId="9" hidden="1"/>
    <cellStyle name="Followed Hyperlink" xfId="171" builtinId="9" hidden="1"/>
    <cellStyle name="Followed Hyperlink" xfId="172" builtinId="9" hidden="1"/>
    <cellStyle name="Followed Hyperlink" xfId="173" builtinId="9" hidden="1"/>
    <cellStyle name="Followed Hyperlink" xfId="174" builtinId="9" hidden="1"/>
    <cellStyle name="Followed Hyperlink" xfId="175" builtinId="9" hidden="1"/>
    <cellStyle name="Followed Hyperlink" xfId="176" builtinId="9" hidden="1"/>
    <cellStyle name="Followed Hyperlink" xfId="177" builtinId="9" hidden="1"/>
    <cellStyle name="Followed Hyperlink" xfId="178" builtinId="9" hidden="1"/>
    <cellStyle name="Followed Hyperlink" xfId="179" builtinId="9" hidden="1"/>
    <cellStyle name="Followed Hyperlink" xfId="180" builtinId="9" hidden="1"/>
    <cellStyle name="Followed Hyperlink" xfId="181" builtinId="9" hidden="1"/>
    <cellStyle name="Followed Hyperlink" xfId="182" builtinId="9" hidden="1"/>
    <cellStyle name="Followed Hyperlink" xfId="183" builtinId="9" hidden="1"/>
    <cellStyle name="Followed Hyperlink" xfId="184" builtinId="9" hidden="1"/>
    <cellStyle name="Followed Hyperlink" xfId="185" builtinId="9" hidden="1"/>
    <cellStyle name="Followed Hyperlink" xfId="186" builtinId="9" hidden="1"/>
    <cellStyle name="Followed Hyperlink" xfId="187" builtinId="9" hidden="1"/>
    <cellStyle name="Followed Hyperlink" xfId="188" builtinId="9" hidden="1"/>
    <cellStyle name="Followed Hyperlink" xfId="189" builtinId="9" hidden="1"/>
    <cellStyle name="Followed Hyperlink" xfId="190" builtinId="9" hidden="1"/>
    <cellStyle name="Followed Hyperlink" xfId="191" builtinId="9" hidden="1"/>
    <cellStyle name="Followed Hyperlink" xfId="192" builtinId="9" hidden="1"/>
    <cellStyle name="Followed Hyperlink" xfId="193" builtinId="9" hidden="1"/>
    <cellStyle name="Followed Hyperlink" xfId="194" builtinId="9" hidden="1"/>
    <cellStyle name="Followed Hyperlink" xfId="195" builtinId="9" hidden="1"/>
    <cellStyle name="Followed Hyperlink" xfId="196" builtinId="9" hidden="1"/>
    <cellStyle name="Followed Hyperlink" xfId="197" builtinId="9" hidden="1"/>
    <cellStyle name="Followed Hyperlink" xfId="198" builtinId="9" hidden="1"/>
    <cellStyle name="Followed Hyperlink" xfId="199" builtinId="9" hidden="1"/>
    <cellStyle name="Followed Hyperlink" xfId="200" builtinId="9" hidden="1"/>
    <cellStyle name="Followed Hyperlink" xfId="201" builtinId="9" hidden="1"/>
    <cellStyle name="Followed Hyperlink" xfId="202" builtinId="9" hidden="1"/>
    <cellStyle name="Followed Hyperlink" xfId="203" builtinId="9" hidden="1"/>
    <cellStyle name="Followed Hyperlink" xfId="204" builtinId="9" hidden="1"/>
    <cellStyle name="Followed Hyperlink" xfId="205" builtinId="9" hidden="1"/>
    <cellStyle name="Followed Hyperlink" xfId="206" builtinId="9" hidden="1"/>
    <cellStyle name="Followed Hyperlink" xfId="207" builtinId="9" hidden="1"/>
    <cellStyle name="Followed Hyperlink" xfId="208" builtinId="9" hidden="1"/>
    <cellStyle name="Followed Hyperlink" xfId="209" builtinId="9" hidden="1"/>
    <cellStyle name="Followed Hyperlink" xfId="210" builtinId="9" hidden="1"/>
    <cellStyle name="Followed Hyperlink" xfId="211" builtinId="9" hidden="1"/>
    <cellStyle name="Followed Hyperlink" xfId="212" builtinId="9" hidden="1"/>
    <cellStyle name="Followed Hyperlink" xfId="213" builtinId="9" hidden="1"/>
    <cellStyle name="Followed Hyperlink" xfId="214" builtinId="9" hidden="1"/>
    <cellStyle name="Followed Hyperlink" xfId="215" builtinId="9" hidden="1"/>
    <cellStyle name="Followed Hyperlink" xfId="216" builtinId="9" hidden="1"/>
    <cellStyle name="Followed Hyperlink" xfId="217" builtinId="9" hidden="1"/>
    <cellStyle name="Followed Hyperlink" xfId="218" builtinId="9" hidden="1"/>
    <cellStyle name="Followed Hyperlink" xfId="219" builtinId="9" hidden="1"/>
    <cellStyle name="Followed Hyperlink" xfId="220" builtinId="9" hidden="1"/>
    <cellStyle name="Followed Hyperlink" xfId="221" builtinId="9" hidden="1"/>
    <cellStyle name="Followed Hyperlink" xfId="222" builtinId="9" hidden="1"/>
    <cellStyle name="Followed Hyperlink" xfId="223" builtinId="9" hidden="1"/>
    <cellStyle name="Followed Hyperlink" xfId="224" builtinId="9" hidden="1"/>
    <cellStyle name="Followed Hyperlink" xfId="225" builtinId="9" hidden="1"/>
    <cellStyle name="Followed Hyperlink" xfId="226" builtinId="9" hidden="1"/>
    <cellStyle name="Followed Hyperlink" xfId="227" builtinId="9" hidden="1"/>
    <cellStyle name="Followed Hyperlink" xfId="228" builtinId="9" hidden="1"/>
    <cellStyle name="Followed Hyperlink" xfId="229" builtinId="9" hidden="1"/>
    <cellStyle name="Followed Hyperlink" xfId="230" builtinId="9" hidden="1"/>
    <cellStyle name="Followed Hyperlink" xfId="231" builtinId="9" hidden="1"/>
    <cellStyle name="Followed Hyperlink" xfId="232" builtinId="9" hidden="1"/>
    <cellStyle name="Followed Hyperlink" xfId="233" builtinId="9" hidden="1"/>
    <cellStyle name="Followed Hyperlink" xfId="234" builtinId="9" hidden="1"/>
    <cellStyle name="Followed Hyperlink" xfId="235" builtinId="9" hidden="1"/>
    <cellStyle name="Followed Hyperlink" xfId="236" builtinId="9" hidden="1"/>
    <cellStyle name="Followed Hyperlink" xfId="237" builtinId="9" hidden="1"/>
    <cellStyle name="Followed Hyperlink" xfId="238" builtinId="9" hidden="1"/>
    <cellStyle name="Followed Hyperlink" xfId="239" builtinId="9" hidden="1"/>
    <cellStyle name="Followed Hyperlink" xfId="240" builtinId="9" hidden="1"/>
    <cellStyle name="Followed Hyperlink" xfId="241" builtinId="9" hidden="1"/>
    <cellStyle name="Followed Hyperlink" xfId="242" builtinId="9" hidden="1"/>
    <cellStyle name="Followed Hyperlink" xfId="243" builtinId="9" hidden="1"/>
    <cellStyle name="Followed Hyperlink" xfId="244" builtinId="9" hidden="1"/>
    <cellStyle name="Followed Hyperlink" xfId="245" builtinId="9" hidden="1"/>
    <cellStyle name="Followed Hyperlink" xfId="246" builtinId="9" hidden="1"/>
    <cellStyle name="Followed Hyperlink" xfId="247" builtinId="9" hidden="1"/>
    <cellStyle name="Followed Hyperlink" xfId="248" builtinId="9" hidden="1"/>
    <cellStyle name="Followed Hyperlink" xfId="249" builtinId="9" hidden="1"/>
    <cellStyle name="Followed Hyperlink" xfId="250" builtinId="9" hidden="1"/>
    <cellStyle name="Followed Hyperlink" xfId="251" builtinId="9" hidden="1"/>
    <cellStyle name="Followed Hyperlink" xfId="252" builtinId="9" hidden="1"/>
    <cellStyle name="Followed Hyperlink" xfId="253" builtinId="9" hidden="1"/>
    <cellStyle name="Followed Hyperlink" xfId="254" builtinId="9" hidden="1"/>
    <cellStyle name="Followed Hyperlink" xfId="255" builtinId="9" hidden="1"/>
    <cellStyle name="Followed Hyperlink" xfId="256" builtinId="9" hidden="1"/>
    <cellStyle name="Followed Hyperlink" xfId="257" builtinId="9" hidden="1"/>
    <cellStyle name="Followed Hyperlink" xfId="258" builtinId="9" hidden="1"/>
    <cellStyle name="Followed Hyperlink" xfId="259" builtinId="9" hidden="1"/>
    <cellStyle name="Followed Hyperlink" xfId="260" builtinId="9" hidden="1"/>
    <cellStyle name="Followed Hyperlink" xfId="261" builtinId="9" hidden="1"/>
    <cellStyle name="Followed Hyperlink" xfId="262" builtinId="9" hidden="1"/>
    <cellStyle name="Followed Hyperlink" xfId="263" builtinId="9" hidden="1"/>
    <cellStyle name="Followed Hyperlink" xfId="264" builtinId="9" hidden="1"/>
    <cellStyle name="Followed Hyperlink" xfId="265" builtinId="9" hidden="1"/>
    <cellStyle name="Followed Hyperlink" xfId="266" builtinId="9" hidden="1"/>
    <cellStyle name="Followed Hyperlink" xfId="267" builtinId="9" hidden="1"/>
    <cellStyle name="Followed Hyperlink" xfId="268" builtinId="9" hidden="1"/>
    <cellStyle name="Followed Hyperlink" xfId="269" builtinId="9" hidden="1"/>
    <cellStyle name="Followed Hyperlink" xfId="270" builtinId="9" hidden="1"/>
    <cellStyle name="Followed Hyperlink" xfId="271" builtinId="9" hidden="1"/>
    <cellStyle name="Followed Hyperlink" xfId="272" builtinId="9" hidden="1"/>
    <cellStyle name="Followed Hyperlink" xfId="273" builtinId="9" hidden="1"/>
    <cellStyle name="Followed Hyperlink" xfId="274" builtinId="9" hidden="1"/>
    <cellStyle name="Followed Hyperlink" xfId="275" builtinId="9" hidden="1"/>
    <cellStyle name="Followed Hyperlink" xfId="276" builtinId="9" hidden="1"/>
    <cellStyle name="Followed Hyperlink" xfId="277" builtinId="9" hidden="1"/>
    <cellStyle name="Followed Hyperlink" xfId="278" builtinId="9" hidden="1"/>
    <cellStyle name="Followed Hyperlink" xfId="279" builtinId="9" hidden="1"/>
    <cellStyle name="Followed Hyperlink" xfId="280" builtinId="9" hidden="1"/>
    <cellStyle name="Followed Hyperlink" xfId="281" builtinId="9" hidden="1"/>
    <cellStyle name="Followed Hyperlink" xfId="282" builtinId="9" hidden="1"/>
    <cellStyle name="Followed Hyperlink" xfId="283" builtinId="9" hidden="1"/>
    <cellStyle name="Followed Hyperlink" xfId="284" builtinId="9" hidden="1"/>
    <cellStyle name="Followed Hyperlink" xfId="285" builtinId="9" hidden="1"/>
    <cellStyle name="Followed Hyperlink" xfId="286" builtinId="9" hidden="1"/>
    <cellStyle name="Followed Hyperlink" xfId="287" builtinId="9" hidden="1"/>
    <cellStyle name="Followed Hyperlink" xfId="288" builtinId="9" hidden="1"/>
    <cellStyle name="Followed Hyperlink" xfId="289" builtinId="9" hidden="1"/>
    <cellStyle name="Followed Hyperlink" xfId="290" builtinId="9" hidden="1"/>
    <cellStyle name="Followed Hyperlink" xfId="291" builtinId="9" hidden="1"/>
    <cellStyle name="Followed Hyperlink" xfId="292" builtinId="9" hidden="1"/>
    <cellStyle name="Followed Hyperlink" xfId="293" builtinId="9" hidden="1"/>
    <cellStyle name="Followed Hyperlink" xfId="294" builtinId="9" hidden="1"/>
    <cellStyle name="Followed Hyperlink" xfId="295" builtinId="9" hidden="1"/>
    <cellStyle name="Followed Hyperlink" xfId="296" builtinId="9" hidden="1"/>
    <cellStyle name="Followed Hyperlink" xfId="297" builtinId="9" hidden="1"/>
    <cellStyle name="Followed Hyperlink" xfId="298" builtinId="9" hidden="1"/>
    <cellStyle name="Followed Hyperlink" xfId="299" builtinId="9" hidden="1"/>
    <cellStyle name="Followed Hyperlink" xfId="300" builtinId="9" hidden="1"/>
    <cellStyle name="Followed Hyperlink" xfId="301" builtinId="9" hidden="1"/>
    <cellStyle name="Followed Hyperlink" xfId="302" builtinId="9" hidden="1"/>
    <cellStyle name="Followed Hyperlink" xfId="303" builtinId="9" hidden="1"/>
    <cellStyle name="Followed Hyperlink" xfId="304" builtinId="9" hidden="1"/>
    <cellStyle name="Followed Hyperlink" xfId="305" builtinId="9" hidden="1"/>
    <cellStyle name="Followed Hyperlink" xfId="306" builtinId="9" hidden="1"/>
    <cellStyle name="Followed Hyperlink" xfId="307" builtinId="9" hidden="1"/>
    <cellStyle name="Hyperlink" xfId="1" builtinId="8"/>
    <cellStyle name="Normal" xfId="0" builtinId="0"/>
    <cellStyle name="Normal 2" xfId="2" xr:uid="{00000000-0005-0000-0000-000032010000}"/>
    <cellStyle name="Normal_Ark1" xfId="3" xr:uid="{00000000-0005-0000-0000-000033010000}"/>
  </cellStyles>
  <dxfs count="0"/>
  <tableStyles count="0" defaultTableStyle="TableStyleMedium2" defaultPivotStyle="PivotStyleLight16"/>
  <colors>
    <indexedColors>
      <rgbColor rgb="00000000"/>
      <rgbColor rgb="00FFFFFF"/>
      <rgbColor rgb="00DD0806"/>
      <rgbColor rgb="001FB714"/>
      <rgbColor rgb="000000D4"/>
      <rgbColor rgb="00FCF305"/>
      <rgbColor rgb="00F20884"/>
      <rgbColor rgb="0000ABEA"/>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EEEEEE"/>
      <rgbColor rgb="00808080"/>
      <rgbColor rgb="009999FF"/>
      <rgbColor rgb="00993366"/>
      <rgbColor rgb="00FFFFCC"/>
      <rgbColor rgb="00CCFFFF"/>
      <rgbColor rgb="00660066"/>
      <rgbColor rgb="00FF8080"/>
      <rgbColor rgb="00EAEAEA"/>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trlProps/ctrlProp1.xml><?xml version="1.0" encoding="utf-8"?>
<formControlPr xmlns="http://schemas.microsoft.com/office/spreadsheetml/2009/9/main" objectType="Drop" dropLines="56" dropStyle="combo" dx="16" fmlaLink="Dialog!$M$3" fmlaRange="Kommunedata!$D$4:$D$102" sel="1" val="0"/>
</file>

<file path=xl/ctrlProps/ctrlProp2.xml><?xml version="1.0" encoding="utf-8"?>
<formControlPr xmlns="http://schemas.microsoft.com/office/spreadsheetml/2009/9/main" objectType="Drop" dropLines="56" dropStyle="combo" dx="16" fmlaLink="Dialog!$B$3" fmlaRange="Dialog!$B$5:$B$11" sel="1" val="0"/>
</file>

<file path=xl/ctrlProps/ctrlProp3.xml><?xml version="1.0" encoding="utf-8"?>
<formControlPr xmlns="http://schemas.microsoft.com/office/spreadsheetml/2009/9/main" objectType="Drop" dropLines="56" dropStyle="combo" dx="16" fmlaLink="Dialog!$D$3" fmlaRange="Dialog!$D$5:$D$11" sel="5" val="0"/>
</file>

<file path=xl/ctrlProps/ctrlProp4.xml><?xml version="1.0" encoding="utf-8"?>
<formControlPr xmlns="http://schemas.microsoft.com/office/spreadsheetml/2009/9/main" objectType="Drop" dropLines="56" dropStyle="combo" dx="16" fmlaLink="Dialog!$P$3" fmlaRange="Dialog!$P$4:$P$5" sel="1" val="0"/>
</file>

<file path=xl/ctrlProps/ctrlProp5.xml><?xml version="1.0" encoding="utf-8"?>
<formControlPr xmlns="http://schemas.microsoft.com/office/spreadsheetml/2009/9/main" objectType="Drop" dropLines="49" dropStyle="combo" dx="16" fmlaLink="Dialog!$G$3" fmlaRange="Dialog!$G$5:$G$17" sel="1" val="0"/>
</file>

<file path=xl/ctrlProps/ctrlProp6.xml><?xml version="1.0" encoding="utf-8"?>
<formControlPr xmlns="http://schemas.microsoft.com/office/spreadsheetml/2009/9/main" objectType="Drop" dropLines="49" dropStyle="combo" dx="16" fmlaLink="Dialog!$I$3" fmlaRange="Dialog!$I$5:$I$17" sel="1" val="0"/>
</file>

<file path=xl/ctrlProps/ctrlProp7.xml><?xml version="1.0" encoding="utf-8"?>
<formControlPr xmlns="http://schemas.microsoft.com/office/spreadsheetml/2009/9/main" objectType="Drop" dropLines="49" dropStyle="combo" dx="16" fmlaLink="Dialog!$K$3" fmlaRange="Dialog!$K$5:$K$17" sel="1" val="0"/>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12700</xdr:colOff>
          <xdr:row>30</xdr:row>
          <xdr:rowOff>152400</xdr:rowOff>
        </xdr:from>
        <xdr:to>
          <xdr:col>4</xdr:col>
          <xdr:colOff>546100</xdr:colOff>
          <xdr:row>31</xdr:row>
          <xdr:rowOff>152400</xdr:rowOff>
        </xdr:to>
        <xdr:sp macro="" textlink="">
          <xdr:nvSpPr>
            <xdr:cNvPr id="19457" name="Drop Down 1" hidden="1">
              <a:extLst>
                <a:ext uri="{63B3BB69-23CF-44E3-9099-C40C66FF867C}">
                  <a14:compatExt spid="_x0000_s19457"/>
                </a:ext>
                <a:ext uri="{FF2B5EF4-FFF2-40B4-BE49-F238E27FC236}">
                  <a16:creationId xmlns:a16="http://schemas.microsoft.com/office/drawing/2014/main" id="{00000000-0008-0000-0000-0000014C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32</xdr:row>
          <xdr:rowOff>215900</xdr:rowOff>
        </xdr:from>
        <xdr:to>
          <xdr:col>4</xdr:col>
          <xdr:colOff>838200</xdr:colOff>
          <xdr:row>33</xdr:row>
          <xdr:rowOff>165100</xdr:rowOff>
        </xdr:to>
        <xdr:sp macro="" textlink="">
          <xdr:nvSpPr>
            <xdr:cNvPr id="19458" name="Drop Down 2" hidden="1">
              <a:extLst>
                <a:ext uri="{63B3BB69-23CF-44E3-9099-C40C66FF867C}">
                  <a14:compatExt spid="_x0000_s19458"/>
                </a:ext>
                <a:ext uri="{FF2B5EF4-FFF2-40B4-BE49-F238E27FC236}">
                  <a16:creationId xmlns:a16="http://schemas.microsoft.com/office/drawing/2014/main" id="{00000000-0008-0000-0000-0000024C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304800</xdr:colOff>
          <xdr:row>35</xdr:row>
          <xdr:rowOff>0</xdr:rowOff>
        </xdr:from>
        <xdr:to>
          <xdr:col>4</xdr:col>
          <xdr:colOff>520700</xdr:colOff>
          <xdr:row>35</xdr:row>
          <xdr:rowOff>177800</xdr:rowOff>
        </xdr:to>
        <xdr:sp macro="" textlink="">
          <xdr:nvSpPr>
            <xdr:cNvPr id="19459" name="Drop Down 3" hidden="1">
              <a:extLst>
                <a:ext uri="{63B3BB69-23CF-44E3-9099-C40C66FF867C}">
                  <a14:compatExt spid="_x0000_s19459"/>
                </a:ext>
                <a:ext uri="{FF2B5EF4-FFF2-40B4-BE49-F238E27FC236}">
                  <a16:creationId xmlns:a16="http://schemas.microsoft.com/office/drawing/2014/main" id="{00000000-0008-0000-0000-0000034C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190500</xdr:colOff>
          <xdr:row>8</xdr:row>
          <xdr:rowOff>177800</xdr:rowOff>
        </xdr:from>
        <xdr:to>
          <xdr:col>3</xdr:col>
          <xdr:colOff>889000</xdr:colOff>
          <xdr:row>10</xdr:row>
          <xdr:rowOff>0</xdr:rowOff>
        </xdr:to>
        <xdr:sp macro="" textlink="">
          <xdr:nvSpPr>
            <xdr:cNvPr id="19460" name="Drop Down 4" hidden="1">
              <a:extLst>
                <a:ext uri="{63B3BB69-23CF-44E3-9099-C40C66FF867C}">
                  <a14:compatExt spid="_x0000_s19460"/>
                </a:ext>
                <a:ext uri="{FF2B5EF4-FFF2-40B4-BE49-F238E27FC236}">
                  <a16:creationId xmlns:a16="http://schemas.microsoft.com/office/drawing/2014/main" id="{00000000-0008-0000-0000-0000044C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39</xdr:row>
          <xdr:rowOff>0</xdr:rowOff>
        </xdr:from>
        <xdr:to>
          <xdr:col>5</xdr:col>
          <xdr:colOff>850900</xdr:colOff>
          <xdr:row>40</xdr:row>
          <xdr:rowOff>0</xdr:rowOff>
        </xdr:to>
        <xdr:sp macro="" textlink="">
          <xdr:nvSpPr>
            <xdr:cNvPr id="19461" name="Drop Down 5" hidden="1">
              <a:extLst>
                <a:ext uri="{63B3BB69-23CF-44E3-9099-C40C66FF867C}">
                  <a14:compatExt spid="_x0000_s19461"/>
                </a:ext>
                <a:ext uri="{FF2B5EF4-FFF2-40B4-BE49-F238E27FC236}">
                  <a16:creationId xmlns:a16="http://schemas.microsoft.com/office/drawing/2014/main" id="{00000000-0008-0000-0000-0000054C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39</xdr:row>
          <xdr:rowOff>177800</xdr:rowOff>
        </xdr:from>
        <xdr:to>
          <xdr:col>5</xdr:col>
          <xdr:colOff>850900</xdr:colOff>
          <xdr:row>41</xdr:row>
          <xdr:rowOff>0</xdr:rowOff>
        </xdr:to>
        <xdr:sp macro="" textlink="">
          <xdr:nvSpPr>
            <xdr:cNvPr id="19462" name="Drop Down 6" hidden="1">
              <a:extLst>
                <a:ext uri="{63B3BB69-23CF-44E3-9099-C40C66FF867C}">
                  <a14:compatExt spid="_x0000_s19462"/>
                </a:ext>
                <a:ext uri="{FF2B5EF4-FFF2-40B4-BE49-F238E27FC236}">
                  <a16:creationId xmlns:a16="http://schemas.microsoft.com/office/drawing/2014/main" id="{00000000-0008-0000-0000-0000064C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41</xdr:row>
          <xdr:rowOff>0</xdr:rowOff>
        </xdr:from>
        <xdr:to>
          <xdr:col>5</xdr:col>
          <xdr:colOff>850900</xdr:colOff>
          <xdr:row>42</xdr:row>
          <xdr:rowOff>0</xdr:rowOff>
        </xdr:to>
        <xdr:sp macro="" textlink="">
          <xdr:nvSpPr>
            <xdr:cNvPr id="19463" name="Drop Down 7" hidden="1">
              <a:extLst>
                <a:ext uri="{63B3BB69-23CF-44E3-9099-C40C66FF867C}">
                  <a14:compatExt spid="_x0000_s19463"/>
                </a:ext>
                <a:ext uri="{FF2B5EF4-FFF2-40B4-BE49-F238E27FC236}">
                  <a16:creationId xmlns:a16="http://schemas.microsoft.com/office/drawing/2014/main" id="{00000000-0008-0000-0000-0000074C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xdr:oneCellAnchor>
    <xdr:from>
      <xdr:col>9</xdr:col>
      <xdr:colOff>0</xdr:colOff>
      <xdr:row>29</xdr:row>
      <xdr:rowOff>0</xdr:rowOff>
    </xdr:from>
    <xdr:ext cx="184731" cy="264560"/>
    <xdr:sp macro="" textlink="">
      <xdr:nvSpPr>
        <xdr:cNvPr id="2" name="Tekstfelt 1">
          <a:extLst>
            <a:ext uri="{FF2B5EF4-FFF2-40B4-BE49-F238E27FC236}">
              <a16:creationId xmlns:a16="http://schemas.microsoft.com/office/drawing/2014/main" id="{00000000-0008-0000-0000-000002000000}"/>
            </a:ext>
          </a:extLst>
        </xdr:cNvPr>
        <xdr:cNvSpPr txBox="1"/>
      </xdr:nvSpPr>
      <xdr:spPr>
        <a:xfrm>
          <a:off x="7660640" y="53035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a-DK" sz="1100"/>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6.xml"/><Relationship Id="rId3" Type="http://schemas.openxmlformats.org/officeDocument/2006/relationships/ctrlProp" Target="../ctrlProps/ctrlProp1.xml"/><Relationship Id="rId7" Type="http://schemas.openxmlformats.org/officeDocument/2006/relationships/ctrlProp" Target="../ctrlProps/ctrlProp5.xml"/><Relationship Id="rId2" Type="http://schemas.openxmlformats.org/officeDocument/2006/relationships/vmlDrawing" Target="../drawings/vmlDrawing1.vml"/><Relationship Id="rId1" Type="http://schemas.openxmlformats.org/officeDocument/2006/relationships/drawing" Target="../drawings/drawing1.xml"/><Relationship Id="rId6" Type="http://schemas.openxmlformats.org/officeDocument/2006/relationships/ctrlProp" Target="../ctrlProps/ctrlProp4.xml"/><Relationship Id="rId5" Type="http://schemas.openxmlformats.org/officeDocument/2006/relationships/ctrlProp" Target="../ctrlProps/ctrlProp3.xml"/><Relationship Id="rId4" Type="http://schemas.openxmlformats.org/officeDocument/2006/relationships/ctrlProp" Target="../ctrlProps/ctrlProp2.xml"/><Relationship Id="rId9" Type="http://schemas.openxmlformats.org/officeDocument/2006/relationships/ctrlProp" Target="../ctrlProps/ctrlProp7.xm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8" Type="http://schemas.openxmlformats.org/officeDocument/2006/relationships/vmlDrawing" Target="../drawings/vmlDrawing3.vml"/><Relationship Id="rId3" Type="http://schemas.openxmlformats.org/officeDocument/2006/relationships/hyperlink" Target="https://www.falck.dk/vejhjaelp/produkter/autohjaelp/" TargetMode="External"/><Relationship Id="rId7" Type="http://schemas.openxmlformats.org/officeDocument/2006/relationships/hyperlink" Target="http://www.fdm.dk/biler/biloekonomi/vaegtafgift-2016" TargetMode="External"/><Relationship Id="rId2" Type="http://schemas.openxmlformats.org/officeDocument/2006/relationships/hyperlink" Target="http://www.skm.dk/tal_statistik/satser_og_beloeb/183.html" TargetMode="External"/><Relationship Id="rId1" Type="http://schemas.openxmlformats.org/officeDocument/2006/relationships/hyperlink" Target="http://www.skm.dk/skatteomraadet/talogstatistik/satser_og_beloeb/183.html" TargetMode="External"/><Relationship Id="rId6" Type="http://schemas.openxmlformats.org/officeDocument/2006/relationships/hyperlink" Target="http://www.lo.dk/kontakt/LOsmedlemmer/Forbund.aspx" TargetMode="External"/><Relationship Id="rId5" Type="http://schemas.openxmlformats.org/officeDocument/2006/relationships/hyperlink" Target="https://www.sygeforsikring.dk/grupper" TargetMode="External"/><Relationship Id="rId4" Type="http://schemas.openxmlformats.org/officeDocument/2006/relationships/hyperlink" Target="http://www.dr.dk/OmDR/Licens/Fakta%20om%20Licens/Priser_1.htm" TargetMode="External"/><Relationship Id="rId9" Type="http://schemas.openxmlformats.org/officeDocument/2006/relationships/comments" Target="../comments2.xml"/></Relationships>
</file>

<file path=xl/worksheets/_rels/sheet7.xml.rels><?xml version="1.0" encoding="UTF-8" standalone="yes"?>
<Relationships xmlns="http://schemas.openxmlformats.org/package/2006/relationships"><Relationship Id="rId8" Type="http://schemas.openxmlformats.org/officeDocument/2006/relationships/hyperlink" Target="http://www.vandogaffald.dk/vand/priser" TargetMode="External"/><Relationship Id="rId13" Type="http://schemas.openxmlformats.org/officeDocument/2006/relationships/hyperlink" Target="http://www.danva.dk/Presse/Vandsektoren/Vandpris-dk.aspx" TargetMode="External"/><Relationship Id="rId18" Type="http://schemas.openxmlformats.org/officeDocument/2006/relationships/comments" Target="../comments3.xml"/><Relationship Id="rId3" Type="http://schemas.openxmlformats.org/officeDocument/2006/relationships/hyperlink" Target="http://studenttheses.cbs.dk/bitstream/handle/10417/774/louise_jensen.pdf?sequence=1" TargetMode="External"/><Relationship Id="rId7" Type="http://schemas.openxmlformats.org/officeDocument/2006/relationships/hyperlink" Target="http://www.vandcenter.dk/priser/forbrugspriser" TargetMode="External"/><Relationship Id="rId12" Type="http://schemas.openxmlformats.org/officeDocument/2006/relationships/hyperlink" Target="http://www.vordingborgforsyning.dk/takster-og-priser" TargetMode="External"/><Relationship Id="rId17" Type="http://schemas.openxmlformats.org/officeDocument/2006/relationships/vmlDrawing" Target="../drawings/vmlDrawing4.vml"/><Relationship Id="rId2" Type="http://schemas.openxmlformats.org/officeDocument/2006/relationships/hyperlink" Target="http://www.sns.dk/byer-byg/Netpub/ReSAVE/kap21.htm" TargetMode="External"/><Relationship Id="rId16" Type="http://schemas.openxmlformats.org/officeDocument/2006/relationships/hyperlink" Target="https://www.borger.dk/familie-og-boern/Familieydelser-oversigt/Boerne-ungeydelse" TargetMode="External"/><Relationship Id="rId1" Type="http://schemas.openxmlformats.org/officeDocument/2006/relationships/hyperlink" Target="http://www.skm.dk/skattetal/satser/satser-og-beloebsgraenser/boerne-og-ungeydelsesloven/" TargetMode="External"/><Relationship Id="rId6" Type="http://schemas.openxmlformats.org/officeDocument/2006/relationships/hyperlink" Target="http://www.dalmosebraende.dk/" TargetMode="External"/><Relationship Id="rId11" Type="http://schemas.openxmlformats.org/officeDocument/2006/relationships/hyperlink" Target="http://www.energiviborg.dk/forside/vand/vandpriser/1875-vandpriser-2014" TargetMode="External"/><Relationship Id="rId5" Type="http://schemas.openxmlformats.org/officeDocument/2006/relationships/hyperlink" Target="http://tilskuddanmark.dk/b%c3%b8rn/b%c3%b8rnepenge/s%c3%b8skendetilskud-eller-s%c3%b8skenderabat/" TargetMode="External"/><Relationship Id="rId15" Type="http://schemas.openxmlformats.org/officeDocument/2006/relationships/hyperlink" Target="http://energitilsynet.dk/varme/statistik/prisstatistik/pr-1-august-2017/" TargetMode="External"/><Relationship Id="rId10" Type="http://schemas.openxmlformats.org/officeDocument/2006/relationships/hyperlink" Target="http://www.hofor.dk/vand/priser-paa-vand-2017/" TargetMode="External"/><Relationship Id="rId4" Type="http://schemas.openxmlformats.org/officeDocument/2006/relationships/hyperlink" Target="https://bestilfyringsolie.dk/order-page/olietype-olietank/" TargetMode="External"/><Relationship Id="rId9" Type="http://schemas.openxmlformats.org/officeDocument/2006/relationships/hyperlink" Target="http://www.aarhusvand.dk/privat/priser/" TargetMode="External"/><Relationship Id="rId14" Type="http://schemas.openxmlformats.org/officeDocument/2006/relationships/hyperlink" Target="https://www.dalmosebraende.dk/traepiller-i-saekke.html"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www.borger.dk/familie-og-boern/Familieydelser-oversigt/Boerne-ungeydelse/Boerne-ungeydelse-nedsaettelse" TargetMode="External"/><Relationship Id="rId2" Type="http://schemas.openxmlformats.org/officeDocument/2006/relationships/hyperlink" Target="https://www.retsinformation.dk/forms/r0710.aspx?id=145909" TargetMode="External"/><Relationship Id="rId1" Type="http://schemas.openxmlformats.org/officeDocument/2006/relationships/hyperlink" Target="https://www.retsinformation.dk/Forms/R0710.aspx?id=143287" TargetMode="External"/><Relationship Id="rId4" Type="http://schemas.openxmlformats.org/officeDocument/2006/relationships/hyperlink" Target="https://www.borger.dk/familie-og-boern/Familieydelser-oversigt/Boerne-ungeydelse/Boerne-ungeydelse-nedsaettelse" TargetMode="External"/></Relationships>
</file>

<file path=xl/worksheets/_rels/sheet9.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5.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G59"/>
  <sheetViews>
    <sheetView showGridLines="0" zoomScale="125" zoomScaleNormal="125" zoomScalePageLayoutView="125" workbookViewId="0">
      <selection activeCell="D26" sqref="D26"/>
    </sheetView>
  </sheetViews>
  <sheetFormatPr baseColWidth="10" defaultColWidth="8.83203125" defaultRowHeight="13" x14ac:dyDescent="0.15"/>
  <cols>
    <col min="1" max="1" width="1.6640625" customWidth="1"/>
    <col min="2" max="2" width="31.83203125" customWidth="1"/>
    <col min="3" max="3" width="4.1640625" customWidth="1"/>
    <col min="4" max="5" width="11.83203125" customWidth="1"/>
    <col min="6" max="6" width="12.6640625" customWidth="1"/>
  </cols>
  <sheetData>
    <row r="1" spans="2:5" ht="14" customHeight="1" x14ac:dyDescent="0.15"/>
    <row r="2" spans="2:5" ht="16" customHeight="1" x14ac:dyDescent="0.15">
      <c r="B2" s="293" t="s">
        <v>621</v>
      </c>
      <c r="C2" s="187"/>
    </row>
    <row r="3" spans="2:5" ht="16" customHeight="1" x14ac:dyDescent="0.15">
      <c r="B3" s="294" t="s">
        <v>622</v>
      </c>
      <c r="C3" s="1"/>
      <c r="D3" s="12" t="s">
        <v>631</v>
      </c>
    </row>
    <row r="4" spans="2:5" ht="14" customHeight="1" x14ac:dyDescent="0.15">
      <c r="B4" s="85"/>
      <c r="C4" s="188" t="s">
        <v>616</v>
      </c>
      <c r="D4" s="12"/>
    </row>
    <row r="5" spans="2:5" ht="14" customHeight="1" thickBot="1" x14ac:dyDescent="0.2">
      <c r="B5" s="192" t="s">
        <v>647</v>
      </c>
      <c r="C5" s="1"/>
      <c r="D5" s="12"/>
    </row>
    <row r="6" spans="2:5" ht="14" customHeight="1" x14ac:dyDescent="0.15">
      <c r="B6" s="162" t="s">
        <v>648</v>
      </c>
      <c r="C6" s="188" t="s">
        <v>616</v>
      </c>
      <c r="D6" s="189">
        <v>1</v>
      </c>
    </row>
    <row r="7" spans="2:5" ht="14" customHeight="1" x14ac:dyDescent="0.15">
      <c r="B7" s="162" t="s">
        <v>649</v>
      </c>
      <c r="C7" s="188" t="s">
        <v>616</v>
      </c>
      <c r="D7" s="244">
        <v>1</v>
      </c>
    </row>
    <row r="8" spans="2:5" ht="14" customHeight="1" x14ac:dyDescent="0.15">
      <c r="B8" s="266" t="s">
        <v>646</v>
      </c>
      <c r="C8" s="266"/>
      <c r="D8" s="267">
        <f>SUM(D6:D7)</f>
        <v>2</v>
      </c>
    </row>
    <row r="9" spans="2:5" ht="14" customHeight="1" x14ac:dyDescent="0.15">
      <c r="B9" s="198"/>
      <c r="C9" s="198"/>
      <c r="D9" s="1"/>
    </row>
    <row r="10" spans="2:5" ht="14" customHeight="1" thickBot="1" x14ac:dyDescent="0.2">
      <c r="B10" s="191" t="s">
        <v>658</v>
      </c>
      <c r="C10" s="198"/>
      <c r="D10" s="1"/>
    </row>
    <row r="11" spans="2:5" ht="14" customHeight="1" x14ac:dyDescent="0.15">
      <c r="B11" s="1"/>
      <c r="C11" s="1"/>
      <c r="D11" s="12"/>
    </row>
    <row r="12" spans="2:5" ht="14" customHeight="1" thickBot="1" x14ac:dyDescent="0.2">
      <c r="B12" s="192" t="s">
        <v>273</v>
      </c>
      <c r="C12" s="12"/>
      <c r="D12" s="103" t="s">
        <v>1274</v>
      </c>
      <c r="E12" s="103" t="s">
        <v>1157</v>
      </c>
    </row>
    <row r="13" spans="2:5" ht="14" customHeight="1" x14ac:dyDescent="0.15">
      <c r="B13" s="162" t="s">
        <v>623</v>
      </c>
      <c r="C13" s="188" t="s">
        <v>616</v>
      </c>
      <c r="D13" s="165">
        <v>10000</v>
      </c>
      <c r="E13" s="276">
        <f>Skatteprocenter!Q108</f>
        <v>17685.592608837138</v>
      </c>
    </row>
    <row r="14" spans="2:5" ht="14" customHeight="1" x14ac:dyDescent="0.15">
      <c r="B14" s="162" t="s">
        <v>625</v>
      </c>
      <c r="C14" s="188" t="s">
        <v>616</v>
      </c>
      <c r="D14" s="165">
        <v>100000</v>
      </c>
      <c r="E14" s="276">
        <f>Skatteprocenter!Q109</f>
        <v>176855.9260883714</v>
      </c>
    </row>
    <row r="15" spans="2:5" ht="14" customHeight="1" x14ac:dyDescent="0.15">
      <c r="B15" s="162" t="s">
        <v>624</v>
      </c>
      <c r="C15" s="188" t="s">
        <v>616</v>
      </c>
      <c r="D15" s="165">
        <v>0</v>
      </c>
      <c r="E15" s="276">
        <f>Skatteprocenter!Q110</f>
        <v>0</v>
      </c>
    </row>
    <row r="16" spans="2:5" ht="14" customHeight="1" x14ac:dyDescent="0.15">
      <c r="B16" s="162" t="s">
        <v>626</v>
      </c>
      <c r="C16" s="188" t="s">
        <v>616</v>
      </c>
      <c r="D16" s="165">
        <v>0</v>
      </c>
      <c r="E16" s="276">
        <f>Skatteprocenter!Q111</f>
        <v>0</v>
      </c>
    </row>
    <row r="17" spans="2:5" ht="14" customHeight="1" x14ac:dyDescent="0.15">
      <c r="B17" s="162" t="s">
        <v>627</v>
      </c>
      <c r="C17" s="188" t="s">
        <v>616</v>
      </c>
      <c r="D17" s="165">
        <v>0</v>
      </c>
      <c r="E17" s="276">
        <f>Skatteprocenter!Q112</f>
        <v>0</v>
      </c>
    </row>
    <row r="18" spans="2:5" ht="14" customHeight="1" x14ac:dyDescent="0.15">
      <c r="B18" s="162" t="s">
        <v>628</v>
      </c>
      <c r="C18" s="188" t="s">
        <v>616</v>
      </c>
      <c r="D18" s="165">
        <v>0</v>
      </c>
      <c r="E18" s="276">
        <f>Skatteprocenter!Q113</f>
        <v>0</v>
      </c>
    </row>
    <row r="19" spans="2:5" ht="14" customHeight="1" x14ac:dyDescent="0.15">
      <c r="B19" s="268" t="s">
        <v>652</v>
      </c>
      <c r="C19" s="267"/>
      <c r="D19" s="269">
        <f>SUM(D13:D18)</f>
        <v>110000</v>
      </c>
      <c r="E19" s="277">
        <f>SUM(E13:E18)</f>
        <v>194541.51869720855</v>
      </c>
    </row>
    <row r="20" spans="2:5" ht="14" customHeight="1" x14ac:dyDescent="0.15">
      <c r="B20" s="85"/>
      <c r="C20" s="1"/>
      <c r="D20" s="54"/>
      <c r="E20" s="54"/>
    </row>
    <row r="21" spans="2:5" ht="14" customHeight="1" thickBot="1" x14ac:dyDescent="0.2">
      <c r="B21" s="192" t="s">
        <v>651</v>
      </c>
      <c r="C21" s="1"/>
      <c r="D21" s="54"/>
      <c r="E21" s="54"/>
    </row>
    <row r="22" spans="2:5" ht="14" customHeight="1" x14ac:dyDescent="0.15">
      <c r="B22" s="162" t="s">
        <v>721</v>
      </c>
      <c r="C22" s="188" t="s">
        <v>616</v>
      </c>
      <c r="D22" s="165">
        <v>1</v>
      </c>
      <c r="E22" s="54"/>
    </row>
    <row r="23" spans="2:5" ht="14" customHeight="1" x14ac:dyDescent="0.15">
      <c r="B23" s="59"/>
      <c r="C23" s="59"/>
    </row>
    <row r="24" spans="2:5" ht="14" customHeight="1" thickBot="1" x14ac:dyDescent="0.2">
      <c r="B24" s="192" t="s">
        <v>636</v>
      </c>
      <c r="C24" s="59"/>
      <c r="D24" s="1" t="s">
        <v>635</v>
      </c>
    </row>
    <row r="25" spans="2:5" ht="14" customHeight="1" x14ac:dyDescent="0.15">
      <c r="B25" s="188" t="s">
        <v>193</v>
      </c>
      <c r="C25" s="188" t="s">
        <v>616</v>
      </c>
      <c r="D25" s="189">
        <v>1</v>
      </c>
    </row>
    <row r="26" spans="2:5" ht="14" customHeight="1" x14ac:dyDescent="0.15">
      <c r="B26" s="188" t="s">
        <v>194</v>
      </c>
      <c r="C26" s="188" t="s">
        <v>616</v>
      </c>
      <c r="D26" s="189">
        <v>0</v>
      </c>
    </row>
    <row r="27" spans="2:5" ht="14" customHeight="1" x14ac:dyDescent="0.15">
      <c r="B27" s="188" t="s">
        <v>274</v>
      </c>
      <c r="C27" s="188" t="s">
        <v>616</v>
      </c>
      <c r="D27" s="189">
        <v>0</v>
      </c>
    </row>
    <row r="28" spans="2:5" ht="14" customHeight="1" x14ac:dyDescent="0.15">
      <c r="B28" s="188" t="s">
        <v>275</v>
      </c>
      <c r="C28" s="188" t="s">
        <v>616</v>
      </c>
      <c r="D28" s="189">
        <v>0</v>
      </c>
    </row>
    <row r="29" spans="2:5" ht="14" customHeight="1" x14ac:dyDescent="0.15">
      <c r="B29" s="266" t="s">
        <v>90</v>
      </c>
      <c r="C29" s="266"/>
      <c r="D29" s="245">
        <f>D25+D26+D27+D28</f>
        <v>1</v>
      </c>
    </row>
    <row r="30" spans="2:5" ht="14" customHeight="1" x14ac:dyDescent="0.15">
      <c r="B30" s="59"/>
      <c r="C30" s="59"/>
    </row>
    <row r="31" spans="2:5" ht="14" customHeight="1" thickBot="1" x14ac:dyDescent="0.2">
      <c r="B31" s="192" t="s">
        <v>101</v>
      </c>
    </row>
    <row r="32" spans="2:5" ht="18" customHeight="1" x14ac:dyDescent="0.15">
      <c r="B32" s="162" t="s">
        <v>630</v>
      </c>
      <c r="C32" s="188" t="s">
        <v>616</v>
      </c>
    </row>
    <row r="33" spans="2:7" ht="18" customHeight="1" x14ac:dyDescent="0.15">
      <c r="B33" s="162" t="s">
        <v>629</v>
      </c>
      <c r="C33" s="188" t="s">
        <v>616</v>
      </c>
      <c r="D33" s="165">
        <v>0</v>
      </c>
    </row>
    <row r="34" spans="2:7" ht="18" customHeight="1" x14ac:dyDescent="0.15">
      <c r="B34" s="162" t="s">
        <v>643</v>
      </c>
      <c r="C34" s="188" t="s">
        <v>616</v>
      </c>
    </row>
    <row r="35" spans="2:7" ht="18" customHeight="1" x14ac:dyDescent="0.15">
      <c r="B35" s="162" t="s">
        <v>644</v>
      </c>
      <c r="C35" s="188" t="s">
        <v>616</v>
      </c>
      <c r="D35" s="189">
        <v>0</v>
      </c>
      <c r="F35">
        <v>1</v>
      </c>
      <c r="G35" s="271" t="s">
        <v>1269</v>
      </c>
    </row>
    <row r="36" spans="2:7" ht="18" customHeight="1" x14ac:dyDescent="0.15">
      <c r="B36" s="162" t="s">
        <v>645</v>
      </c>
      <c r="C36" s="188" t="s">
        <v>616</v>
      </c>
    </row>
    <row r="37" spans="2:7" ht="18" customHeight="1" x14ac:dyDescent="0.15">
      <c r="B37" s="86" t="s">
        <v>1140</v>
      </c>
      <c r="C37" s="44" t="s">
        <v>616</v>
      </c>
      <c r="D37" s="165">
        <v>0</v>
      </c>
    </row>
    <row r="38" spans="2:7" ht="14" customHeight="1" x14ac:dyDescent="0.15">
      <c r="B38" s="162"/>
      <c r="C38" s="188"/>
    </row>
    <row r="39" spans="2:7" ht="14" customHeight="1" thickBot="1" x14ac:dyDescent="0.2">
      <c r="B39" s="192" t="s">
        <v>637</v>
      </c>
      <c r="C39" s="188"/>
    </row>
    <row r="40" spans="2:7" ht="14" customHeight="1" x14ac:dyDescent="0.15">
      <c r="B40" s="162" t="s">
        <v>679</v>
      </c>
      <c r="C40" s="188" t="s">
        <v>616</v>
      </c>
      <c r="G40" s="12" t="s">
        <v>694</v>
      </c>
    </row>
    <row r="41" spans="2:7" ht="14" customHeight="1" x14ac:dyDescent="0.15">
      <c r="B41" s="162" t="s">
        <v>680</v>
      </c>
      <c r="C41" s="188" t="s">
        <v>616</v>
      </c>
      <c r="G41" s="12" t="s">
        <v>695</v>
      </c>
    </row>
    <row r="42" spans="2:7" ht="14" customHeight="1" x14ac:dyDescent="0.15">
      <c r="B42" s="162" t="s">
        <v>681</v>
      </c>
      <c r="C42" s="188" t="s">
        <v>616</v>
      </c>
      <c r="G42" s="12" t="s">
        <v>696</v>
      </c>
    </row>
    <row r="43" spans="2:7" ht="14" customHeight="1" x14ac:dyDescent="0.15">
      <c r="B43" s="16"/>
      <c r="C43" s="188"/>
      <c r="D43" s="203"/>
      <c r="G43" s="12" t="s">
        <v>697</v>
      </c>
    </row>
    <row r="44" spans="2:7" ht="14" customHeight="1" x14ac:dyDescent="0.15">
      <c r="B44" s="162" t="s">
        <v>638</v>
      </c>
      <c r="C44" s="188" t="s">
        <v>616</v>
      </c>
      <c r="D44" s="190">
        <v>0</v>
      </c>
      <c r="E44" s="139"/>
    </row>
    <row r="45" spans="2:7" ht="14" customHeight="1" x14ac:dyDescent="0.15">
      <c r="B45" s="162" t="s">
        <v>639</v>
      </c>
      <c r="C45" s="188" t="s">
        <v>616</v>
      </c>
      <c r="D45" s="190">
        <v>0</v>
      </c>
      <c r="E45" s="139"/>
    </row>
    <row r="46" spans="2:7" ht="14" customHeight="1" x14ac:dyDescent="0.15"/>
    <row r="47" spans="2:7" ht="14" customHeight="1" x14ac:dyDescent="0.15">
      <c r="B47" s="162" t="s">
        <v>654</v>
      </c>
      <c r="C47" s="188" t="s">
        <v>616</v>
      </c>
      <c r="D47" s="190">
        <v>0</v>
      </c>
    </row>
    <row r="48" spans="2:7" ht="14" customHeight="1" x14ac:dyDescent="0.15">
      <c r="B48" s="16"/>
      <c r="C48" s="188"/>
      <c r="D48" s="202"/>
    </row>
    <row r="49" spans="2:4" ht="14" customHeight="1" x14ac:dyDescent="0.15">
      <c r="B49" s="16" t="s">
        <v>708</v>
      </c>
      <c r="C49" s="188" t="s">
        <v>616</v>
      </c>
      <c r="D49" s="190">
        <v>0</v>
      </c>
    </row>
    <row r="50" spans="2:4" ht="14" customHeight="1" x14ac:dyDescent="0.15">
      <c r="B50" s="16"/>
      <c r="C50" s="188"/>
    </row>
    <row r="51" spans="2:4" ht="14" customHeight="1" x14ac:dyDescent="0.15">
      <c r="B51" s="16"/>
    </row>
    <row r="52" spans="2:4" ht="12.75" customHeight="1" x14ac:dyDescent="0.15"/>
    <row r="53" spans="2:4" ht="12.75" customHeight="1" x14ac:dyDescent="0.15"/>
    <row r="55" spans="2:4" x14ac:dyDescent="0.15">
      <c r="B55" s="85"/>
    </row>
    <row r="59" spans="2:4" x14ac:dyDescent="0.15">
      <c r="B59" s="162"/>
    </row>
  </sheetData>
  <sheetProtection sheet="1" objects="1" scenarios="1"/>
  <pageMargins left="0.7" right="0.7" top="0.75" bottom="0.75" header="0.3" footer="0.3"/>
  <pageSetup paperSize="9" orientation="portrait" horizontalDpi="4294967293" verticalDpi="4294967293"/>
  <drawing r:id="rId1"/>
  <legacyDrawing r:id="rId2"/>
  <mc:AlternateContent xmlns:mc="http://schemas.openxmlformats.org/markup-compatibility/2006">
    <mc:Choice Requires="x14">
      <controls>
        <mc:AlternateContent xmlns:mc="http://schemas.openxmlformats.org/markup-compatibility/2006">
          <mc:Choice Requires="x14">
            <control shapeId="19457" r:id="rId3" name="Drop Down 1">
              <controlPr defaultSize="0" autoFill="0" autoLine="0" autoPict="0">
                <anchor moveWithCells="1">
                  <from>
                    <xdr:col>3</xdr:col>
                    <xdr:colOff>12700</xdr:colOff>
                    <xdr:row>30</xdr:row>
                    <xdr:rowOff>152400</xdr:rowOff>
                  </from>
                  <to>
                    <xdr:col>4</xdr:col>
                    <xdr:colOff>546100</xdr:colOff>
                    <xdr:row>31</xdr:row>
                    <xdr:rowOff>152400</xdr:rowOff>
                  </to>
                </anchor>
              </controlPr>
            </control>
          </mc:Choice>
        </mc:AlternateContent>
        <mc:AlternateContent xmlns:mc="http://schemas.openxmlformats.org/markup-compatibility/2006">
          <mc:Choice Requires="x14">
            <control shapeId="19458" r:id="rId4" name="Drop Down 2">
              <controlPr defaultSize="0" autoFill="0" autoLine="0" autoPict="0">
                <anchor moveWithCells="1">
                  <from>
                    <xdr:col>3</xdr:col>
                    <xdr:colOff>0</xdr:colOff>
                    <xdr:row>32</xdr:row>
                    <xdr:rowOff>215900</xdr:rowOff>
                  </from>
                  <to>
                    <xdr:col>4</xdr:col>
                    <xdr:colOff>838200</xdr:colOff>
                    <xdr:row>33</xdr:row>
                    <xdr:rowOff>165100</xdr:rowOff>
                  </to>
                </anchor>
              </controlPr>
            </control>
          </mc:Choice>
        </mc:AlternateContent>
        <mc:AlternateContent xmlns:mc="http://schemas.openxmlformats.org/markup-compatibility/2006">
          <mc:Choice Requires="x14">
            <control shapeId="19459" r:id="rId5" name="Drop Down 3">
              <controlPr defaultSize="0" autoFill="0" autoLine="0" autoPict="0">
                <anchor moveWithCells="1">
                  <from>
                    <xdr:col>2</xdr:col>
                    <xdr:colOff>304800</xdr:colOff>
                    <xdr:row>35</xdr:row>
                    <xdr:rowOff>0</xdr:rowOff>
                  </from>
                  <to>
                    <xdr:col>4</xdr:col>
                    <xdr:colOff>520700</xdr:colOff>
                    <xdr:row>35</xdr:row>
                    <xdr:rowOff>177800</xdr:rowOff>
                  </to>
                </anchor>
              </controlPr>
            </control>
          </mc:Choice>
        </mc:AlternateContent>
        <mc:AlternateContent xmlns:mc="http://schemas.openxmlformats.org/markup-compatibility/2006">
          <mc:Choice Requires="x14">
            <control shapeId="19460" r:id="rId6" name="Drop Down 4">
              <controlPr defaultSize="0" autoFill="0" autoLine="0" autoPict="0">
                <anchor moveWithCells="1">
                  <from>
                    <xdr:col>2</xdr:col>
                    <xdr:colOff>190500</xdr:colOff>
                    <xdr:row>8</xdr:row>
                    <xdr:rowOff>177800</xdr:rowOff>
                  </from>
                  <to>
                    <xdr:col>3</xdr:col>
                    <xdr:colOff>889000</xdr:colOff>
                    <xdr:row>10</xdr:row>
                    <xdr:rowOff>0</xdr:rowOff>
                  </to>
                </anchor>
              </controlPr>
            </control>
          </mc:Choice>
        </mc:AlternateContent>
        <mc:AlternateContent xmlns:mc="http://schemas.openxmlformats.org/markup-compatibility/2006">
          <mc:Choice Requires="x14">
            <control shapeId="19461" r:id="rId7" name="Drop Down 5">
              <controlPr defaultSize="0" autoFill="0" autoLine="0" autoPict="0">
                <anchor moveWithCells="1">
                  <from>
                    <xdr:col>3</xdr:col>
                    <xdr:colOff>0</xdr:colOff>
                    <xdr:row>39</xdr:row>
                    <xdr:rowOff>0</xdr:rowOff>
                  </from>
                  <to>
                    <xdr:col>5</xdr:col>
                    <xdr:colOff>850900</xdr:colOff>
                    <xdr:row>40</xdr:row>
                    <xdr:rowOff>0</xdr:rowOff>
                  </to>
                </anchor>
              </controlPr>
            </control>
          </mc:Choice>
        </mc:AlternateContent>
        <mc:AlternateContent xmlns:mc="http://schemas.openxmlformats.org/markup-compatibility/2006">
          <mc:Choice Requires="x14">
            <control shapeId="19462" r:id="rId8" name="Drop Down 6">
              <controlPr defaultSize="0" autoFill="0" autoLine="0" autoPict="0">
                <anchor moveWithCells="1">
                  <from>
                    <xdr:col>3</xdr:col>
                    <xdr:colOff>0</xdr:colOff>
                    <xdr:row>39</xdr:row>
                    <xdr:rowOff>177800</xdr:rowOff>
                  </from>
                  <to>
                    <xdr:col>5</xdr:col>
                    <xdr:colOff>850900</xdr:colOff>
                    <xdr:row>41</xdr:row>
                    <xdr:rowOff>0</xdr:rowOff>
                  </to>
                </anchor>
              </controlPr>
            </control>
          </mc:Choice>
        </mc:AlternateContent>
        <mc:AlternateContent xmlns:mc="http://schemas.openxmlformats.org/markup-compatibility/2006">
          <mc:Choice Requires="x14">
            <control shapeId="19463" r:id="rId9" name="Drop Down 7">
              <controlPr defaultSize="0" autoFill="0" autoLine="0" autoPict="0">
                <anchor moveWithCells="1">
                  <from>
                    <xdr:col>3</xdr:col>
                    <xdr:colOff>0</xdr:colOff>
                    <xdr:row>41</xdr:row>
                    <xdr:rowOff>0</xdr:rowOff>
                  </from>
                  <to>
                    <xdr:col>5</xdr:col>
                    <xdr:colOff>850900</xdr:colOff>
                    <xdr:row>42</xdr:row>
                    <xdr:rowOff>0</xdr:rowOff>
                  </to>
                </anchor>
              </controlPr>
            </control>
          </mc:Choice>
        </mc:AlternateContent>
      </controls>
    </mc:Choice>
  </mc:AlternateContent>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O99"/>
  <sheetViews>
    <sheetView showGridLines="0" tabSelected="1" topLeftCell="B12" zoomScale="125" zoomScaleNormal="125" zoomScalePageLayoutView="125" workbookViewId="0">
      <selection activeCell="D44" sqref="D44"/>
    </sheetView>
  </sheetViews>
  <sheetFormatPr baseColWidth="10" defaultColWidth="8.83203125" defaultRowHeight="13" x14ac:dyDescent="0.15"/>
  <cols>
    <col min="1" max="1" width="3" customWidth="1"/>
    <col min="2" max="2" width="33.6640625" customWidth="1"/>
    <col min="3" max="3" width="3.1640625" customWidth="1"/>
    <col min="4" max="4" width="14.1640625" customWidth="1"/>
    <col min="5" max="5" width="18.33203125" customWidth="1"/>
    <col min="6" max="6" width="15" customWidth="1"/>
    <col min="7" max="7" width="17.5" customWidth="1"/>
    <col min="8" max="8" width="9.1640625" customWidth="1"/>
    <col min="9" max="9" width="11.6640625" customWidth="1"/>
    <col min="10" max="10" width="8.6640625" customWidth="1"/>
    <col min="11" max="11" width="15.5" customWidth="1"/>
    <col min="12" max="12" width="8.6640625" customWidth="1"/>
  </cols>
  <sheetData>
    <row r="2" spans="2:12" ht="19" x14ac:dyDescent="0.15">
      <c r="B2" s="187" t="s">
        <v>621</v>
      </c>
      <c r="C2" s="187"/>
    </row>
    <row r="3" spans="2:12" ht="14" thickBot="1" x14ac:dyDescent="0.2">
      <c r="B3" s="1" t="s">
        <v>653</v>
      </c>
      <c r="C3" s="1"/>
      <c r="J3" s="12" t="s">
        <v>506</v>
      </c>
    </row>
    <row r="4" spans="2:12" ht="14" thickBot="1" x14ac:dyDescent="0.2">
      <c r="J4" s="73" t="s">
        <v>266</v>
      </c>
      <c r="K4" s="73" t="s">
        <v>267</v>
      </c>
    </row>
    <row r="5" spans="2:12" ht="14" thickBot="1" x14ac:dyDescent="0.2">
      <c r="B5" s="85" t="s">
        <v>634</v>
      </c>
      <c r="C5" s="85"/>
      <c r="J5" s="65">
        <v>7</v>
      </c>
      <c r="K5" s="65">
        <v>10</v>
      </c>
    </row>
    <row r="6" spans="2:12" ht="14" thickBot="1" x14ac:dyDescent="0.2">
      <c r="B6" s="162" t="s">
        <v>231</v>
      </c>
      <c r="C6" s="162"/>
      <c r="D6">
        <f>Input!D8</f>
        <v>2</v>
      </c>
      <c r="J6" s="73" t="s">
        <v>339</v>
      </c>
      <c r="K6" s="73" t="s">
        <v>338</v>
      </c>
    </row>
    <row r="7" spans="2:12" ht="14" thickBot="1" x14ac:dyDescent="0.2">
      <c r="B7" s="162" t="s">
        <v>641</v>
      </c>
      <c r="C7" s="162"/>
      <c r="D7">
        <f>Input!D29</f>
        <v>1</v>
      </c>
      <c r="J7" s="65">
        <v>13</v>
      </c>
      <c r="K7" s="65">
        <v>16</v>
      </c>
    </row>
    <row r="8" spans="2:12" x14ac:dyDescent="0.15">
      <c r="B8" s="162" t="s">
        <v>642</v>
      </c>
      <c r="C8" s="162"/>
      <c r="D8">
        <f>Data!K41</f>
        <v>0</v>
      </c>
      <c r="K8" s="59"/>
    </row>
    <row r="9" spans="2:12" x14ac:dyDescent="0.15">
      <c r="B9" s="162" t="s">
        <v>322</v>
      </c>
      <c r="C9" s="162"/>
      <c r="D9" s="86" t="str">
        <f>Dialog!B14</f>
        <v>Alle boliger</v>
      </c>
    </row>
    <row r="10" spans="2:12" x14ac:dyDescent="0.15">
      <c r="B10" s="162" t="s">
        <v>719</v>
      </c>
      <c r="D10" s="86" t="str">
        <f>VLOOKUP(Dialog!M3,Kommunedata!B4:D101,3)</f>
        <v>Albertslund</v>
      </c>
    </row>
    <row r="11" spans="2:12" ht="15" thickBot="1" x14ac:dyDescent="0.2">
      <c r="B11" s="60" t="s">
        <v>640</v>
      </c>
      <c r="C11" s="60"/>
      <c r="D11" s="13"/>
      <c r="E11" s="13"/>
      <c r="F11" s="13"/>
    </row>
    <row r="12" spans="2:12" ht="14" thickBot="1" x14ac:dyDescent="0.2">
      <c r="B12" s="221" t="s">
        <v>378</v>
      </c>
      <c r="C12" s="222"/>
      <c r="D12" s="196">
        <f>SUM(D13:D17)</f>
        <v>24351.639400119737</v>
      </c>
      <c r="E12" s="222" t="s">
        <v>273</v>
      </c>
      <c r="F12" s="196">
        <f>SUM(F13:F17)</f>
        <v>111533</v>
      </c>
      <c r="G12" s="224" t="s">
        <v>709</v>
      </c>
      <c r="H12" s="225">
        <f>F12-D12</f>
        <v>87181.360599880267</v>
      </c>
      <c r="I12" s="226" t="s">
        <v>404</v>
      </c>
      <c r="K12" s="205" t="str">
        <f>'Data-DS'!H8</f>
        <v>Enlig uden børn:</v>
      </c>
      <c r="L12" s="206" t="str">
        <f>IF(AND(D6=1,D7=0),1,"")</f>
        <v/>
      </c>
    </row>
    <row r="13" spans="2:12" ht="12.75" customHeight="1" x14ac:dyDescent="0.15">
      <c r="B13" s="47" t="s">
        <v>228</v>
      </c>
      <c r="C13" s="217"/>
      <c r="D13" s="61">
        <f>E21</f>
        <v>14155.607515459656</v>
      </c>
      <c r="E13" s="47" t="s">
        <v>394</v>
      </c>
      <c r="F13" s="5">
        <f>Input!D13+Input!D14+Input!D15+Input!D16</f>
        <v>110000</v>
      </c>
      <c r="G13" s="281" t="s">
        <v>709</v>
      </c>
      <c r="H13" s="269">
        <f>H12*12</f>
        <v>1046176.3271985631</v>
      </c>
      <c r="I13" s="282" t="s">
        <v>657</v>
      </c>
      <c r="K13" s="207" t="str">
        <f>'Data-DS'!I8</f>
        <v>Enlig med børn:</v>
      </c>
      <c r="L13" s="208" t="str">
        <f>IF(AND(D6=1,D7&gt;0),2,"")</f>
        <v/>
      </c>
    </row>
    <row r="14" spans="2:12" ht="12.75" customHeight="1" x14ac:dyDescent="0.15">
      <c r="B14" s="48" t="s">
        <v>229</v>
      </c>
      <c r="D14" s="62">
        <f>E30</f>
        <v>3202.6833333333334</v>
      </c>
      <c r="E14" s="129" t="s">
        <v>650</v>
      </c>
      <c r="F14" s="5">
        <f>Input!D22</f>
        <v>1</v>
      </c>
      <c r="G14" s="108" t="s">
        <v>706</v>
      </c>
      <c r="H14" s="54">
        <f>Input!D49</f>
        <v>0</v>
      </c>
      <c r="I14" s="280" t="s">
        <v>404</v>
      </c>
      <c r="K14" s="207" t="str">
        <f>'Data-DS'!H11</f>
        <v>2 v uden børn:</v>
      </c>
      <c r="L14" s="208" t="str">
        <f>IF(AND(D6&gt;=2,D7=0),3,"")</f>
        <v/>
      </c>
    </row>
    <row r="15" spans="2:12" ht="12.75" customHeight="1" x14ac:dyDescent="0.15">
      <c r="B15" s="48" t="s">
        <v>348</v>
      </c>
      <c r="D15" s="62">
        <f>E44</f>
        <v>6624.2213518868593</v>
      </c>
      <c r="E15" s="48"/>
      <c r="F15" s="5"/>
      <c r="G15" s="283" t="s">
        <v>706</v>
      </c>
      <c r="H15" s="269">
        <f>H14*12</f>
        <v>0</v>
      </c>
      <c r="I15" s="282" t="s">
        <v>657</v>
      </c>
      <c r="K15" s="207" t="str">
        <f>'Data-DS'!I11</f>
        <v>2 v med børn:</v>
      </c>
      <c r="L15" s="208">
        <f>IF(AND(D6&gt;=2,D7&gt;0),4,"")</f>
        <v>4</v>
      </c>
    </row>
    <row r="16" spans="2:12" ht="12.75" customHeight="1" x14ac:dyDescent="0.15">
      <c r="B16" s="48" t="s">
        <v>230</v>
      </c>
      <c r="D16" s="62">
        <f>E62</f>
        <v>369.12719943988765</v>
      </c>
      <c r="E16" s="48"/>
      <c r="F16" s="62"/>
      <c r="G16" s="108" t="s">
        <v>707</v>
      </c>
      <c r="H16" s="54">
        <f>H12-H14</f>
        <v>87181.360599880267</v>
      </c>
      <c r="I16" s="280" t="s">
        <v>404</v>
      </c>
      <c r="K16" s="210" t="s">
        <v>701</v>
      </c>
      <c r="L16" s="211">
        <f>MAX(L12:L15)</f>
        <v>4</v>
      </c>
    </row>
    <row r="17" spans="1:15" ht="12.75" customHeight="1" thickBot="1" x14ac:dyDescent="0.2">
      <c r="B17" s="193" t="s">
        <v>655</v>
      </c>
      <c r="C17" s="218"/>
      <c r="D17" s="63">
        <f>Input!D47</f>
        <v>0</v>
      </c>
      <c r="E17" s="49" t="s">
        <v>81</v>
      </c>
      <c r="F17" s="63">
        <f>IF(Modeller!E13&lt;=0,0,Modeller!E13/12)</f>
        <v>1532</v>
      </c>
      <c r="G17" s="228" t="s">
        <v>707</v>
      </c>
      <c r="H17" s="227">
        <f>H13-H15</f>
        <v>1046176.3271985631</v>
      </c>
      <c r="I17" s="197" t="s">
        <v>657</v>
      </c>
      <c r="J17" s="5"/>
    </row>
    <row r="18" spans="1:15" ht="18" customHeight="1" x14ac:dyDescent="0.15">
      <c r="J18" s="5"/>
    </row>
    <row r="19" spans="1:15" ht="14" thickBot="1" x14ac:dyDescent="0.2">
      <c r="B19" s="13"/>
      <c r="C19" s="13"/>
      <c r="D19" s="13"/>
      <c r="E19" s="13"/>
      <c r="F19" s="13"/>
      <c r="G19" s="13"/>
    </row>
    <row r="20" spans="1:15" ht="28" x14ac:dyDescent="0.15">
      <c r="A20" t="s">
        <v>720</v>
      </c>
      <c r="B20" s="48"/>
      <c r="D20" s="84" t="s">
        <v>195</v>
      </c>
      <c r="E20" s="84" t="s">
        <v>236</v>
      </c>
      <c r="F20" s="138" t="s">
        <v>17</v>
      </c>
      <c r="G20" s="116" t="s">
        <v>16</v>
      </c>
      <c r="H20" s="215" t="s">
        <v>349</v>
      </c>
      <c r="I20" s="209" t="s">
        <v>712</v>
      </c>
      <c r="J20" s="69" t="s">
        <v>380</v>
      </c>
      <c r="K20" s="101"/>
      <c r="L20" s="71"/>
      <c r="M20" s="71"/>
      <c r="N20" s="71"/>
      <c r="O20" s="71"/>
    </row>
    <row r="21" spans="1:15" x14ac:dyDescent="0.15">
      <c r="B21" s="194" t="s">
        <v>228</v>
      </c>
      <c r="C21" s="219"/>
      <c r="D21" s="195">
        <f>SUM(D22:D28)</f>
        <v>169867.29018551589</v>
      </c>
      <c r="E21" s="195">
        <f>D21/12</f>
        <v>14155.607515459656</v>
      </c>
      <c r="F21" s="170"/>
      <c r="G21" s="240"/>
      <c r="H21" s="100"/>
      <c r="I21" s="137"/>
      <c r="J21" s="70"/>
      <c r="K21" s="71"/>
      <c r="L21" s="71"/>
      <c r="M21" s="71"/>
      <c r="N21" s="71"/>
      <c r="O21" s="71"/>
    </row>
    <row r="22" spans="1:15" x14ac:dyDescent="0.15">
      <c r="A22">
        <v>1</v>
      </c>
      <c r="B22" s="48" t="s">
        <v>300</v>
      </c>
      <c r="D22" s="56">
        <f>'Data-DS'!E14</f>
        <v>73716.984589684886</v>
      </c>
      <c r="E22" s="56">
        <f t="shared" ref="E22:E28" si="0">D22/12</f>
        <v>6143.0820491404074</v>
      </c>
      <c r="F22" s="204"/>
      <c r="G22" s="204"/>
      <c r="H22" s="100" t="s">
        <v>350</v>
      </c>
      <c r="I22" s="212"/>
      <c r="J22">
        <v>2020</v>
      </c>
      <c r="K22" s="70" t="s">
        <v>457</v>
      </c>
      <c r="L22" s="71"/>
      <c r="M22" s="71"/>
      <c r="N22" s="71"/>
      <c r="O22" s="71"/>
    </row>
    <row r="23" spans="1:15" x14ac:dyDescent="0.15">
      <c r="A23">
        <v>2</v>
      </c>
      <c r="B23" s="48" t="s">
        <v>301</v>
      </c>
      <c r="D23" s="56">
        <f>'Data-DS'!E25</f>
        <v>21331.811319887554</v>
      </c>
      <c r="E23" s="56">
        <f t="shared" si="0"/>
        <v>1777.6509433239628</v>
      </c>
      <c r="F23" s="204"/>
      <c r="G23" s="204"/>
      <c r="H23" s="100" t="s">
        <v>350</v>
      </c>
      <c r="I23" s="212"/>
      <c r="J23">
        <v>2020</v>
      </c>
      <c r="K23" s="70" t="s">
        <v>457</v>
      </c>
      <c r="L23" s="71"/>
      <c r="M23" s="71"/>
      <c r="N23" s="71"/>
      <c r="O23" s="71"/>
    </row>
    <row r="24" spans="1:15" x14ac:dyDescent="0.15">
      <c r="A24">
        <v>3</v>
      </c>
      <c r="B24" s="48" t="s">
        <v>302</v>
      </c>
      <c r="D24" s="56">
        <f>'Data-DS'!E36</f>
        <v>19307.109360070775</v>
      </c>
      <c r="E24" s="56">
        <f t="shared" si="0"/>
        <v>1608.9257800058979</v>
      </c>
      <c r="F24" s="204"/>
      <c r="G24" s="204"/>
      <c r="H24" s="100" t="s">
        <v>350</v>
      </c>
      <c r="I24" s="212"/>
      <c r="J24">
        <v>2020</v>
      </c>
      <c r="K24" s="70" t="s">
        <v>457</v>
      </c>
      <c r="L24" s="71"/>
      <c r="M24" s="71"/>
      <c r="N24" s="71"/>
      <c r="O24" s="71"/>
    </row>
    <row r="25" spans="1:15" x14ac:dyDescent="0.15">
      <c r="A25">
        <v>4</v>
      </c>
      <c r="B25" s="48" t="s">
        <v>351</v>
      </c>
      <c r="D25" s="56">
        <f>'Data-DS'!E47</f>
        <v>4991.1343122321377</v>
      </c>
      <c r="E25" s="56">
        <f t="shared" si="0"/>
        <v>415.92785935267813</v>
      </c>
      <c r="F25" s="204"/>
      <c r="G25" s="204"/>
      <c r="H25" s="100" t="s">
        <v>350</v>
      </c>
      <c r="I25" s="212"/>
      <c r="J25">
        <v>2020</v>
      </c>
      <c r="K25" s="70" t="s">
        <v>457</v>
      </c>
      <c r="L25" s="71"/>
      <c r="M25" s="71"/>
      <c r="N25" s="71"/>
      <c r="O25" s="71"/>
    </row>
    <row r="26" spans="1:15" x14ac:dyDescent="0.15">
      <c r="A26">
        <v>5</v>
      </c>
      <c r="B26" s="48" t="s">
        <v>346</v>
      </c>
      <c r="D26" s="56">
        <f>'Data-DS'!E58</f>
        <v>2821.4548050663725</v>
      </c>
      <c r="E26" s="56">
        <f t="shared" si="0"/>
        <v>235.12123375553105</v>
      </c>
      <c r="F26" s="204"/>
      <c r="G26" s="204"/>
      <c r="H26" s="100" t="s">
        <v>350</v>
      </c>
      <c r="I26" s="212"/>
      <c r="J26">
        <v>2020</v>
      </c>
      <c r="K26" s="70" t="s">
        <v>457</v>
      </c>
      <c r="L26" s="71"/>
      <c r="M26" s="71"/>
      <c r="N26" s="71"/>
      <c r="O26" s="71"/>
    </row>
    <row r="27" spans="1:15" x14ac:dyDescent="0.15">
      <c r="A27">
        <v>6</v>
      </c>
      <c r="B27" s="48" t="s">
        <v>99</v>
      </c>
      <c r="D27" s="56">
        <f>'Data-DS'!E69</f>
        <v>4900</v>
      </c>
      <c r="E27" s="56">
        <f t="shared" si="0"/>
        <v>408.33333333333331</v>
      </c>
      <c r="F27" s="204"/>
      <c r="G27" s="204"/>
      <c r="H27" s="100" t="s">
        <v>350</v>
      </c>
      <c r="I27" s="212"/>
      <c r="J27">
        <v>2020</v>
      </c>
      <c r="K27" s="70" t="s">
        <v>1</v>
      </c>
      <c r="L27" s="71"/>
      <c r="M27" s="71"/>
      <c r="N27" s="71"/>
      <c r="O27" s="71"/>
    </row>
    <row r="28" spans="1:15" x14ac:dyDescent="0.15">
      <c r="A28">
        <v>7</v>
      </c>
      <c r="B28" s="129" t="s">
        <v>20</v>
      </c>
      <c r="C28" s="12"/>
      <c r="D28" s="56">
        <f>'Data-DS'!E80</f>
        <v>42798.795798574174</v>
      </c>
      <c r="E28" s="56">
        <f t="shared" si="0"/>
        <v>3566.5663165478477</v>
      </c>
      <c r="F28" s="204"/>
      <c r="G28" s="204"/>
      <c r="H28" s="100" t="s">
        <v>350</v>
      </c>
      <c r="I28" s="212"/>
      <c r="J28">
        <v>2020</v>
      </c>
      <c r="K28" s="70" t="s">
        <v>457</v>
      </c>
      <c r="L28" s="71"/>
      <c r="M28" s="71"/>
      <c r="N28" s="71"/>
      <c r="O28" s="71"/>
    </row>
    <row r="29" spans="1:15" x14ac:dyDescent="0.15">
      <c r="B29" s="48"/>
      <c r="D29" s="5"/>
      <c r="E29" s="5"/>
      <c r="F29" s="5"/>
      <c r="G29" s="241"/>
      <c r="H29" s="100"/>
      <c r="I29" s="137"/>
      <c r="J29" s="71"/>
      <c r="K29" s="71"/>
      <c r="L29" s="71"/>
      <c r="M29" s="71"/>
      <c r="N29" s="71"/>
      <c r="O29" s="71"/>
    </row>
    <row r="30" spans="1:15" x14ac:dyDescent="0.15">
      <c r="B30" s="194" t="s">
        <v>229</v>
      </c>
      <c r="C30" s="219"/>
      <c r="D30" s="195">
        <f>SUM(D31:D42)</f>
        <v>38432.200000000004</v>
      </c>
      <c r="E30" s="195">
        <f>SUM(E31:E42)</f>
        <v>3202.6833333333334</v>
      </c>
      <c r="F30" s="170"/>
      <c r="G30" s="240"/>
      <c r="H30" s="100"/>
      <c r="I30" s="137"/>
      <c r="J30" s="71"/>
      <c r="K30" s="71"/>
      <c r="L30" s="71"/>
      <c r="M30" s="71"/>
      <c r="N30" s="71"/>
      <c r="O30" s="71"/>
    </row>
    <row r="31" spans="1:15" x14ac:dyDescent="0.15">
      <c r="A31">
        <v>8</v>
      </c>
      <c r="B31" s="48" t="s">
        <v>352</v>
      </c>
      <c r="D31" s="5">
        <f>Input!D33*12</f>
        <v>0</v>
      </c>
      <c r="E31" s="56">
        <f t="shared" ref="E31:E38" si="1">D31/12</f>
        <v>0</v>
      </c>
      <c r="F31" s="204"/>
      <c r="G31" s="204"/>
      <c r="H31" s="223" t="s">
        <v>347</v>
      </c>
      <c r="I31" s="229"/>
      <c r="K31" s="71" t="s">
        <v>347</v>
      </c>
      <c r="L31" s="71"/>
      <c r="M31" s="71"/>
      <c r="N31" s="71"/>
      <c r="O31" s="71"/>
    </row>
    <row r="32" spans="1:15" x14ac:dyDescent="0.15">
      <c r="A32">
        <v>9</v>
      </c>
      <c r="B32" s="48" t="s">
        <v>353</v>
      </c>
      <c r="D32" s="5">
        <f>Dialog!S8</f>
        <v>5764</v>
      </c>
      <c r="E32" s="56">
        <f t="shared" si="1"/>
        <v>480.33333333333331</v>
      </c>
      <c r="F32" s="204"/>
      <c r="G32" s="204"/>
      <c r="H32" s="100" t="s">
        <v>354</v>
      </c>
      <c r="I32" s="137"/>
      <c r="J32">
        <v>2020</v>
      </c>
      <c r="K32" s="70" t="s">
        <v>569</v>
      </c>
      <c r="L32" s="71"/>
      <c r="M32" s="71"/>
      <c r="N32" s="71"/>
      <c r="O32" s="71"/>
    </row>
    <row r="33" spans="1:15" x14ac:dyDescent="0.15">
      <c r="A33">
        <v>10</v>
      </c>
      <c r="B33" s="48" t="s">
        <v>94</v>
      </c>
      <c r="D33" s="5">
        <f>Dialog!R8</f>
        <v>3434</v>
      </c>
      <c r="E33" s="56">
        <f t="shared" si="1"/>
        <v>286.16666666666669</v>
      </c>
      <c r="F33" s="204"/>
      <c r="G33" s="204"/>
      <c r="H33" s="100" t="s">
        <v>354</v>
      </c>
      <c r="I33" s="137"/>
      <c r="J33">
        <v>2020</v>
      </c>
      <c r="K33" s="70" t="s">
        <v>569</v>
      </c>
      <c r="L33" s="71"/>
      <c r="M33" s="71"/>
      <c r="N33" s="71"/>
      <c r="O33" s="71"/>
    </row>
    <row r="34" spans="1:15" x14ac:dyDescent="0.15">
      <c r="A34">
        <v>11</v>
      </c>
      <c r="B34" s="48" t="s">
        <v>92</v>
      </c>
      <c r="D34" s="5">
        <f>IF(Input!D35&gt;=Input!F35,Modeller!E195,'Data-DS'!C185)</f>
        <v>4611.1000000000004</v>
      </c>
      <c r="E34" s="56">
        <f t="shared" si="1"/>
        <v>384.25833333333338</v>
      </c>
      <c r="F34" s="204"/>
      <c r="G34" s="204"/>
      <c r="H34" s="100" t="s">
        <v>350</v>
      </c>
      <c r="I34" s="212"/>
      <c r="K34" s="71" t="s">
        <v>474</v>
      </c>
      <c r="L34" s="71"/>
      <c r="M34" s="71"/>
      <c r="N34" s="71"/>
      <c r="O34" s="71"/>
    </row>
    <row r="35" spans="1:15" x14ac:dyDescent="0.15">
      <c r="A35">
        <v>12</v>
      </c>
      <c r="B35" s="48" t="s">
        <v>355</v>
      </c>
      <c r="C35" s="44"/>
      <c r="D35" s="220">
        <f>Input!D37</f>
        <v>0</v>
      </c>
      <c r="E35" s="56">
        <f t="shared" si="1"/>
        <v>0</v>
      </c>
      <c r="F35" s="204"/>
      <c r="G35" s="204"/>
      <c r="H35" s="223" t="s">
        <v>1139</v>
      </c>
      <c r="I35" s="137"/>
      <c r="K35" s="71" t="s">
        <v>356</v>
      </c>
      <c r="L35" s="71"/>
      <c r="M35" s="71"/>
      <c r="N35" s="71"/>
      <c r="O35" s="71"/>
    </row>
    <row r="36" spans="1:15" x14ac:dyDescent="0.15">
      <c r="A36">
        <v>13</v>
      </c>
      <c r="B36" s="48" t="s">
        <v>299</v>
      </c>
      <c r="C36" s="44" t="s">
        <v>616</v>
      </c>
      <c r="D36" s="220">
        <v>0</v>
      </c>
      <c r="E36" s="56">
        <f t="shared" si="1"/>
        <v>0</v>
      </c>
      <c r="F36" s="204"/>
      <c r="G36" s="204"/>
      <c r="H36" s="223" t="s">
        <v>347</v>
      </c>
      <c r="I36" s="137"/>
      <c r="K36" s="71" t="s">
        <v>347</v>
      </c>
      <c r="L36" s="71"/>
      <c r="M36" s="71"/>
      <c r="N36" s="71"/>
      <c r="O36" s="71"/>
    </row>
    <row r="37" spans="1:15" x14ac:dyDescent="0.15">
      <c r="A37">
        <v>14</v>
      </c>
      <c r="B37" s="48" t="s">
        <v>93</v>
      </c>
      <c r="C37" s="44" t="s">
        <v>616</v>
      </c>
      <c r="D37" s="220">
        <v>0</v>
      </c>
      <c r="E37" s="56">
        <f t="shared" si="1"/>
        <v>0</v>
      </c>
      <c r="F37" s="204"/>
      <c r="G37" s="204"/>
      <c r="H37" s="223" t="s">
        <v>347</v>
      </c>
      <c r="I37" s="137"/>
      <c r="K37" s="71" t="s">
        <v>347</v>
      </c>
      <c r="L37" s="71"/>
      <c r="M37" s="71"/>
      <c r="N37" s="71"/>
      <c r="O37" s="71"/>
    </row>
    <row r="38" spans="1:15" x14ac:dyDescent="0.15">
      <c r="A38">
        <v>15</v>
      </c>
      <c r="B38" s="48" t="s">
        <v>357</v>
      </c>
      <c r="C38" s="44" t="s">
        <v>616</v>
      </c>
      <c r="D38" s="220">
        <v>0</v>
      </c>
      <c r="E38" s="56">
        <f t="shared" si="1"/>
        <v>0</v>
      </c>
      <c r="F38" s="204"/>
      <c r="G38" s="204"/>
      <c r="H38" s="223" t="s">
        <v>347</v>
      </c>
      <c r="I38" s="137"/>
      <c r="K38" s="71" t="s">
        <v>347</v>
      </c>
      <c r="L38" s="71"/>
      <c r="M38" s="71"/>
      <c r="N38" s="71"/>
      <c r="O38" s="71"/>
    </row>
    <row r="39" spans="1:15" x14ac:dyDescent="0.15">
      <c r="A39">
        <v>16</v>
      </c>
      <c r="B39" s="48" t="s">
        <v>358</v>
      </c>
      <c r="D39" s="5">
        <f>IF((Input!D8+Input!D29)=0,0,IF(Input!D35&gt;=Input!F35,Modeller!E38,'Data-DS'!C186))</f>
        <v>12715</v>
      </c>
      <c r="E39" s="56">
        <f>D39/12</f>
        <v>1059.5833333333333</v>
      </c>
      <c r="F39" s="204"/>
      <c r="G39" s="204"/>
      <c r="H39" s="100" t="s">
        <v>350</v>
      </c>
      <c r="I39" s="239"/>
      <c r="K39" s="71" t="s">
        <v>405</v>
      </c>
      <c r="L39" s="131"/>
      <c r="M39" s="71"/>
      <c r="N39" s="71"/>
      <c r="O39" s="71"/>
    </row>
    <row r="40" spans="1:15" x14ac:dyDescent="0.15">
      <c r="A40">
        <v>17</v>
      </c>
      <c r="B40" s="48" t="s">
        <v>91</v>
      </c>
      <c r="C40" s="44" t="s">
        <v>616</v>
      </c>
      <c r="D40" s="220">
        <v>0</v>
      </c>
      <c r="E40" s="56">
        <f>D40/12</f>
        <v>0</v>
      </c>
      <c r="F40" s="204"/>
      <c r="G40" s="204"/>
      <c r="H40" s="223" t="s">
        <v>347</v>
      </c>
      <c r="I40" s="137"/>
      <c r="K40" s="71" t="s">
        <v>347</v>
      </c>
      <c r="L40" s="71"/>
      <c r="M40" s="71"/>
      <c r="N40" s="71"/>
      <c r="O40" s="71"/>
    </row>
    <row r="41" spans="1:15" x14ac:dyDescent="0.15">
      <c r="A41">
        <v>18</v>
      </c>
      <c r="B41" s="48" t="s">
        <v>359</v>
      </c>
      <c r="D41" s="5">
        <f>IF((Input!D8+Input!D29)=0,0,IF(Input!D35&gt;=Input!F35,Modeller!E95,'Data-DS'!C187))</f>
        <v>7365.3</v>
      </c>
      <c r="E41" s="56">
        <f>D41/12</f>
        <v>613.77499999999998</v>
      </c>
      <c r="F41" s="204"/>
      <c r="G41" s="204"/>
      <c r="H41" s="100" t="s">
        <v>350</v>
      </c>
      <c r="I41" s="137"/>
      <c r="K41" s="71" t="s">
        <v>406</v>
      </c>
      <c r="L41" s="71"/>
      <c r="M41" s="71"/>
      <c r="N41" s="71"/>
      <c r="O41" s="71"/>
    </row>
    <row r="42" spans="1:15" x14ac:dyDescent="0.15">
      <c r="A42">
        <v>19</v>
      </c>
      <c r="B42" s="48" t="s">
        <v>313</v>
      </c>
      <c r="D42" s="5">
        <f>IF((Input!D8+Input!D29)=0,0,IF(Input!D35&gt;=Input!F35,Modeller!E115,'Data-DS'!C188))</f>
        <v>4542.8</v>
      </c>
      <c r="E42" s="56">
        <f>D42/12</f>
        <v>378.56666666666666</v>
      </c>
      <c r="F42" s="204"/>
      <c r="G42" s="204"/>
      <c r="H42" s="100" t="s">
        <v>350</v>
      </c>
      <c r="I42" s="137"/>
      <c r="K42" s="71" t="s">
        <v>407</v>
      </c>
      <c r="L42" s="71"/>
      <c r="M42" s="71"/>
      <c r="N42" s="71"/>
      <c r="O42" s="71"/>
    </row>
    <row r="43" spans="1:15" x14ac:dyDescent="0.15">
      <c r="B43" s="48"/>
      <c r="D43" s="5"/>
      <c r="E43" s="5"/>
      <c r="F43" s="5"/>
      <c r="G43" s="241"/>
      <c r="H43" s="100"/>
      <c r="I43" s="137"/>
      <c r="K43" s="71"/>
      <c r="L43" s="71"/>
      <c r="M43" s="71"/>
      <c r="N43" s="71"/>
      <c r="O43" s="71"/>
    </row>
    <row r="44" spans="1:15" x14ac:dyDescent="0.15">
      <c r="B44" s="194" t="s">
        <v>348</v>
      </c>
      <c r="C44" s="219"/>
      <c r="D44" s="195">
        <f>SUM(D45:D60)</f>
        <v>79490.656222642312</v>
      </c>
      <c r="E44" s="195">
        <f>SUM(E45:E60)</f>
        <v>6624.2213518868593</v>
      </c>
      <c r="F44" s="170"/>
      <c r="G44" s="240"/>
      <c r="H44" s="100"/>
      <c r="I44" s="137"/>
      <c r="K44" s="71"/>
      <c r="L44" s="71"/>
      <c r="M44" s="71"/>
      <c r="N44" s="71"/>
      <c r="O44" s="71"/>
    </row>
    <row r="45" spans="1:15" x14ac:dyDescent="0.15">
      <c r="A45">
        <v>20</v>
      </c>
      <c r="B45" s="48" t="s">
        <v>360</v>
      </c>
      <c r="C45" s="44" t="s">
        <v>616</v>
      </c>
      <c r="D45" s="220">
        <v>0</v>
      </c>
      <c r="E45" s="5">
        <f>D45/12</f>
        <v>0</v>
      </c>
      <c r="F45" s="204"/>
      <c r="G45" s="204"/>
      <c r="H45" s="223" t="s">
        <v>347</v>
      </c>
      <c r="I45" s="137"/>
      <c r="K45" s="71" t="s">
        <v>361</v>
      </c>
      <c r="L45" s="71"/>
      <c r="M45" s="71"/>
      <c r="N45" s="71"/>
      <c r="O45" s="71"/>
    </row>
    <row r="46" spans="1:15" x14ac:dyDescent="0.15">
      <c r="A46">
        <v>21</v>
      </c>
      <c r="B46" s="48" t="s">
        <v>362</v>
      </c>
      <c r="D46" s="5">
        <f>Dialog!T8*12</f>
        <v>41868</v>
      </c>
      <c r="E46" s="5">
        <f>D46/12</f>
        <v>3489</v>
      </c>
      <c r="F46" s="204"/>
      <c r="G46" s="204"/>
      <c r="H46" s="100" t="s">
        <v>350</v>
      </c>
      <c r="I46" s="137"/>
      <c r="J46">
        <v>2020</v>
      </c>
      <c r="K46" s="70" t="s">
        <v>8</v>
      </c>
      <c r="L46" s="71" t="s">
        <v>491</v>
      </c>
      <c r="M46" s="71"/>
      <c r="N46" s="71"/>
      <c r="O46" s="71"/>
    </row>
    <row r="47" spans="1:15" x14ac:dyDescent="0.15">
      <c r="A47">
        <v>22</v>
      </c>
      <c r="B47" s="48" t="s">
        <v>173</v>
      </c>
      <c r="D47" s="5">
        <f>Dialog!U8*12</f>
        <v>0</v>
      </c>
      <c r="E47" s="5">
        <f>D47/12</f>
        <v>0</v>
      </c>
      <c r="F47" s="204"/>
      <c r="G47" s="204"/>
      <c r="H47" s="100" t="s">
        <v>350</v>
      </c>
      <c r="I47" s="137"/>
      <c r="J47">
        <v>2020</v>
      </c>
      <c r="K47" s="70" t="s">
        <v>8</v>
      </c>
      <c r="L47" s="71" t="s">
        <v>491</v>
      </c>
      <c r="M47" s="71"/>
      <c r="N47" s="71"/>
      <c r="O47" s="71"/>
    </row>
    <row r="48" spans="1:15" x14ac:dyDescent="0.15">
      <c r="A48">
        <v>23</v>
      </c>
      <c r="B48" s="48" t="s">
        <v>174</v>
      </c>
      <c r="D48" s="5">
        <f>Dialog!V8*12</f>
        <v>0</v>
      </c>
      <c r="E48" s="5">
        <f>D48/12</f>
        <v>0</v>
      </c>
      <c r="F48" s="204"/>
      <c r="G48" s="204"/>
      <c r="H48" s="100" t="s">
        <v>350</v>
      </c>
      <c r="I48" s="137"/>
      <c r="J48">
        <v>2020</v>
      </c>
      <c r="K48" s="70" t="s">
        <v>8</v>
      </c>
      <c r="L48" s="71" t="s">
        <v>491</v>
      </c>
      <c r="M48" s="71"/>
      <c r="N48" s="71"/>
      <c r="O48" s="71"/>
    </row>
    <row r="49" spans="1:15" x14ac:dyDescent="0.15">
      <c r="A49">
        <v>24</v>
      </c>
      <c r="B49" s="48" t="s">
        <v>95</v>
      </c>
      <c r="C49" s="44" t="s">
        <v>616</v>
      </c>
      <c r="D49" s="220">
        <v>0</v>
      </c>
      <c r="E49" s="5">
        <f t="shared" ref="E49:E60" si="2">D49/12</f>
        <v>0</v>
      </c>
      <c r="F49" s="204"/>
      <c r="G49" s="204"/>
      <c r="H49" s="100" t="s">
        <v>354</v>
      </c>
      <c r="I49" s="137"/>
      <c r="K49" s="71" t="s">
        <v>347</v>
      </c>
      <c r="L49" s="71"/>
      <c r="M49" s="71"/>
      <c r="N49" s="71"/>
      <c r="O49" s="71"/>
    </row>
    <row r="50" spans="1:15" x14ac:dyDescent="0.15">
      <c r="A50">
        <v>25</v>
      </c>
      <c r="B50" s="48" t="s">
        <v>96</v>
      </c>
      <c r="C50" s="44" t="s">
        <v>616</v>
      </c>
      <c r="D50" s="220">
        <v>0</v>
      </c>
      <c r="E50" s="5">
        <f t="shared" si="2"/>
        <v>0</v>
      </c>
      <c r="F50" s="204"/>
      <c r="G50" s="204"/>
      <c r="H50" s="223" t="s">
        <v>347</v>
      </c>
      <c r="I50" s="137"/>
      <c r="K50" s="71" t="s">
        <v>347</v>
      </c>
      <c r="L50" s="71"/>
      <c r="M50" s="71"/>
      <c r="N50" s="71"/>
      <c r="O50" s="71"/>
    </row>
    <row r="51" spans="1:15" x14ac:dyDescent="0.15">
      <c r="A51">
        <v>26</v>
      </c>
      <c r="B51" s="48" t="s">
        <v>256</v>
      </c>
      <c r="C51" s="44" t="s">
        <v>616</v>
      </c>
      <c r="D51" s="220">
        <v>0</v>
      </c>
      <c r="E51" s="5">
        <f t="shared" si="2"/>
        <v>0</v>
      </c>
      <c r="F51" s="204"/>
      <c r="G51" s="204"/>
      <c r="H51" s="223" t="s">
        <v>347</v>
      </c>
      <c r="I51" s="137"/>
      <c r="K51" s="71" t="s">
        <v>347</v>
      </c>
      <c r="L51" s="71"/>
      <c r="M51" s="71"/>
      <c r="N51" s="71"/>
      <c r="O51" s="71"/>
    </row>
    <row r="52" spans="1:15" x14ac:dyDescent="0.15">
      <c r="A52">
        <v>27</v>
      </c>
      <c r="B52" s="48" t="s">
        <v>257</v>
      </c>
      <c r="D52" s="5">
        <f>Data!E14*Input!D8</f>
        <v>3040</v>
      </c>
      <c r="E52" s="5">
        <f t="shared" si="2"/>
        <v>253.33333333333334</v>
      </c>
      <c r="F52" s="204"/>
      <c r="G52" s="204"/>
      <c r="H52" s="100" t="s">
        <v>350</v>
      </c>
      <c r="I52" s="137"/>
      <c r="J52">
        <v>2020</v>
      </c>
      <c r="K52" s="70" t="s">
        <v>298</v>
      </c>
      <c r="L52" s="71"/>
      <c r="M52" s="71"/>
      <c r="N52" s="71"/>
      <c r="O52" s="71"/>
    </row>
    <row r="53" spans="1:15" x14ac:dyDescent="0.15">
      <c r="A53">
        <v>28</v>
      </c>
      <c r="B53" s="48" t="s">
        <v>227</v>
      </c>
      <c r="D53" s="5">
        <f>Data!E18*Input!D8</f>
        <v>11829</v>
      </c>
      <c r="E53" s="5">
        <f t="shared" si="2"/>
        <v>985.75</v>
      </c>
      <c r="F53" s="204"/>
      <c r="G53" s="204"/>
      <c r="H53" s="100" t="s">
        <v>350</v>
      </c>
      <c r="I53" s="137"/>
      <c r="J53">
        <v>2020</v>
      </c>
      <c r="K53" s="70" t="s">
        <v>10</v>
      </c>
      <c r="L53" s="71"/>
      <c r="M53" s="71"/>
      <c r="N53" s="71"/>
      <c r="O53" s="71"/>
    </row>
    <row r="54" spans="1:15" x14ac:dyDescent="0.15">
      <c r="A54">
        <v>29</v>
      </c>
      <c r="B54" s="48" t="s">
        <v>97</v>
      </c>
      <c r="D54" s="5">
        <f>Data!E19*Input!D8</f>
        <v>7250.5</v>
      </c>
      <c r="E54" s="5">
        <f t="shared" si="2"/>
        <v>604.20833333333337</v>
      </c>
      <c r="F54" s="204"/>
      <c r="G54" s="204"/>
      <c r="H54" s="100" t="s">
        <v>350</v>
      </c>
      <c r="I54" s="137"/>
      <c r="J54">
        <v>2020</v>
      </c>
      <c r="K54" s="70" t="s">
        <v>11</v>
      </c>
      <c r="L54" s="71"/>
      <c r="M54" s="71"/>
      <c r="N54" s="71"/>
      <c r="O54" s="71"/>
    </row>
    <row r="55" spans="1:15" x14ac:dyDescent="0.15">
      <c r="A55">
        <v>30</v>
      </c>
      <c r="B55" s="48" t="s">
        <v>258</v>
      </c>
      <c r="D55" s="5">
        <f>'Data-DS'!E168</f>
        <v>2500</v>
      </c>
      <c r="E55" s="5">
        <f t="shared" si="2"/>
        <v>208.33333333333334</v>
      </c>
      <c r="F55" s="204"/>
      <c r="G55" s="204"/>
      <c r="H55" s="100" t="s">
        <v>350</v>
      </c>
      <c r="I55" s="137"/>
      <c r="J55">
        <v>2020</v>
      </c>
      <c r="K55" s="70" t="s">
        <v>457</v>
      </c>
      <c r="L55" s="71"/>
      <c r="M55" s="71"/>
      <c r="N55" s="71"/>
      <c r="O55" s="71"/>
    </row>
    <row r="56" spans="1:15" x14ac:dyDescent="0.15">
      <c r="A56">
        <v>31</v>
      </c>
      <c r="B56" s="129" t="s">
        <v>24</v>
      </c>
      <c r="C56" s="12"/>
      <c r="D56" s="5">
        <f>'Data-DS'!E102</f>
        <v>2070.2848674585439</v>
      </c>
      <c r="E56" s="5">
        <f t="shared" si="2"/>
        <v>172.52373895487867</v>
      </c>
      <c r="F56" s="204"/>
      <c r="G56" s="204"/>
      <c r="H56" s="100" t="s">
        <v>350</v>
      </c>
      <c r="I56" s="212"/>
      <c r="J56">
        <v>2020</v>
      </c>
      <c r="K56" s="70" t="s">
        <v>457</v>
      </c>
      <c r="L56" s="71"/>
      <c r="M56" s="71"/>
      <c r="N56" s="71"/>
      <c r="O56" s="71"/>
    </row>
    <row r="57" spans="1:15" x14ac:dyDescent="0.15">
      <c r="A57">
        <v>32</v>
      </c>
      <c r="B57" s="48" t="s">
        <v>1122</v>
      </c>
      <c r="D57" s="5">
        <f>IF(Input!D8=0,0,Data!E17)</f>
        <v>1353</v>
      </c>
      <c r="E57" s="5">
        <f t="shared" si="2"/>
        <v>112.75</v>
      </c>
      <c r="F57" s="204"/>
      <c r="G57" s="204"/>
      <c r="H57" s="100" t="s">
        <v>350</v>
      </c>
      <c r="I57" s="137"/>
      <c r="J57">
        <v>2020</v>
      </c>
      <c r="K57" s="70" t="s">
        <v>9</v>
      </c>
      <c r="L57" s="71"/>
      <c r="M57" s="71"/>
      <c r="N57" s="71"/>
      <c r="O57" s="71"/>
    </row>
    <row r="58" spans="1:15" x14ac:dyDescent="0.15">
      <c r="A58">
        <v>33</v>
      </c>
      <c r="B58" s="48" t="s">
        <v>259</v>
      </c>
      <c r="C58" s="44"/>
      <c r="D58" s="220">
        <f>IF(Input!D8=0,0,'Data-DS'!E124)</f>
        <v>4083.3333333333335</v>
      </c>
      <c r="E58" s="5">
        <f t="shared" si="2"/>
        <v>340.27777777777777</v>
      </c>
      <c r="F58" s="204"/>
      <c r="G58" s="204"/>
      <c r="H58" s="223" t="s">
        <v>347</v>
      </c>
      <c r="I58" s="137"/>
      <c r="K58" s="71" t="s">
        <v>347</v>
      </c>
      <c r="L58" s="71"/>
      <c r="M58" s="71"/>
      <c r="N58" s="71"/>
      <c r="O58" s="71"/>
    </row>
    <row r="59" spans="1:15" x14ac:dyDescent="0.15">
      <c r="A59">
        <v>34</v>
      </c>
      <c r="B59" s="48" t="s">
        <v>1123</v>
      </c>
      <c r="C59" s="12"/>
      <c r="D59" s="5">
        <f>'Data-DS'!E113</f>
        <v>5496.5380218504451</v>
      </c>
      <c r="E59" s="5">
        <f t="shared" si="2"/>
        <v>458.04483515420378</v>
      </c>
      <c r="F59" s="204"/>
      <c r="G59" s="204"/>
      <c r="H59" s="100" t="s">
        <v>350</v>
      </c>
      <c r="I59" s="212"/>
      <c r="J59">
        <v>2020</v>
      </c>
      <c r="K59" s="70" t="s">
        <v>457</v>
      </c>
      <c r="L59" s="71"/>
      <c r="M59" s="71"/>
      <c r="N59" s="71"/>
      <c r="O59" s="71"/>
    </row>
    <row r="60" spans="1:15" x14ac:dyDescent="0.15">
      <c r="A60">
        <v>35</v>
      </c>
      <c r="B60" s="48" t="s">
        <v>242</v>
      </c>
      <c r="C60" s="44" t="s">
        <v>616</v>
      </c>
      <c r="D60" s="220">
        <v>0</v>
      </c>
      <c r="E60" s="5">
        <f t="shared" si="2"/>
        <v>0</v>
      </c>
      <c r="F60" s="204"/>
      <c r="G60" s="204"/>
      <c r="H60" s="223" t="s">
        <v>347</v>
      </c>
      <c r="I60" s="137"/>
      <c r="K60" s="71" t="s">
        <v>347</v>
      </c>
      <c r="L60" s="71" t="s">
        <v>408</v>
      </c>
      <c r="M60" s="71"/>
      <c r="N60" s="71"/>
      <c r="O60" s="71"/>
    </row>
    <row r="61" spans="1:15" x14ac:dyDescent="0.15">
      <c r="B61" s="48"/>
      <c r="D61" s="5"/>
      <c r="E61" s="5"/>
      <c r="F61" s="5"/>
      <c r="G61" s="241"/>
      <c r="H61" s="100"/>
      <c r="I61" s="137"/>
      <c r="K61" s="71"/>
      <c r="L61" s="71"/>
      <c r="M61" s="71"/>
      <c r="N61" s="71"/>
      <c r="O61" s="71"/>
    </row>
    <row r="62" spans="1:15" x14ac:dyDescent="0.15">
      <c r="B62" s="194" t="s">
        <v>230</v>
      </c>
      <c r="C62" s="219"/>
      <c r="D62" s="195">
        <f>SUM(D63:D72)</f>
        <v>4429.526393278652</v>
      </c>
      <c r="E62" s="195">
        <f>SUM(E63:E72)</f>
        <v>369.12719943988765</v>
      </c>
      <c r="F62" s="170"/>
      <c r="G62" s="240"/>
      <c r="H62" s="100"/>
      <c r="I62" s="137"/>
      <c r="K62" s="71"/>
      <c r="L62" s="71"/>
      <c r="M62" s="71"/>
      <c r="N62" s="71"/>
      <c r="O62" s="71"/>
    </row>
    <row r="63" spans="1:15" x14ac:dyDescent="0.15">
      <c r="A63">
        <v>36</v>
      </c>
      <c r="B63" s="48" t="s">
        <v>736</v>
      </c>
      <c r="C63" s="12"/>
      <c r="D63" s="5">
        <f>Data!J47</f>
        <v>0</v>
      </c>
      <c r="E63" s="5">
        <f t="shared" ref="E63:E66" si="3">D63/12</f>
        <v>0</v>
      </c>
      <c r="F63" s="204"/>
      <c r="G63" s="204"/>
      <c r="H63" s="100" t="s">
        <v>354</v>
      </c>
      <c r="I63" s="137"/>
      <c r="K63" s="71" t="s">
        <v>260</v>
      </c>
      <c r="L63" s="71"/>
      <c r="M63" s="71"/>
      <c r="N63" s="71"/>
      <c r="O63" s="71"/>
    </row>
    <row r="64" spans="1:15" x14ac:dyDescent="0.15">
      <c r="A64">
        <v>37</v>
      </c>
      <c r="B64" s="129" t="s">
        <v>714</v>
      </c>
      <c r="C64" s="12"/>
      <c r="D64" s="5">
        <f>IF(Input!D8=0,0,Data!J39)</f>
        <v>0</v>
      </c>
      <c r="E64" s="5">
        <f t="shared" si="3"/>
        <v>0</v>
      </c>
      <c r="F64" s="204"/>
      <c r="G64" s="204"/>
      <c r="H64" s="100" t="s">
        <v>350</v>
      </c>
      <c r="I64" s="137"/>
      <c r="J64">
        <v>2020</v>
      </c>
      <c r="K64" s="70" t="s">
        <v>704</v>
      </c>
      <c r="L64" s="71" t="s">
        <v>479</v>
      </c>
      <c r="M64" s="71"/>
      <c r="N64" s="71"/>
      <c r="O64" s="71"/>
    </row>
    <row r="65" spans="1:15" x14ac:dyDescent="0.15">
      <c r="A65">
        <v>38</v>
      </c>
      <c r="B65" s="48" t="s">
        <v>171</v>
      </c>
      <c r="D65" s="5">
        <f>IF(OR(Input!D8=0,Data!K41=0),0,Data!E15)</f>
        <v>0</v>
      </c>
      <c r="E65" s="5">
        <f t="shared" si="3"/>
        <v>0</v>
      </c>
      <c r="F65" s="204"/>
      <c r="G65" s="204"/>
      <c r="H65" s="100" t="s">
        <v>350</v>
      </c>
      <c r="I65" s="137"/>
      <c r="J65">
        <v>2020</v>
      </c>
      <c r="K65" s="70" t="s">
        <v>171</v>
      </c>
      <c r="L65" s="71"/>
      <c r="M65" s="71"/>
      <c r="N65" s="71"/>
      <c r="O65" s="71"/>
    </row>
    <row r="66" spans="1:15" x14ac:dyDescent="0.15">
      <c r="A66">
        <v>39</v>
      </c>
      <c r="B66" s="48" t="s">
        <v>98</v>
      </c>
      <c r="D66" s="5">
        <f>IF(OR(Input!D8=0,Data!K41=0),0,Data!E16)</f>
        <v>0</v>
      </c>
      <c r="E66" s="5">
        <f t="shared" si="3"/>
        <v>0</v>
      </c>
      <c r="F66" s="204"/>
      <c r="G66" s="204"/>
      <c r="H66" s="100" t="s">
        <v>350</v>
      </c>
      <c r="I66" s="137"/>
      <c r="J66">
        <v>2020</v>
      </c>
      <c r="K66" s="71" t="s">
        <v>261</v>
      </c>
      <c r="L66" s="71"/>
      <c r="M66" s="71"/>
      <c r="N66" s="71"/>
      <c r="O66" s="71"/>
    </row>
    <row r="67" spans="1:15" x14ac:dyDescent="0.15">
      <c r="A67">
        <v>40</v>
      </c>
      <c r="B67" s="48" t="s">
        <v>262</v>
      </c>
      <c r="D67" s="5">
        <f>IF(Input!D8=0,0,Input!D44*12)</f>
        <v>0</v>
      </c>
      <c r="E67" s="5">
        <f t="shared" ref="E67:E72" si="4">D67/12</f>
        <v>0</v>
      </c>
      <c r="F67" s="204"/>
      <c r="G67" s="204"/>
      <c r="H67" s="223" t="s">
        <v>347</v>
      </c>
      <c r="I67" s="137"/>
      <c r="J67" s="87"/>
      <c r="K67" s="71" t="s">
        <v>347</v>
      </c>
      <c r="L67" s="71"/>
      <c r="M67" s="71"/>
      <c r="N67" s="71"/>
      <c r="O67" s="71"/>
    </row>
    <row r="68" spans="1:15" x14ac:dyDescent="0.15">
      <c r="A68">
        <v>41</v>
      </c>
      <c r="B68" s="48" t="s">
        <v>263</v>
      </c>
      <c r="D68" s="5">
        <f>IF(Input!D8=0,0,Input!D45*12)</f>
        <v>0</v>
      </c>
      <c r="E68" s="5">
        <f t="shared" si="4"/>
        <v>0</v>
      </c>
      <c r="F68" s="204"/>
      <c r="G68" s="204"/>
      <c r="H68" s="223" t="s">
        <v>347</v>
      </c>
      <c r="I68" s="137"/>
      <c r="K68" s="71" t="s">
        <v>347</v>
      </c>
      <c r="L68" s="71"/>
      <c r="M68" s="71"/>
      <c r="N68" s="71"/>
      <c r="O68" s="71"/>
    </row>
    <row r="69" spans="1:15" x14ac:dyDescent="0.15">
      <c r="A69">
        <v>42</v>
      </c>
      <c r="B69" s="48" t="s">
        <v>182</v>
      </c>
      <c r="C69" s="44" t="s">
        <v>616</v>
      </c>
      <c r="D69" s="220">
        <v>0</v>
      </c>
      <c r="E69" s="5">
        <f t="shared" si="4"/>
        <v>0</v>
      </c>
      <c r="F69" s="204"/>
      <c r="G69" s="204"/>
      <c r="H69" s="223" t="s">
        <v>347</v>
      </c>
      <c r="I69" s="137"/>
      <c r="K69" s="71" t="s">
        <v>347</v>
      </c>
      <c r="L69" s="71"/>
      <c r="M69" s="71"/>
      <c r="N69" s="71"/>
      <c r="O69" s="71"/>
    </row>
    <row r="70" spans="1:15" x14ac:dyDescent="0.15">
      <c r="A70">
        <v>43</v>
      </c>
      <c r="B70" s="48" t="s">
        <v>184</v>
      </c>
      <c r="C70" s="44" t="s">
        <v>616</v>
      </c>
      <c r="D70" s="220">
        <v>0</v>
      </c>
      <c r="E70" s="5">
        <f t="shared" si="4"/>
        <v>0</v>
      </c>
      <c r="F70" s="204"/>
      <c r="G70" s="204"/>
      <c r="H70" s="223" t="s">
        <v>347</v>
      </c>
      <c r="I70" s="137"/>
      <c r="K70" s="71" t="s">
        <v>347</v>
      </c>
      <c r="L70" s="71"/>
      <c r="M70" s="71"/>
      <c r="N70" s="71"/>
      <c r="O70" s="71"/>
    </row>
    <row r="71" spans="1:15" x14ac:dyDescent="0.15">
      <c r="A71">
        <v>44</v>
      </c>
      <c r="B71" s="48" t="s">
        <v>264</v>
      </c>
      <c r="C71" s="12"/>
      <c r="D71" s="5">
        <f>IF(Data!K41&gt;=1,'Data-DS'!E157,0)</f>
        <v>0</v>
      </c>
      <c r="E71" s="5">
        <f t="shared" si="4"/>
        <v>0</v>
      </c>
      <c r="F71" s="204"/>
      <c r="G71" s="204"/>
      <c r="H71" s="223" t="s">
        <v>350</v>
      </c>
      <c r="I71" s="137"/>
      <c r="K71" s="70" t="s">
        <v>703</v>
      </c>
      <c r="L71" s="71"/>
      <c r="M71" s="71"/>
      <c r="N71" s="71"/>
      <c r="O71" s="71"/>
    </row>
    <row r="72" spans="1:15" ht="14" thickBot="1" x14ac:dyDescent="0.2">
      <c r="A72">
        <v>45</v>
      </c>
      <c r="B72" s="49" t="s">
        <v>265</v>
      </c>
      <c r="C72" s="13"/>
      <c r="D72" s="66">
        <f>'Data-DS'!E146</f>
        <v>4429.526393278652</v>
      </c>
      <c r="E72" s="66">
        <f t="shared" si="4"/>
        <v>369.12719943988765</v>
      </c>
      <c r="F72" s="214"/>
      <c r="G72" s="242"/>
      <c r="H72" s="213" t="s">
        <v>350</v>
      </c>
      <c r="I72" s="216"/>
      <c r="J72">
        <v>2020</v>
      </c>
      <c r="K72" s="70" t="s">
        <v>705</v>
      </c>
      <c r="L72" s="71"/>
      <c r="M72" s="71"/>
      <c r="N72" s="71"/>
      <c r="O72" s="71"/>
    </row>
    <row r="74" spans="1:15" x14ac:dyDescent="0.15">
      <c r="D74" s="230" t="s">
        <v>710</v>
      </c>
      <c r="E74" s="235"/>
      <c r="F74" s="231"/>
      <c r="G74" s="206"/>
    </row>
    <row r="75" spans="1:15" x14ac:dyDescent="0.15">
      <c r="D75" s="232" t="s">
        <v>711</v>
      </c>
      <c r="E75" s="236"/>
      <c r="F75" s="233"/>
      <c r="G75" s="234"/>
    </row>
    <row r="76" spans="1:15" x14ac:dyDescent="0.15">
      <c r="B76" s="5"/>
      <c r="C76" s="5"/>
      <c r="D76" s="12"/>
    </row>
    <row r="77" spans="1:15" x14ac:dyDescent="0.15">
      <c r="B77" s="87"/>
      <c r="C77" s="87"/>
      <c r="D77" s="1"/>
    </row>
    <row r="78" spans="1:15" x14ac:dyDescent="0.15">
      <c r="B78" s="5"/>
      <c r="C78" s="5"/>
      <c r="D78" s="12"/>
      <c r="E78" s="12"/>
      <c r="F78" s="237"/>
    </row>
    <row r="79" spans="1:15" x14ac:dyDescent="0.15">
      <c r="D79" s="12"/>
      <c r="E79" s="12"/>
      <c r="F79" s="237"/>
    </row>
    <row r="80" spans="1:15" x14ac:dyDescent="0.15">
      <c r="D80" s="12"/>
      <c r="E80" s="12"/>
      <c r="F80" s="237"/>
    </row>
    <row r="81" spans="4:6" x14ac:dyDescent="0.15">
      <c r="D81" s="12"/>
      <c r="E81" s="12"/>
      <c r="F81" s="237"/>
    </row>
    <row r="82" spans="4:6" x14ac:dyDescent="0.15">
      <c r="D82" s="12"/>
      <c r="F82" s="237"/>
    </row>
    <row r="83" spans="4:6" x14ac:dyDescent="0.15">
      <c r="D83" s="12"/>
      <c r="F83" s="237"/>
    </row>
    <row r="84" spans="4:6" x14ac:dyDescent="0.15">
      <c r="D84" s="12"/>
    </row>
    <row r="85" spans="4:6" x14ac:dyDescent="0.15">
      <c r="D85" s="12"/>
      <c r="F85" s="237"/>
    </row>
    <row r="87" spans="4:6" x14ac:dyDescent="0.15">
      <c r="D87" s="1"/>
    </row>
    <row r="88" spans="4:6" x14ac:dyDescent="0.15">
      <c r="F88" s="237"/>
    </row>
    <row r="89" spans="4:6" x14ac:dyDescent="0.15">
      <c r="D89" s="12"/>
      <c r="F89" s="237"/>
    </row>
    <row r="90" spans="4:6" x14ac:dyDescent="0.15">
      <c r="F90" s="237"/>
    </row>
    <row r="91" spans="4:6" x14ac:dyDescent="0.15">
      <c r="F91" s="237"/>
    </row>
    <row r="92" spans="4:6" x14ac:dyDescent="0.15">
      <c r="F92" s="237"/>
    </row>
    <row r="93" spans="4:6" x14ac:dyDescent="0.15">
      <c r="F93" s="237"/>
    </row>
    <row r="94" spans="4:6" x14ac:dyDescent="0.15">
      <c r="F94" s="237"/>
    </row>
    <row r="95" spans="4:6" x14ac:dyDescent="0.15">
      <c r="D95" s="12"/>
      <c r="F95" s="237"/>
    </row>
    <row r="96" spans="4:6" x14ac:dyDescent="0.15">
      <c r="F96" s="237"/>
    </row>
    <row r="97" spans="4:6" x14ac:dyDescent="0.15">
      <c r="D97" s="12"/>
      <c r="F97" s="237"/>
    </row>
    <row r="99" spans="4:6" x14ac:dyDescent="0.15">
      <c r="D99" s="238"/>
    </row>
  </sheetData>
  <sheetProtection sheet="1" objects="1" scenarios="1"/>
  <phoneticPr fontId="12" type="noConversion"/>
  <pageMargins left="0.75" right="0.75" top="1" bottom="1" header="0" footer="0"/>
  <pageSetup paperSize="9" orientation="portrait"/>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O196"/>
  <sheetViews>
    <sheetView topLeftCell="A50" zoomScale="140" zoomScaleNormal="140" zoomScalePageLayoutView="125" workbookViewId="0">
      <pane xSplit="3" topLeftCell="D1" activePane="topRight" state="frozen"/>
      <selection pane="topRight" activeCell="A3" sqref="A3"/>
    </sheetView>
  </sheetViews>
  <sheetFormatPr baseColWidth="10" defaultColWidth="8.83203125" defaultRowHeight="13" x14ac:dyDescent="0.15"/>
  <cols>
    <col min="1" max="1" width="21.5" customWidth="1"/>
    <col min="2" max="2" width="7" customWidth="1"/>
    <col min="3" max="3" width="7.5" customWidth="1"/>
    <col min="4" max="4" width="25.5" customWidth="1"/>
    <col min="5" max="5" width="15" customWidth="1"/>
    <col min="6" max="6" width="10.5" customWidth="1"/>
    <col min="7" max="7" width="13" customWidth="1"/>
    <col min="8" max="8" width="15.83203125" customWidth="1"/>
    <col min="9" max="9" width="16.6640625" customWidth="1"/>
    <col min="10" max="10" width="11.83203125" customWidth="1"/>
    <col min="11" max="11" width="12" customWidth="1"/>
    <col min="12" max="12" width="11.1640625" customWidth="1"/>
    <col min="13" max="13" width="8.5" customWidth="1"/>
    <col min="14" max="14" width="12.1640625" customWidth="1"/>
    <col min="16" max="16" width="11.33203125" customWidth="1"/>
    <col min="22" max="22" width="14" customWidth="1"/>
    <col min="23" max="23" width="14.83203125" customWidth="1"/>
    <col min="32" max="32" width="17.83203125" customWidth="1"/>
    <col min="33" max="33" width="2.1640625" customWidth="1"/>
    <col min="34" max="34" width="21.33203125" customWidth="1"/>
    <col min="38" max="38" width="21.6640625" customWidth="1"/>
  </cols>
  <sheetData>
    <row r="1" spans="1:41" x14ac:dyDescent="0.15">
      <c r="A1" s="58" t="s">
        <v>535</v>
      </c>
      <c r="B1" s="58" t="s">
        <v>536</v>
      </c>
      <c r="C1" s="58" t="s">
        <v>537</v>
      </c>
      <c r="D1" s="58" t="s">
        <v>395</v>
      </c>
      <c r="E1" s="57"/>
      <c r="F1" s="57"/>
      <c r="G1" s="57"/>
      <c r="H1" s="57"/>
      <c r="I1" s="57"/>
      <c r="J1" s="148" t="s">
        <v>561</v>
      </c>
      <c r="K1" s="148"/>
      <c r="L1" s="148"/>
      <c r="M1" s="148"/>
      <c r="U1" s="3"/>
      <c r="V1" s="3"/>
      <c r="W1" s="3"/>
      <c r="X1" s="3"/>
      <c r="Y1" s="3"/>
      <c r="Z1" s="3"/>
      <c r="AA1" s="3"/>
      <c r="AB1" s="3"/>
      <c r="AC1" s="3"/>
      <c r="AD1" s="3"/>
      <c r="AI1" s="139" t="s">
        <v>547</v>
      </c>
      <c r="AJ1" s="139" t="s">
        <v>548</v>
      </c>
    </row>
    <row r="2" spans="1:41" x14ac:dyDescent="0.15">
      <c r="A2" s="139" t="s">
        <v>538</v>
      </c>
      <c r="B2">
        <v>1</v>
      </c>
      <c r="C2">
        <v>1</v>
      </c>
      <c r="D2" s="17" t="s">
        <v>544</v>
      </c>
      <c r="E2" s="4"/>
      <c r="F2" s="18"/>
      <c r="G2" s="296" t="s">
        <v>199</v>
      </c>
      <c r="H2" s="296"/>
      <c r="I2" s="296"/>
      <c r="J2" s="53" t="s">
        <v>266</v>
      </c>
      <c r="K2" s="3">
        <v>1</v>
      </c>
      <c r="L2" s="53" t="s">
        <v>267</v>
      </c>
      <c r="M2" s="23">
        <v>1.5</v>
      </c>
      <c r="U2" s="3"/>
      <c r="V2" s="3"/>
      <c r="W2" s="3"/>
      <c r="X2" s="3"/>
      <c r="Y2" s="3"/>
      <c r="Z2" s="3"/>
      <c r="AA2" s="3"/>
      <c r="AB2" s="3"/>
      <c r="AC2" s="3"/>
      <c r="AD2" s="3"/>
      <c r="AJ2" s="139" t="s">
        <v>549</v>
      </c>
      <c r="AL2" s="139" t="s">
        <v>535</v>
      </c>
      <c r="AM2" s="139" t="s">
        <v>536</v>
      </c>
      <c r="AN2" s="139" t="s">
        <v>537</v>
      </c>
    </row>
    <row r="3" spans="1:41" x14ac:dyDescent="0.15">
      <c r="A3" s="139" t="s">
        <v>539</v>
      </c>
      <c r="B3">
        <v>0.5</v>
      </c>
      <c r="C3">
        <v>0.5</v>
      </c>
      <c r="D3" s="17" t="s">
        <v>224</v>
      </c>
      <c r="E3" s="19" t="s">
        <v>1294</v>
      </c>
      <c r="F3" s="14" t="s">
        <v>1117</v>
      </c>
      <c r="G3" s="20" t="s">
        <v>243</v>
      </c>
      <c r="H3" s="21" t="s">
        <v>200</v>
      </c>
      <c r="I3" s="21" t="s">
        <v>200</v>
      </c>
      <c r="J3" s="53" t="s">
        <v>339</v>
      </c>
      <c r="K3" s="3">
        <v>1.5</v>
      </c>
      <c r="L3" s="53" t="s">
        <v>338</v>
      </c>
      <c r="M3" s="3">
        <v>2.1</v>
      </c>
      <c r="U3" s="3"/>
      <c r="V3" s="3"/>
      <c r="W3" s="14"/>
      <c r="X3" s="3"/>
      <c r="Y3" s="3"/>
      <c r="Z3" s="3"/>
      <c r="AA3" s="3"/>
      <c r="AB3" s="3"/>
      <c r="AC3" s="3"/>
      <c r="AD3" s="3"/>
      <c r="AH3" s="139" t="s">
        <v>550</v>
      </c>
      <c r="AI3">
        <f>Input!D8</f>
        <v>2</v>
      </c>
      <c r="AL3" s="139" t="s">
        <v>538</v>
      </c>
      <c r="AM3">
        <v>1</v>
      </c>
      <c r="AN3">
        <v>1</v>
      </c>
    </row>
    <row r="4" spans="1:41" x14ac:dyDescent="0.15">
      <c r="A4" s="139" t="s">
        <v>540</v>
      </c>
      <c r="B4">
        <v>0.3</v>
      </c>
      <c r="C4">
        <v>0.3</v>
      </c>
      <c r="D4" s="99" t="s">
        <v>223</v>
      </c>
      <c r="E4" s="19" t="s">
        <v>1116</v>
      </c>
      <c r="F4" s="142" t="s">
        <v>1118</v>
      </c>
      <c r="G4" s="143" t="s">
        <v>244</v>
      </c>
      <c r="H4" s="20" t="s">
        <v>198</v>
      </c>
      <c r="I4" s="21" t="s">
        <v>201</v>
      </c>
      <c r="L4" s="53" t="s">
        <v>534</v>
      </c>
      <c r="M4" s="3">
        <v>1.5</v>
      </c>
      <c r="U4" s="3"/>
      <c r="V4" s="3"/>
      <c r="W4" s="3"/>
      <c r="X4" s="3"/>
      <c r="Y4" s="3"/>
      <c r="Z4" s="3"/>
      <c r="AA4" s="3"/>
      <c r="AB4" s="3"/>
      <c r="AC4" s="3"/>
      <c r="AD4" s="3"/>
      <c r="AH4" s="139" t="s">
        <v>551</v>
      </c>
      <c r="AI4">
        <f>Input!D25</f>
        <v>1</v>
      </c>
      <c r="AL4" s="139" t="s">
        <v>539</v>
      </c>
      <c r="AM4">
        <v>0.5</v>
      </c>
      <c r="AN4">
        <v>0.5</v>
      </c>
    </row>
    <row r="5" spans="1:41" x14ac:dyDescent="0.15">
      <c r="A5" s="139" t="s">
        <v>541</v>
      </c>
      <c r="C5">
        <v>0.2</v>
      </c>
      <c r="D5" s="20" t="s">
        <v>659</v>
      </c>
      <c r="E5" s="14">
        <f>Input!D8</f>
        <v>2</v>
      </c>
      <c r="F5" s="1">
        <f>Input!D29</f>
        <v>1</v>
      </c>
      <c r="H5" s="3"/>
      <c r="I5" s="3"/>
      <c r="K5" s="147" t="s">
        <v>1296</v>
      </c>
      <c r="L5" s="53"/>
      <c r="M5" s="3">
        <f>AJ11</f>
        <v>1.8</v>
      </c>
      <c r="U5" s="3"/>
      <c r="V5" s="3"/>
      <c r="W5" s="3"/>
      <c r="X5" s="3"/>
      <c r="Y5" s="3"/>
      <c r="Z5" s="3"/>
      <c r="AA5" s="3"/>
      <c r="AB5" s="3"/>
      <c r="AC5" s="3"/>
      <c r="AD5" s="3"/>
      <c r="AH5" s="139" t="s">
        <v>552</v>
      </c>
      <c r="AI5">
        <f>Input!D26</f>
        <v>0</v>
      </c>
      <c r="AL5" s="139" t="s">
        <v>540</v>
      </c>
      <c r="AM5">
        <v>0.3</v>
      </c>
      <c r="AN5">
        <v>0.3</v>
      </c>
    </row>
    <row r="6" spans="1:41" x14ac:dyDescent="0.15">
      <c r="A6" s="3"/>
      <c r="B6" s="3"/>
      <c r="C6" s="3"/>
      <c r="D6" s="3"/>
      <c r="E6" s="3"/>
      <c r="H6" s="3"/>
      <c r="I6" s="3"/>
      <c r="L6" s="3"/>
      <c r="M6" s="3"/>
      <c r="Q6" s="3"/>
      <c r="R6" s="3"/>
      <c r="S6" s="3"/>
      <c r="T6" s="3"/>
      <c r="U6" s="3"/>
      <c r="V6" s="3"/>
      <c r="W6" s="3"/>
      <c r="X6" s="9"/>
      <c r="Y6" s="3"/>
      <c r="Z6" s="3"/>
      <c r="AA6" s="3"/>
      <c r="AB6" s="3"/>
      <c r="AC6" s="3"/>
      <c r="AD6" s="3"/>
      <c r="AF6" s="99" t="s">
        <v>488</v>
      </c>
      <c r="AG6" s="157"/>
      <c r="AH6" s="139" t="s">
        <v>553</v>
      </c>
      <c r="AI6">
        <f>Input!D27</f>
        <v>0</v>
      </c>
      <c r="AL6" s="139" t="s">
        <v>541</v>
      </c>
      <c r="AN6">
        <v>0.2</v>
      </c>
    </row>
    <row r="7" spans="1:41" ht="15" thickBot="1" x14ac:dyDescent="0.2">
      <c r="A7" s="51" t="s">
        <v>228</v>
      </c>
      <c r="B7" s="3"/>
      <c r="C7" s="3" t="s">
        <v>1115</v>
      </c>
      <c r="D7" s="43"/>
      <c r="E7" s="32"/>
      <c r="F7" s="9"/>
      <c r="G7" s="147"/>
      <c r="H7" s="145" t="s">
        <v>396</v>
      </c>
      <c r="I7" s="145" t="s">
        <v>397</v>
      </c>
      <c r="J7" s="141" t="s">
        <v>543</v>
      </c>
      <c r="K7" s="68"/>
      <c r="L7" s="24" t="s">
        <v>239</v>
      </c>
      <c r="M7" s="25">
        <v>0</v>
      </c>
      <c r="N7" s="25">
        <f t="shared" ref="N7:U7" si="0">M7+1</f>
        <v>1</v>
      </c>
      <c r="O7" s="26">
        <f t="shared" si="0"/>
        <v>2</v>
      </c>
      <c r="P7" s="25">
        <f t="shared" si="0"/>
        <v>3</v>
      </c>
      <c r="Q7" s="25">
        <f t="shared" si="0"/>
        <v>4</v>
      </c>
      <c r="R7" s="25">
        <f t="shared" si="0"/>
        <v>5</v>
      </c>
      <c r="S7" s="25">
        <f t="shared" si="0"/>
        <v>6</v>
      </c>
      <c r="T7" s="25">
        <f t="shared" si="0"/>
        <v>7</v>
      </c>
      <c r="U7" s="25">
        <f t="shared" si="0"/>
        <v>8</v>
      </c>
      <c r="V7" s="141" t="s">
        <v>542</v>
      </c>
      <c r="W7" s="144" t="s">
        <v>545</v>
      </c>
      <c r="X7" s="96" t="s">
        <v>480</v>
      </c>
      <c r="Y7" s="96" t="s">
        <v>481</v>
      </c>
      <c r="Z7" s="96" t="s">
        <v>482</v>
      </c>
      <c r="AA7" s="96" t="s">
        <v>483</v>
      </c>
      <c r="AB7" s="96" t="s">
        <v>484</v>
      </c>
      <c r="AC7" s="96" t="s">
        <v>485</v>
      </c>
      <c r="AD7" s="96" t="s">
        <v>487</v>
      </c>
      <c r="AE7" s="96" t="s">
        <v>486</v>
      </c>
      <c r="AF7" s="97">
        <f>ROUND(H10,0)</f>
        <v>29246</v>
      </c>
      <c r="AG7" s="157" t="s">
        <v>546</v>
      </c>
      <c r="AH7" s="139" t="s">
        <v>554</v>
      </c>
      <c r="AI7">
        <f>Input!D28</f>
        <v>0</v>
      </c>
    </row>
    <row r="8" spans="1:41" x14ac:dyDescent="0.15">
      <c r="A8" s="14" t="s">
        <v>300</v>
      </c>
      <c r="B8" s="3"/>
      <c r="C8" s="132" t="s">
        <v>1125</v>
      </c>
      <c r="D8" s="4"/>
      <c r="E8" s="4"/>
      <c r="F8" s="147"/>
      <c r="G8" s="9"/>
      <c r="H8" s="53" t="s">
        <v>266</v>
      </c>
      <c r="I8" s="53" t="s">
        <v>267</v>
      </c>
      <c r="J8" s="53" t="s">
        <v>266</v>
      </c>
      <c r="K8" s="53" t="s">
        <v>267</v>
      </c>
      <c r="L8" s="27" t="s">
        <v>240</v>
      </c>
      <c r="M8" s="23">
        <v>0</v>
      </c>
      <c r="N8" s="23">
        <f>X8</f>
        <v>36.700000000000003</v>
      </c>
      <c r="O8" s="22">
        <f t="shared" ref="O8:U8" si="1">Y8</f>
        <v>23.3</v>
      </c>
      <c r="P8" s="23">
        <f t="shared" si="1"/>
        <v>17</v>
      </c>
      <c r="Q8" s="23">
        <f t="shared" si="1"/>
        <v>10.199999999999999</v>
      </c>
      <c r="R8" s="23">
        <f t="shared" si="1"/>
        <v>8.3000000000000007</v>
      </c>
      <c r="S8" s="23">
        <f t="shared" si="1"/>
        <v>6.9</v>
      </c>
      <c r="T8" s="23">
        <f t="shared" si="1"/>
        <v>5.8</v>
      </c>
      <c r="U8" s="23">
        <f t="shared" si="1"/>
        <v>4.9000000000000004</v>
      </c>
      <c r="V8" s="23" t="str">
        <f>K8</f>
        <v>Enlig med børn:</v>
      </c>
      <c r="W8" s="144" t="s">
        <v>240</v>
      </c>
      <c r="X8" s="23">
        <f>ROUND(X10*100/M10,1)</f>
        <v>36.700000000000003</v>
      </c>
      <c r="Y8" s="23">
        <f t="shared" ref="Y8:AE8" si="2">ROUND(Y10*100/N10,1)</f>
        <v>23.3</v>
      </c>
      <c r="Z8" s="23">
        <f t="shared" si="2"/>
        <v>17</v>
      </c>
      <c r="AA8" s="23">
        <f t="shared" si="2"/>
        <v>10.199999999999999</v>
      </c>
      <c r="AB8" s="23">
        <f t="shared" si="2"/>
        <v>8.3000000000000007</v>
      </c>
      <c r="AC8" s="23">
        <f t="shared" si="2"/>
        <v>6.9</v>
      </c>
      <c r="AD8" s="23">
        <f t="shared" si="2"/>
        <v>5.8</v>
      </c>
      <c r="AE8" s="23">
        <f t="shared" si="2"/>
        <v>4.9000000000000004</v>
      </c>
      <c r="AF8" s="97" t="str">
        <f>M8&amp;"; "&amp;N8&amp;"; "&amp;O8&amp;"; "&amp;P8&amp;"; "&amp;Q8&amp;"; "&amp;R8&amp;"; "&amp;S8&amp;"; "&amp;T8&amp;"; "&amp;U8</f>
        <v>0; 36,7; 23,3; 17; 10,2; 8,3; 6,9; 5,8; 4,9</v>
      </c>
      <c r="AG8" s="157" t="s">
        <v>546</v>
      </c>
      <c r="AH8" s="1" t="s">
        <v>555</v>
      </c>
      <c r="AI8" s="1">
        <f>AI3+AI7</f>
        <v>2</v>
      </c>
      <c r="AJ8" s="1">
        <f>SUM(AM8:AO8)</f>
        <v>1.5</v>
      </c>
      <c r="AL8" s="139" t="s">
        <v>556</v>
      </c>
      <c r="AM8">
        <f>IF(AI8&lt;1,0,1)</f>
        <v>1</v>
      </c>
      <c r="AN8">
        <f>IF(AM8&gt;=1,(AI8-1)*AN4,0)</f>
        <v>0.5</v>
      </c>
    </row>
    <row r="9" spans="1:41" x14ac:dyDescent="0.15">
      <c r="A9" s="14" t="s">
        <v>548</v>
      </c>
      <c r="B9" s="285" t="s">
        <v>616</v>
      </c>
      <c r="C9" s="132"/>
      <c r="D9" s="4"/>
      <c r="E9" s="4"/>
      <c r="F9" s="147"/>
      <c r="G9" s="289" t="str">
        <f>A9</f>
        <v>Forbrugsenheder</v>
      </c>
      <c r="H9" s="286">
        <v>0.80712005906849915</v>
      </c>
      <c r="I9" s="286">
        <v>1.3602924515771133</v>
      </c>
      <c r="J9" s="53"/>
      <c r="K9" s="53"/>
      <c r="L9" s="27"/>
      <c r="M9" s="23"/>
      <c r="N9" s="23"/>
      <c r="O9" s="22"/>
      <c r="P9" s="23"/>
      <c r="Q9" s="23"/>
      <c r="R9" s="23"/>
      <c r="S9" s="23"/>
      <c r="T9" s="23"/>
      <c r="U9" s="23"/>
      <c r="V9" s="23"/>
      <c r="W9" s="144"/>
      <c r="X9" s="23"/>
      <c r="Y9" s="23"/>
      <c r="Z9" s="23"/>
      <c r="AA9" s="23"/>
      <c r="AB9" s="23"/>
      <c r="AC9" s="23"/>
      <c r="AD9" s="23"/>
      <c r="AE9" s="23"/>
      <c r="AF9" s="97"/>
      <c r="AG9" s="157"/>
      <c r="AH9" s="1"/>
      <c r="AI9" s="1"/>
      <c r="AJ9" s="1"/>
      <c r="AL9" s="139"/>
    </row>
    <row r="10" spans="1:41" x14ac:dyDescent="0.15">
      <c r="A10" s="3"/>
      <c r="B10" s="3"/>
      <c r="C10" s="46" t="s">
        <v>234</v>
      </c>
      <c r="D10" s="3" t="s">
        <v>344</v>
      </c>
      <c r="E10" s="9">
        <f>IF(Data!$E$4=1,F10,IF(Data!$E$4=2,0,0))</f>
        <v>0</v>
      </c>
      <c r="F10" s="9">
        <f>IF(Data!$E$5=0,M10,IF(Data!$E$5=1,N10,IF(Data!$E$5=2,O10,IF(Data!$E$5=3,P10,IF(Data!$E$5=4,Q10,IF(Data!$E$5=5,R10,IF(Data!$E$5=6,S10,IF(Data!$E$5=7,T10,U10))))))))</f>
        <v>39978.907852547527</v>
      </c>
      <c r="G10" s="9"/>
      <c r="H10" s="6">
        <f>G15*H9</f>
        <v>29245.726300327377</v>
      </c>
      <c r="I10" s="6">
        <f>G15*I9</f>
        <v>49289.743552079504</v>
      </c>
      <c r="J10" s="6">
        <f>H10*$C$4/$K$2</f>
        <v>8773.7178900982126</v>
      </c>
      <c r="K10" s="6">
        <f>I10*$C$4/$M$2</f>
        <v>9857.9487104158998</v>
      </c>
      <c r="L10" s="27" t="s">
        <v>241</v>
      </c>
      <c r="M10" s="6">
        <f>H10</f>
        <v>29245.726300327377</v>
      </c>
      <c r="N10" s="6">
        <f t="shared" ref="N10:U10" si="3">M10+M10*N8%</f>
        <v>39978.907852547527</v>
      </c>
      <c r="O10" s="33">
        <f t="shared" si="3"/>
        <v>49293.993382191104</v>
      </c>
      <c r="P10" s="6">
        <f t="shared" si="3"/>
        <v>57673.972257163594</v>
      </c>
      <c r="Q10" s="6">
        <f t="shared" si="3"/>
        <v>63556.71742739428</v>
      </c>
      <c r="R10" s="6">
        <f t="shared" si="3"/>
        <v>68831.924973868008</v>
      </c>
      <c r="S10" s="6">
        <f t="shared" si="3"/>
        <v>73581.327797064907</v>
      </c>
      <c r="T10" s="6">
        <f t="shared" si="3"/>
        <v>77849.044809294675</v>
      </c>
      <c r="U10" s="6">
        <f t="shared" si="3"/>
        <v>81663.648004950111</v>
      </c>
      <c r="V10" s="6">
        <f>K10</f>
        <v>9857.9487104158998</v>
      </c>
      <c r="W10" s="144" t="s">
        <v>533</v>
      </c>
      <c r="X10" s="144">
        <f>700+(I10-H10)/2</f>
        <v>10722.008625876064</v>
      </c>
      <c r="Y10" s="144">
        <f>I10-(H10+X10)</f>
        <v>9322.0086258760639</v>
      </c>
      <c r="Z10" s="6">
        <f>Y10*90%</f>
        <v>8389.8077632884579</v>
      </c>
      <c r="AA10" s="6">
        <f>Z10*70%</f>
        <v>5872.8654343019198</v>
      </c>
      <c r="AB10" s="6">
        <f>AA10*90%</f>
        <v>5285.5788908717277</v>
      </c>
      <c r="AC10" s="6">
        <f>AB10*90%</f>
        <v>4757.0210017845548</v>
      </c>
      <c r="AD10" s="6">
        <f>AC10*90%</f>
        <v>4281.3189016060996</v>
      </c>
      <c r="AE10" s="6">
        <f>AD10*90%</f>
        <v>3853.1870114454896</v>
      </c>
      <c r="AF10" s="98">
        <f>ROUND(H13,0)</f>
        <v>55426</v>
      </c>
      <c r="AG10" s="157" t="s">
        <v>546</v>
      </c>
      <c r="AH10" s="1" t="s">
        <v>557</v>
      </c>
      <c r="AI10" s="1">
        <f>SUM(AI4:AI6)</f>
        <v>1</v>
      </c>
      <c r="AJ10" s="1">
        <f>SUM(AM10:AO10)</f>
        <v>0.3</v>
      </c>
      <c r="AL10" s="139" t="s">
        <v>558</v>
      </c>
      <c r="AM10">
        <f>IF(AI10&lt;1,0,AN5)</f>
        <v>0.3</v>
      </c>
      <c r="AN10">
        <f>IF(AI10&gt;1,AN5,0)</f>
        <v>0</v>
      </c>
      <c r="AO10">
        <f>IF(AI10&gt;2,(AI10-2)*AN6,0)</f>
        <v>0</v>
      </c>
    </row>
    <row r="11" spans="1:41" x14ac:dyDescent="0.15">
      <c r="A11" s="3"/>
      <c r="B11" s="9">
        <f>(H13/1.5)*0.5</f>
        <v>18475.434734256862</v>
      </c>
      <c r="C11" s="46"/>
      <c r="D11" s="4"/>
      <c r="E11" s="4"/>
      <c r="F11" s="18"/>
      <c r="G11" s="18"/>
      <c r="H11" s="53" t="s">
        <v>339</v>
      </c>
      <c r="I11" s="53" t="s">
        <v>338</v>
      </c>
      <c r="J11" s="53" t="s">
        <v>339</v>
      </c>
      <c r="K11" s="53" t="s">
        <v>338</v>
      </c>
      <c r="L11" s="27" t="s">
        <v>240</v>
      </c>
      <c r="M11" s="23">
        <v>0</v>
      </c>
      <c r="N11" s="23">
        <f t="shared" ref="N11:U11" si="4">X11</f>
        <v>33</v>
      </c>
      <c r="O11" s="23">
        <f t="shared" si="4"/>
        <v>22.9</v>
      </c>
      <c r="P11" s="23">
        <f t="shared" si="4"/>
        <v>16.8</v>
      </c>
      <c r="Q11" s="23">
        <f t="shared" si="4"/>
        <v>10</v>
      </c>
      <c r="R11" s="23">
        <f t="shared" si="4"/>
        <v>8.1999999999999993</v>
      </c>
      <c r="S11" s="23">
        <f t="shared" si="4"/>
        <v>6.8</v>
      </c>
      <c r="T11" s="23">
        <f t="shared" si="4"/>
        <v>5.8</v>
      </c>
      <c r="U11" s="23">
        <f t="shared" si="4"/>
        <v>4.9000000000000004</v>
      </c>
      <c r="V11" s="23" t="str">
        <f>K11</f>
        <v>2 v med børn:</v>
      </c>
      <c r="W11" s="144" t="s">
        <v>240</v>
      </c>
      <c r="X11" s="23">
        <f>ROUND(X13*100/M13,1)</f>
        <v>33</v>
      </c>
      <c r="Y11" s="23">
        <f t="shared" ref="Y11:AE11" si="5">ROUND(Y13*100/N13,1)</f>
        <v>22.9</v>
      </c>
      <c r="Z11" s="23">
        <f t="shared" si="5"/>
        <v>16.8</v>
      </c>
      <c r="AA11" s="23">
        <f t="shared" si="5"/>
        <v>10</v>
      </c>
      <c r="AB11" s="23">
        <f t="shared" si="5"/>
        <v>8.1999999999999993</v>
      </c>
      <c r="AC11" s="23">
        <f t="shared" si="5"/>
        <v>6.8</v>
      </c>
      <c r="AD11" s="23">
        <f t="shared" si="5"/>
        <v>5.8</v>
      </c>
      <c r="AE11" s="23">
        <f t="shared" si="5"/>
        <v>4.9000000000000004</v>
      </c>
      <c r="AF11" s="97" t="str">
        <f>M11&amp;"; "&amp;N11&amp;"; "&amp;O11&amp;"; "&amp;P11&amp;"; "&amp;Q11&amp;"; "&amp;R11&amp;"; "&amp;S11&amp;"; "&amp;T11&amp;"; "&amp;U11</f>
        <v>0; 33; 22,9; 16,8; 10; 8,2; 6,8; 5,8; 4,9</v>
      </c>
      <c r="AG11" s="157" t="s">
        <v>546</v>
      </c>
      <c r="AH11" s="1" t="s">
        <v>559</v>
      </c>
      <c r="AI11" s="1"/>
      <c r="AJ11" s="1">
        <f>SUM(AJ8:AJ10)</f>
        <v>1.8</v>
      </c>
    </row>
    <row r="12" spans="1:41" x14ac:dyDescent="0.15">
      <c r="A12" s="14" t="str">
        <f>A9</f>
        <v>Forbrugsenheder</v>
      </c>
      <c r="B12" s="285" t="s">
        <v>616</v>
      </c>
      <c r="C12" s="46"/>
      <c r="D12" s="4"/>
      <c r="E12" s="4"/>
      <c r="F12" s="18"/>
      <c r="G12" s="289" t="str">
        <f>A12</f>
        <v>Forbrugsenheder</v>
      </c>
      <c r="H12" s="286">
        <v>1.5296485189902098</v>
      </c>
      <c r="I12" s="286">
        <v>2.5</v>
      </c>
      <c r="J12" s="53"/>
      <c r="K12" s="53"/>
      <c r="L12" s="27"/>
      <c r="M12" s="23"/>
      <c r="N12" s="23"/>
      <c r="O12" s="23"/>
      <c r="P12" s="23"/>
      <c r="Q12" s="23"/>
      <c r="R12" s="23"/>
      <c r="S12" s="23"/>
      <c r="T12" s="23"/>
      <c r="U12" s="23"/>
      <c r="V12" s="23"/>
      <c r="W12" s="144"/>
      <c r="X12" s="23"/>
      <c r="Y12" s="23"/>
      <c r="Z12" s="23"/>
      <c r="AA12" s="23"/>
      <c r="AB12" s="23"/>
      <c r="AC12" s="23"/>
      <c r="AD12" s="23"/>
      <c r="AE12" s="23"/>
      <c r="AF12" s="97"/>
      <c r="AG12" s="157"/>
      <c r="AH12" s="1"/>
      <c r="AI12" s="1"/>
      <c r="AJ12" s="1"/>
    </row>
    <row r="13" spans="1:41" x14ac:dyDescent="0.15">
      <c r="A13" s="3" t="s">
        <v>388</v>
      </c>
      <c r="B13" s="9">
        <f>H13*0.5/1.5</f>
        <v>18475.434734256862</v>
      </c>
      <c r="C13" s="46" t="s">
        <v>235</v>
      </c>
      <c r="D13" s="3" t="s">
        <v>345</v>
      </c>
      <c r="E13" s="9">
        <f>IF(Data!$E$4=1,0,IF(Data!$E$4=2,F13,F13+B13*Data!G4))</f>
        <v>73716.984589684886</v>
      </c>
      <c r="F13" s="9">
        <f>IF(Data!$E$5=0,M13,IF(Data!$E$5=1,N13,IF(Data!$E$5=2,O13,IF(Data!$E$5=3,P13,IF(Data!$E$5=4,Q13,IF(Data!$E$5=5,R13,IF(Data!$E$5=6,S13,IF(Data!$E$5=7,T13,U13))))))))</f>
        <v>73716.984589684886</v>
      </c>
      <c r="G13" s="9"/>
      <c r="H13" s="6">
        <f>G15*H12</f>
        <v>55426.304202770589</v>
      </c>
      <c r="I13" s="6">
        <f>G15*I12</f>
        <v>90586.666666666657</v>
      </c>
      <c r="J13" s="6">
        <f>H13*$C$4/$K$3</f>
        <v>11085.260840554118</v>
      </c>
      <c r="K13" s="6">
        <f>I13*$C$4/$M$3</f>
        <v>12940.952380952378</v>
      </c>
      <c r="L13" s="27" t="s">
        <v>241</v>
      </c>
      <c r="M13" s="6">
        <f>H13</f>
        <v>55426.304202770589</v>
      </c>
      <c r="N13" s="6">
        <f t="shared" ref="N13:U13" si="6">M13+M13*N11%</f>
        <v>73716.984589684886</v>
      </c>
      <c r="O13" s="33">
        <f t="shared" si="6"/>
        <v>90598.174060722726</v>
      </c>
      <c r="P13" s="6">
        <f t="shared" si="6"/>
        <v>105818.66730292415</v>
      </c>
      <c r="Q13" s="6">
        <f t="shared" si="6"/>
        <v>116400.53403321657</v>
      </c>
      <c r="R13" s="6">
        <f t="shared" si="6"/>
        <v>125945.37782394032</v>
      </c>
      <c r="S13" s="6">
        <f t="shared" si="6"/>
        <v>134509.66351596825</v>
      </c>
      <c r="T13" s="6">
        <f t="shared" si="6"/>
        <v>142311.2239998944</v>
      </c>
      <c r="U13" s="6">
        <f t="shared" si="6"/>
        <v>149284.47397588921</v>
      </c>
      <c r="V13" s="6">
        <f>K13</f>
        <v>12940.952380952378</v>
      </c>
      <c r="W13" s="144" t="s">
        <v>533</v>
      </c>
      <c r="X13" s="144">
        <f>700+(I13-H13)/2</f>
        <v>18280.181231948034</v>
      </c>
      <c r="Y13" s="144">
        <f>I13-(H13+X13)</f>
        <v>16880.181231948038</v>
      </c>
      <c r="Z13" s="6">
        <f>Y13*90%</f>
        <v>15192.163108753235</v>
      </c>
      <c r="AA13" s="6">
        <f>Z13*70%</f>
        <v>10634.514176127264</v>
      </c>
      <c r="AB13" s="6">
        <f>AA13*90%</f>
        <v>9571.0627585145376</v>
      </c>
      <c r="AC13" s="6">
        <f>AB13*90%</f>
        <v>8613.9564826630849</v>
      </c>
      <c r="AD13" s="6">
        <f>AC13*90%</f>
        <v>7752.560834396777</v>
      </c>
      <c r="AE13" s="6">
        <f>AD13*90%</f>
        <v>6977.3047509570997</v>
      </c>
      <c r="AF13" s="97">
        <f>ROUND(B13,0)</f>
        <v>18475</v>
      </c>
      <c r="AG13" s="157" t="s">
        <v>546</v>
      </c>
    </row>
    <row r="14" spans="1:41" x14ac:dyDescent="0.15">
      <c r="C14" s="46"/>
      <c r="D14" s="43" t="s">
        <v>225</v>
      </c>
      <c r="E14" s="32">
        <f>IF(Data!$E$4=0,0,IF(Data!$E$4=1,E10,IF(Data!$E$4=2,E13,E13)))</f>
        <v>73716.984589684886</v>
      </c>
      <c r="F14" s="9"/>
      <c r="G14" s="290">
        <f>'DS-tal-valgte'!D13</f>
        <v>54352</v>
      </c>
      <c r="H14" s="284" t="s">
        <v>1297</v>
      </c>
      <c r="I14" s="284" t="s">
        <v>1298</v>
      </c>
      <c r="J14" s="6"/>
      <c r="K14" s="6"/>
      <c r="L14" s="27"/>
      <c r="M14" s="6"/>
      <c r="N14" s="6"/>
      <c r="O14" s="6"/>
      <c r="P14" s="6"/>
      <c r="Q14" s="6"/>
      <c r="R14" s="6"/>
      <c r="S14" s="6"/>
      <c r="T14" s="6"/>
      <c r="U14" s="6"/>
      <c r="V14" s="6"/>
      <c r="W14" s="144"/>
      <c r="X14" s="6"/>
      <c r="Y14" s="3"/>
      <c r="Z14" s="3"/>
      <c r="AA14" s="3"/>
      <c r="AB14" s="3"/>
      <c r="AC14" s="3"/>
      <c r="AD14" s="3"/>
      <c r="AE14" s="3"/>
      <c r="AF14" s="97"/>
      <c r="AG14" s="157" t="s">
        <v>546</v>
      </c>
    </row>
    <row r="15" spans="1:41" x14ac:dyDescent="0.15">
      <c r="C15" s="149"/>
      <c r="D15" s="150" t="s">
        <v>560</v>
      </c>
      <c r="E15" s="151">
        <f>E14/$AJ$11</f>
        <v>40953.88032760271</v>
      </c>
      <c r="F15" s="152"/>
      <c r="G15" s="290">
        <f>G14/$M$4</f>
        <v>36234.666666666664</v>
      </c>
      <c r="H15" s="286">
        <f>$AJ$11</f>
        <v>1.8</v>
      </c>
      <c r="I15" s="284">
        <f>H15*G15</f>
        <v>65222.399999999994</v>
      </c>
      <c r="J15" s="153"/>
      <c r="K15" s="153"/>
      <c r="L15" s="251"/>
      <c r="M15" s="153"/>
      <c r="N15" s="153"/>
      <c r="O15" s="153"/>
      <c r="P15" s="153"/>
      <c r="Q15" s="153"/>
      <c r="R15" s="153"/>
      <c r="S15" s="153"/>
      <c r="T15" s="153"/>
      <c r="U15" s="153"/>
      <c r="V15" s="153"/>
      <c r="W15" s="155"/>
      <c r="X15" s="153"/>
      <c r="Y15" s="156"/>
      <c r="Z15" s="156"/>
      <c r="AA15" s="156"/>
      <c r="AB15" s="156"/>
      <c r="AC15" s="156"/>
      <c r="AD15" s="156"/>
      <c r="AE15" s="156"/>
      <c r="AF15" s="160"/>
      <c r="AG15" s="157" t="s">
        <v>546</v>
      </c>
    </row>
    <row r="16" spans="1:41" ht="14" thickBot="1" x14ac:dyDescent="0.2">
      <c r="A16" s="250"/>
      <c r="B16" s="250"/>
      <c r="C16" s="250"/>
      <c r="D16" s="248" t="s">
        <v>737</v>
      </c>
      <c r="E16" s="249">
        <f>E14/12</f>
        <v>6143.0820491404074</v>
      </c>
      <c r="F16" s="9"/>
      <c r="G16" s="32"/>
      <c r="H16" s="6"/>
      <c r="I16" s="6"/>
      <c r="J16" s="6"/>
      <c r="K16" s="6"/>
      <c r="L16" s="251"/>
      <c r="M16" s="6"/>
      <c r="N16" s="6"/>
      <c r="O16" s="6"/>
      <c r="P16" s="6"/>
      <c r="Q16" s="6"/>
      <c r="R16" s="6"/>
      <c r="S16" s="6"/>
      <c r="T16" s="6"/>
      <c r="U16" s="6"/>
      <c r="V16" s="6"/>
      <c r="W16" s="144"/>
      <c r="X16" s="6"/>
      <c r="Y16" s="3"/>
      <c r="Z16" s="3"/>
      <c r="AA16" s="3"/>
      <c r="AB16" s="3"/>
      <c r="AC16" s="3"/>
      <c r="AD16" s="3"/>
      <c r="AE16" s="3"/>
      <c r="AF16" s="97"/>
      <c r="AG16" s="157" t="s">
        <v>546</v>
      </c>
    </row>
    <row r="17" spans="1:34" x14ac:dyDescent="0.15">
      <c r="A17" s="3"/>
      <c r="B17" s="3"/>
      <c r="C17" s="3"/>
      <c r="D17" s="14"/>
      <c r="E17" s="32"/>
      <c r="F17" s="9"/>
      <c r="G17" s="32"/>
      <c r="H17" s="6"/>
      <c r="I17" s="6"/>
      <c r="J17" s="6"/>
      <c r="K17" s="6"/>
      <c r="L17" s="27"/>
      <c r="M17" s="6"/>
      <c r="N17" s="6"/>
      <c r="O17" s="6"/>
      <c r="P17" s="6"/>
      <c r="Q17" s="6"/>
      <c r="R17" s="6"/>
      <c r="S17" s="6"/>
      <c r="T17" s="6"/>
      <c r="U17" s="6"/>
      <c r="V17" s="6"/>
      <c r="W17" s="144"/>
      <c r="X17" s="6"/>
      <c r="Y17" s="3"/>
      <c r="Z17" s="3"/>
      <c r="AA17" s="3"/>
      <c r="AB17" s="3"/>
      <c r="AC17" s="3"/>
      <c r="AD17" s="3"/>
      <c r="AE17" s="3"/>
      <c r="AF17" s="97"/>
      <c r="AG17" s="157"/>
    </row>
    <row r="18" spans="1:34" ht="14" thickBot="1" x14ac:dyDescent="0.2">
      <c r="A18" s="3"/>
      <c r="B18" s="3"/>
      <c r="C18" s="3"/>
      <c r="D18" s="43"/>
      <c r="E18" s="32"/>
      <c r="F18" s="9"/>
      <c r="G18" s="32"/>
      <c r="H18" s="145" t="s">
        <v>396</v>
      </c>
      <c r="I18" s="145" t="s">
        <v>397</v>
      </c>
      <c r="J18" s="141" t="s">
        <v>543</v>
      </c>
      <c r="K18" s="68"/>
      <c r="L18" s="24" t="s">
        <v>239</v>
      </c>
      <c r="M18" s="25">
        <v>0</v>
      </c>
      <c r="N18" s="25">
        <f t="shared" ref="N18:U18" si="7">M18+1</f>
        <v>1</v>
      </c>
      <c r="O18" s="26">
        <f t="shared" si="7"/>
        <v>2</v>
      </c>
      <c r="P18" s="25">
        <f t="shared" si="7"/>
        <v>3</v>
      </c>
      <c r="Q18" s="25">
        <f t="shared" si="7"/>
        <v>4</v>
      </c>
      <c r="R18" s="25">
        <f t="shared" si="7"/>
        <v>5</v>
      </c>
      <c r="S18" s="25">
        <f t="shared" si="7"/>
        <v>6</v>
      </c>
      <c r="T18" s="25">
        <f t="shared" si="7"/>
        <v>7</v>
      </c>
      <c r="U18" s="25">
        <f t="shared" si="7"/>
        <v>8</v>
      </c>
      <c r="V18" s="141" t="s">
        <v>542</v>
      </c>
      <c r="W18" s="144" t="s">
        <v>545</v>
      </c>
      <c r="X18" s="96" t="s">
        <v>480</v>
      </c>
      <c r="Y18" s="96" t="s">
        <v>481</v>
      </c>
      <c r="Z18" s="96" t="s">
        <v>482</v>
      </c>
      <c r="AA18" s="96" t="s">
        <v>483</v>
      </c>
      <c r="AB18" s="96" t="s">
        <v>484</v>
      </c>
      <c r="AC18" s="96" t="s">
        <v>485</v>
      </c>
      <c r="AD18" s="96" t="s">
        <v>487</v>
      </c>
      <c r="AE18" s="96" t="s">
        <v>486</v>
      </c>
      <c r="AF18" s="97">
        <f>ROUND(H21,0)</f>
        <v>8004</v>
      </c>
      <c r="AG18" s="157" t="s">
        <v>546</v>
      </c>
      <c r="AH18" s="146" t="s">
        <v>546</v>
      </c>
    </row>
    <row r="19" spans="1:34" x14ac:dyDescent="0.15">
      <c r="A19" s="140" t="s">
        <v>530</v>
      </c>
      <c r="B19" s="3"/>
      <c r="C19" s="132" t="str">
        <f>$C$8</f>
        <v>2018 ok</v>
      </c>
      <c r="D19" s="3"/>
      <c r="E19" s="4"/>
      <c r="F19" s="9"/>
      <c r="G19" s="9"/>
      <c r="H19" s="53" t="s">
        <v>266</v>
      </c>
      <c r="I19" s="53" t="s">
        <v>267</v>
      </c>
      <c r="J19" s="53" t="s">
        <v>266</v>
      </c>
      <c r="K19" s="53" t="s">
        <v>267</v>
      </c>
      <c r="L19" s="27" t="s">
        <v>240</v>
      </c>
      <c r="M19" s="23">
        <v>0</v>
      </c>
      <c r="N19" s="23">
        <f t="shared" ref="N19:U19" si="8">X19</f>
        <v>28.7</v>
      </c>
      <c r="O19" s="22">
        <f t="shared" si="8"/>
        <v>8.6999999999999993</v>
      </c>
      <c r="P19" s="23">
        <f t="shared" si="8"/>
        <v>7.2</v>
      </c>
      <c r="Q19" s="23">
        <f t="shared" si="8"/>
        <v>4.7</v>
      </c>
      <c r="R19" s="23">
        <f t="shared" si="8"/>
        <v>4</v>
      </c>
      <c r="S19" s="23">
        <f t="shared" si="8"/>
        <v>3.5</v>
      </c>
      <c r="T19" s="23">
        <f t="shared" si="8"/>
        <v>3</v>
      </c>
      <c r="U19" s="23">
        <f t="shared" si="8"/>
        <v>2.7</v>
      </c>
      <c r="V19" s="23" t="str">
        <f>K19</f>
        <v>Enlig med børn:</v>
      </c>
      <c r="W19" s="144" t="s">
        <v>240</v>
      </c>
      <c r="X19" s="23">
        <f t="shared" ref="X19:AE19" si="9">ROUND(X21*100/M21,1)</f>
        <v>28.7</v>
      </c>
      <c r="Y19" s="23">
        <f t="shared" si="9"/>
        <v>8.6999999999999993</v>
      </c>
      <c r="Z19" s="23">
        <f t="shared" si="9"/>
        <v>7.2</v>
      </c>
      <c r="AA19" s="23">
        <f t="shared" si="9"/>
        <v>4.7</v>
      </c>
      <c r="AB19" s="23">
        <f t="shared" si="9"/>
        <v>4</v>
      </c>
      <c r="AC19" s="23">
        <f t="shared" si="9"/>
        <v>3.5</v>
      </c>
      <c r="AD19" s="23">
        <f t="shared" si="9"/>
        <v>3</v>
      </c>
      <c r="AE19" s="23">
        <f t="shared" si="9"/>
        <v>2.7</v>
      </c>
      <c r="AF19" s="97" t="str">
        <f>M19&amp;"; "&amp;N19&amp;"; "&amp;O19&amp;"; "&amp;P19&amp;"; "&amp;Q19&amp;"; "&amp;R19&amp;"; "&amp;S19&amp;"; "&amp;T19&amp;"; "&amp;U19</f>
        <v>0; 28,7; 8,7; 7,2; 4,7; 4; 3,5; 3; 2,7</v>
      </c>
      <c r="AG19" s="157" t="s">
        <v>546</v>
      </c>
      <c r="AH19" s="146" t="s">
        <v>546</v>
      </c>
    </row>
    <row r="20" spans="1:34" x14ac:dyDescent="0.15">
      <c r="A20" s="140" t="str">
        <f>$A$9</f>
        <v>Forbrugsenheder</v>
      </c>
      <c r="B20" s="3"/>
      <c r="C20" s="132"/>
      <c r="D20" s="3"/>
      <c r="E20" s="4"/>
      <c r="F20" s="9"/>
      <c r="G20" s="289" t="str">
        <f>A20</f>
        <v>Forbrugsenheder</v>
      </c>
      <c r="H20" s="286">
        <v>0.85508123386621115</v>
      </c>
      <c r="I20" s="286">
        <v>1.195528115879861</v>
      </c>
      <c r="J20" s="53"/>
      <c r="K20" s="53"/>
      <c r="L20" s="27"/>
      <c r="M20" s="23"/>
      <c r="N20" s="23"/>
      <c r="O20" s="22"/>
      <c r="P20" s="23"/>
      <c r="Q20" s="23"/>
      <c r="R20" s="23"/>
      <c r="S20" s="23"/>
      <c r="T20" s="23"/>
      <c r="U20" s="23"/>
      <c r="V20" s="23"/>
      <c r="W20" s="144"/>
      <c r="X20" s="23"/>
      <c r="Y20" s="23"/>
      <c r="Z20" s="23"/>
      <c r="AA20" s="23"/>
      <c r="AB20" s="23"/>
      <c r="AC20" s="23"/>
      <c r="AD20" s="23"/>
      <c r="AE20" s="23"/>
      <c r="AF20" s="97"/>
      <c r="AG20" s="157"/>
      <c r="AH20" s="146"/>
    </row>
    <row r="21" spans="1:34" x14ac:dyDescent="0.15">
      <c r="A21" s="3"/>
      <c r="B21" s="3"/>
      <c r="C21" s="46" t="s">
        <v>234</v>
      </c>
      <c r="D21" s="31" t="s">
        <v>252</v>
      </c>
      <c r="E21" s="9">
        <f>IF(Data!$E$4=1,F21,IF(Data!$E$4=2,0,0))</f>
        <v>0</v>
      </c>
      <c r="F21" s="9">
        <f>IF(Data!$E$5=0,M21,IF(Data!$E$5=1,N21,IF(Data!$E$5=2,O21,IF(Data!$E$5=3,P21,IF(Data!$E$5=4,Q21,IF(Data!$E$5=5,R21,IF(Data!$E$5=6,S21,IF(Data!$E$5=7,T21,U21))))))))</f>
        <v>10300.582169147217</v>
      </c>
      <c r="G21" s="9"/>
      <c r="H21" s="6">
        <f>G26*H20</f>
        <v>8003.5603489877367</v>
      </c>
      <c r="I21" s="6">
        <f>G26*I20</f>
        <v>11190.143164635499</v>
      </c>
      <c r="J21" s="6">
        <f>H21*$C$4/$K$2</f>
        <v>2401.0681046963209</v>
      </c>
      <c r="K21" s="6">
        <f>I21*$C$4/$M$2</f>
        <v>2238.0286329270998</v>
      </c>
      <c r="L21" s="27" t="s">
        <v>241</v>
      </c>
      <c r="M21" s="6">
        <f>H21</f>
        <v>8003.5603489877367</v>
      </c>
      <c r="N21" s="6">
        <f t="shared" ref="N21:U21" si="10">M21+M21*N19%</f>
        <v>10300.582169147217</v>
      </c>
      <c r="O21" s="33">
        <f t="shared" si="10"/>
        <v>11196.732817863025</v>
      </c>
      <c r="P21" s="6">
        <f t="shared" si="10"/>
        <v>12002.897580749162</v>
      </c>
      <c r="Q21" s="6">
        <f t="shared" si="10"/>
        <v>12567.033767044373</v>
      </c>
      <c r="R21" s="6">
        <f t="shared" si="10"/>
        <v>13069.715117726148</v>
      </c>
      <c r="S21" s="6">
        <f t="shared" si="10"/>
        <v>13527.155146846562</v>
      </c>
      <c r="T21" s="6">
        <f t="shared" si="10"/>
        <v>13932.969801251958</v>
      </c>
      <c r="U21" s="6">
        <f t="shared" si="10"/>
        <v>14309.159985885761</v>
      </c>
      <c r="V21" s="6">
        <f>K21</f>
        <v>2238.0286329270998</v>
      </c>
      <c r="W21" s="144" t="s">
        <v>533</v>
      </c>
      <c r="X21" s="144">
        <f>700+(I21-H21)/2</f>
        <v>2293.2914078238814</v>
      </c>
      <c r="Y21" s="144">
        <f>I21-(H21+X21)</f>
        <v>893.29140782388095</v>
      </c>
      <c r="Z21" s="6">
        <f>Y21*90%</f>
        <v>803.96226704149285</v>
      </c>
      <c r="AA21" s="6">
        <f>Z21*70%</f>
        <v>562.773586929045</v>
      </c>
      <c r="AB21" s="6">
        <f>AA21*90%</f>
        <v>506.4962282361405</v>
      </c>
      <c r="AC21" s="6">
        <f>AB21*90%</f>
        <v>455.84660541252646</v>
      </c>
      <c r="AD21" s="6">
        <f>AC21*90%</f>
        <v>410.26194487127384</v>
      </c>
      <c r="AE21" s="6">
        <f>AD21*90%</f>
        <v>369.23575038414646</v>
      </c>
      <c r="AF21" s="97">
        <f>ROUND(H24,0)</f>
        <v>19393</v>
      </c>
      <c r="AG21" s="157" t="s">
        <v>546</v>
      </c>
      <c r="AH21" s="146" t="s">
        <v>546</v>
      </c>
    </row>
    <row r="22" spans="1:34" x14ac:dyDescent="0.15">
      <c r="A22" s="3"/>
      <c r="B22" s="3"/>
      <c r="C22" s="46"/>
      <c r="D22" s="3"/>
      <c r="E22" s="3"/>
      <c r="F22" s="18"/>
      <c r="G22" s="18"/>
      <c r="H22" s="53" t="s">
        <v>339</v>
      </c>
      <c r="I22" s="53" t="s">
        <v>338</v>
      </c>
      <c r="J22" s="53" t="s">
        <v>339</v>
      </c>
      <c r="K22" s="53" t="s">
        <v>338</v>
      </c>
      <c r="L22" s="27" t="s">
        <v>240</v>
      </c>
      <c r="M22" s="23">
        <v>0</v>
      </c>
      <c r="N22" s="23">
        <f t="shared" ref="N22:U22" si="11">X22</f>
        <v>10</v>
      </c>
      <c r="O22" s="23">
        <f t="shared" si="11"/>
        <v>2.5</v>
      </c>
      <c r="P22" s="23">
        <f t="shared" si="11"/>
        <v>2.2000000000000002</v>
      </c>
      <c r="Q22" s="23">
        <f t="shared" si="11"/>
        <v>1.5</v>
      </c>
      <c r="R22" s="23">
        <f t="shared" si="11"/>
        <v>1.4</v>
      </c>
      <c r="S22" s="23">
        <f t="shared" si="11"/>
        <v>1.2</v>
      </c>
      <c r="T22" s="23">
        <f t="shared" si="11"/>
        <v>1.1000000000000001</v>
      </c>
      <c r="U22" s="23">
        <f t="shared" si="11"/>
        <v>1</v>
      </c>
      <c r="V22" s="23" t="str">
        <f>K22</f>
        <v>2 v med børn:</v>
      </c>
      <c r="W22" s="144" t="s">
        <v>240</v>
      </c>
      <c r="X22" s="23">
        <f t="shared" ref="X22:AE22" si="12">ROUND(X24*100/M24,1)</f>
        <v>10</v>
      </c>
      <c r="Y22" s="23">
        <f t="shared" si="12"/>
        <v>2.5</v>
      </c>
      <c r="Z22" s="23">
        <f t="shared" si="12"/>
        <v>2.2000000000000002</v>
      </c>
      <c r="AA22" s="23">
        <f t="shared" si="12"/>
        <v>1.5</v>
      </c>
      <c r="AB22" s="23">
        <f t="shared" si="12"/>
        <v>1.4</v>
      </c>
      <c r="AC22" s="23">
        <f t="shared" si="12"/>
        <v>1.2</v>
      </c>
      <c r="AD22" s="23">
        <f t="shared" si="12"/>
        <v>1.1000000000000001</v>
      </c>
      <c r="AE22" s="23">
        <f t="shared" si="12"/>
        <v>1</v>
      </c>
      <c r="AF22" s="97" t="str">
        <f>M22&amp;"; "&amp;N22&amp;"; "&amp;O22&amp;"; "&amp;P22&amp;"; "&amp;Q22&amp;"; "&amp;R22&amp;"; "&amp;S22&amp;"; "&amp;T22&amp;"; "&amp;U22</f>
        <v>0; 10; 2,5; 2,2; 1,5; 1,4; 1,2; 1,1; 1</v>
      </c>
      <c r="AG22" s="157" t="s">
        <v>546</v>
      </c>
      <c r="AH22" s="146" t="s">
        <v>546</v>
      </c>
    </row>
    <row r="23" spans="1:34" x14ac:dyDescent="0.15">
      <c r="A23" s="140" t="str">
        <f>$A$9</f>
        <v>Forbrugsenheder</v>
      </c>
      <c r="B23" s="3"/>
      <c r="C23" s="46"/>
      <c r="D23" s="3"/>
      <c r="E23" s="3"/>
      <c r="F23" s="18"/>
      <c r="G23" s="289" t="str">
        <f>A23</f>
        <v>Forbrugsenheder</v>
      </c>
      <c r="H23" s="286">
        <v>2.0718542462983249</v>
      </c>
      <c r="I23" s="286">
        <v>2.337283318907077</v>
      </c>
      <c r="J23" s="53"/>
      <c r="K23" s="53"/>
      <c r="L23" s="27"/>
      <c r="M23" s="23"/>
      <c r="N23" s="23"/>
      <c r="O23" s="23"/>
      <c r="P23" s="23"/>
      <c r="Q23" s="23"/>
      <c r="R23" s="23"/>
      <c r="S23" s="23"/>
      <c r="T23" s="23"/>
      <c r="U23" s="23"/>
      <c r="V23" s="23"/>
      <c r="W23" s="144"/>
      <c r="X23" s="23"/>
      <c r="Y23" s="23"/>
      <c r="Z23" s="23"/>
      <c r="AA23" s="23"/>
      <c r="AB23" s="23"/>
      <c r="AC23" s="23"/>
      <c r="AD23" s="23"/>
      <c r="AE23" s="23"/>
      <c r="AF23" s="97"/>
      <c r="AG23" s="157"/>
      <c r="AH23" s="146"/>
    </row>
    <row r="24" spans="1:34" x14ac:dyDescent="0.15">
      <c r="A24" s="3" t="s">
        <v>388</v>
      </c>
      <c r="B24" s="9">
        <f>(H24/1.5)*0.5</f>
        <v>6464.1852484507735</v>
      </c>
      <c r="C24" s="46" t="s">
        <v>235</v>
      </c>
      <c r="D24" s="31" t="s">
        <v>245</v>
      </c>
      <c r="E24" s="9">
        <f>IF(Data!$E$4=1,0,IF(Data!$E$4=2,F24,F24+B24*Data!G4))</f>
        <v>21331.811319887554</v>
      </c>
      <c r="F24" s="9">
        <f>IF(Data!$E$5=0,M24,IF(Data!$E$5=1,N24,IF(Data!$E$5=2,O24,IF(Data!$E$5=3,P24,IF(Data!$E$5=4,Q24,IF(Data!$E$5=5,R24,IF(Data!$E$5=6,S24,IF(Data!$E$5=7,T24,U24))))))))</f>
        <v>21331.811319887554</v>
      </c>
      <c r="G24" s="9"/>
      <c r="H24" s="6">
        <f>G26*H23</f>
        <v>19392.555745352322</v>
      </c>
      <c r="I24" s="6">
        <f>G26*I23</f>
        <v>21876.971864970241</v>
      </c>
      <c r="J24" s="6">
        <f>H24*$C$4/$K$3</f>
        <v>3878.5111490704639</v>
      </c>
      <c r="K24" s="6">
        <f>I24*$C$4/$M$3</f>
        <v>3125.2816949957487</v>
      </c>
      <c r="L24" s="27" t="s">
        <v>241</v>
      </c>
      <c r="M24" s="6">
        <f>H24</f>
        <v>19392.555745352322</v>
      </c>
      <c r="N24" s="6">
        <f t="shared" ref="N24:U24" si="13">M24+M24*N22%</f>
        <v>21331.811319887554</v>
      </c>
      <c r="O24" s="33">
        <f t="shared" si="13"/>
        <v>21865.106602884742</v>
      </c>
      <c r="P24" s="6">
        <f t="shared" si="13"/>
        <v>22346.138948148207</v>
      </c>
      <c r="Q24" s="6">
        <f t="shared" si="13"/>
        <v>22681.331032370432</v>
      </c>
      <c r="R24" s="6">
        <f t="shared" si="13"/>
        <v>22998.869666823619</v>
      </c>
      <c r="S24" s="6">
        <f t="shared" si="13"/>
        <v>23274.856102825503</v>
      </c>
      <c r="T24" s="6">
        <f t="shared" si="13"/>
        <v>23530.879519956583</v>
      </c>
      <c r="U24" s="6">
        <f t="shared" si="13"/>
        <v>23766.188315156149</v>
      </c>
      <c r="V24" s="6">
        <f>K24</f>
        <v>3125.2816949957487</v>
      </c>
      <c r="W24" s="144" t="s">
        <v>533</v>
      </c>
      <c r="X24" s="144">
        <f>700+(I24-H24)/2</f>
        <v>1942.2080598089597</v>
      </c>
      <c r="Y24" s="144">
        <f>I24-(H24+X24)</f>
        <v>542.20805980895966</v>
      </c>
      <c r="Z24" s="6">
        <f>Y24*90%</f>
        <v>487.98725382806373</v>
      </c>
      <c r="AA24" s="6">
        <f>Z24*70%</f>
        <v>341.59107767964457</v>
      </c>
      <c r="AB24" s="6">
        <f>AA24*90%</f>
        <v>307.43196991168014</v>
      </c>
      <c r="AC24" s="6">
        <f>AB24*90%</f>
        <v>276.68877292051212</v>
      </c>
      <c r="AD24" s="6">
        <f>AC24*90%</f>
        <v>249.01989562846092</v>
      </c>
      <c r="AE24" s="6">
        <f>AD24*90%</f>
        <v>224.11790606561482</v>
      </c>
      <c r="AF24" s="97">
        <f>ROUND(B24,0)</f>
        <v>6464</v>
      </c>
      <c r="AG24" s="157" t="s">
        <v>546</v>
      </c>
      <c r="AH24" s="146" t="s">
        <v>546</v>
      </c>
    </row>
    <row r="25" spans="1:34" ht="14" thickBot="1" x14ac:dyDescent="0.2">
      <c r="A25" s="3"/>
      <c r="B25" s="3"/>
      <c r="C25" s="72"/>
      <c r="D25" s="37" t="s">
        <v>225</v>
      </c>
      <c r="E25" s="28">
        <f>IF(Data!$E$4=0,0,IF(Data!$E$4=1,E21,IF(Data!$E$4=2,E24,E24)))</f>
        <v>21331.811319887554</v>
      </c>
      <c r="F25" s="29"/>
      <c r="G25" s="290">
        <f>'DS-tal-valgte'!D22</f>
        <v>14040</v>
      </c>
      <c r="H25" s="284" t="str">
        <f>$H$14</f>
        <v>Forbrugsenheder aktuelt:</v>
      </c>
      <c r="I25" s="284" t="str">
        <f>$I$14</f>
        <v>I alt efter forbrugsenheder:</v>
      </c>
      <c r="J25" s="30"/>
      <c r="K25" s="30"/>
      <c r="L25" s="24"/>
      <c r="M25" s="6"/>
      <c r="N25" s="6"/>
      <c r="O25" s="6"/>
      <c r="P25" s="6"/>
      <c r="Q25" s="6"/>
      <c r="R25" s="6"/>
      <c r="S25" s="6"/>
      <c r="T25" s="6"/>
      <c r="U25" s="6"/>
      <c r="V25" s="6"/>
      <c r="W25" s="144"/>
      <c r="X25" s="6"/>
      <c r="Y25" s="3"/>
      <c r="Z25" s="3"/>
      <c r="AA25" s="3"/>
      <c r="AB25" s="3"/>
      <c r="AC25" s="3"/>
      <c r="AD25" s="3"/>
      <c r="AE25" s="3"/>
      <c r="AF25" s="97"/>
      <c r="AG25" s="157" t="s">
        <v>546</v>
      </c>
      <c r="AH25" s="146" t="s">
        <v>546</v>
      </c>
    </row>
    <row r="26" spans="1:34" x14ac:dyDescent="0.15">
      <c r="A26" s="3"/>
      <c r="B26" s="3"/>
      <c r="C26" s="149"/>
      <c r="D26" s="150" t="s">
        <v>560</v>
      </c>
      <c r="E26" s="151">
        <f>E25/$AJ$11</f>
        <v>11851.006288826418</v>
      </c>
      <c r="F26" s="152"/>
      <c r="G26" s="290">
        <f>G25/$M$4</f>
        <v>9360</v>
      </c>
      <c r="H26" s="286">
        <f>$AJ$11</f>
        <v>1.8</v>
      </c>
      <c r="I26" s="284">
        <f>H26*G26</f>
        <v>16848</v>
      </c>
      <c r="J26" s="153"/>
      <c r="K26" s="153"/>
      <c r="L26" s="251"/>
      <c r="M26" s="153"/>
      <c r="N26" s="153"/>
      <c r="O26" s="153"/>
      <c r="P26" s="153"/>
      <c r="Q26" s="153"/>
      <c r="R26" s="153"/>
      <c r="S26" s="153"/>
      <c r="T26" s="153"/>
      <c r="U26" s="153"/>
      <c r="V26" s="153"/>
      <c r="W26" s="155"/>
      <c r="X26" s="153"/>
      <c r="Y26" s="156"/>
      <c r="Z26" s="156"/>
      <c r="AA26" s="156"/>
      <c r="AB26" s="156"/>
      <c r="AC26" s="156"/>
      <c r="AD26" s="156"/>
      <c r="AE26" s="156"/>
      <c r="AF26" s="160"/>
      <c r="AG26" s="157" t="s">
        <v>546</v>
      </c>
      <c r="AH26" s="146"/>
    </row>
    <row r="27" spans="1:34" ht="14" thickBot="1" x14ac:dyDescent="0.2">
      <c r="A27" s="250"/>
      <c r="B27" s="250"/>
      <c r="C27" s="250"/>
      <c r="D27" s="248" t="s">
        <v>737</v>
      </c>
      <c r="E27" s="249">
        <f>E25/12</f>
        <v>1777.6509433239628</v>
      </c>
      <c r="F27" s="9"/>
      <c r="G27" s="32"/>
      <c r="H27" s="6"/>
      <c r="I27" s="6"/>
      <c r="J27" s="6"/>
      <c r="K27" s="6"/>
      <c r="L27" s="251"/>
      <c r="M27" s="6"/>
      <c r="N27" s="6"/>
      <c r="O27" s="6"/>
      <c r="P27" s="6"/>
      <c r="Q27" s="6"/>
      <c r="R27" s="6"/>
      <c r="S27" s="6"/>
      <c r="T27" s="6"/>
      <c r="U27" s="6"/>
      <c r="V27" s="6"/>
      <c r="W27" s="144"/>
      <c r="X27" s="6"/>
      <c r="Y27" s="3"/>
      <c r="Z27" s="3"/>
      <c r="AA27" s="3"/>
      <c r="AB27" s="3"/>
      <c r="AC27" s="3"/>
      <c r="AD27" s="3"/>
      <c r="AE27" s="3"/>
      <c r="AF27" s="97"/>
      <c r="AG27" s="157" t="s">
        <v>546</v>
      </c>
      <c r="AH27" s="146" t="s">
        <v>546</v>
      </c>
    </row>
    <row r="28" spans="1:34" ht="14" thickBot="1" x14ac:dyDescent="0.2">
      <c r="A28" s="3"/>
      <c r="B28" s="3"/>
      <c r="C28" s="43"/>
      <c r="D28" s="43"/>
      <c r="E28" s="32"/>
      <c r="F28" s="9"/>
      <c r="G28" s="32"/>
      <c r="H28" s="6"/>
      <c r="I28" s="6"/>
      <c r="J28" s="6"/>
      <c r="K28" s="6"/>
      <c r="L28" s="24"/>
      <c r="M28" s="6"/>
      <c r="N28" s="6"/>
      <c r="O28" s="6"/>
      <c r="P28" s="6"/>
      <c r="Q28" s="6"/>
      <c r="R28" s="6"/>
      <c r="S28" s="6"/>
      <c r="T28" s="6"/>
      <c r="U28" s="6"/>
      <c r="V28" s="6"/>
      <c r="W28" s="144"/>
      <c r="X28" s="6"/>
      <c r="Y28" s="3"/>
      <c r="Z28" s="3"/>
      <c r="AA28" s="3"/>
      <c r="AB28" s="3"/>
      <c r="AC28" s="3"/>
      <c r="AD28" s="3"/>
      <c r="AE28" s="3"/>
      <c r="AF28" s="97"/>
      <c r="AG28" s="157"/>
      <c r="AH28" s="146"/>
    </row>
    <row r="29" spans="1:34" ht="14" thickBot="1" x14ac:dyDescent="0.2">
      <c r="A29" s="3"/>
      <c r="B29" s="3"/>
      <c r="C29" s="3"/>
      <c r="D29" s="43"/>
      <c r="E29" s="32"/>
      <c r="F29" s="9"/>
      <c r="G29" s="32"/>
      <c r="H29" s="145" t="s">
        <v>396</v>
      </c>
      <c r="I29" s="145" t="s">
        <v>397</v>
      </c>
      <c r="J29" s="141" t="s">
        <v>543</v>
      </c>
      <c r="K29" s="68"/>
      <c r="L29" s="24" t="s">
        <v>239</v>
      </c>
      <c r="M29" s="25">
        <v>0</v>
      </c>
      <c r="N29" s="25">
        <f t="shared" ref="N29:U29" si="14">M29+1</f>
        <v>1</v>
      </c>
      <c r="O29" s="26">
        <f t="shared" si="14"/>
        <v>2</v>
      </c>
      <c r="P29" s="25">
        <f t="shared" si="14"/>
        <v>3</v>
      </c>
      <c r="Q29" s="25">
        <f t="shared" si="14"/>
        <v>4</v>
      </c>
      <c r="R29" s="25">
        <f t="shared" si="14"/>
        <v>5</v>
      </c>
      <c r="S29" s="25">
        <f t="shared" si="14"/>
        <v>6</v>
      </c>
      <c r="T29" s="25">
        <f t="shared" si="14"/>
        <v>7</v>
      </c>
      <c r="U29" s="25">
        <f t="shared" si="14"/>
        <v>8</v>
      </c>
      <c r="V29" s="141" t="s">
        <v>542</v>
      </c>
      <c r="W29" s="144" t="s">
        <v>545</v>
      </c>
      <c r="X29" s="96" t="s">
        <v>480</v>
      </c>
      <c r="Y29" s="96" t="s">
        <v>481</v>
      </c>
      <c r="Z29" s="96" t="s">
        <v>482</v>
      </c>
      <c r="AA29" s="96" t="s">
        <v>483</v>
      </c>
      <c r="AB29" s="96" t="s">
        <v>484</v>
      </c>
      <c r="AC29" s="96" t="s">
        <v>485</v>
      </c>
      <c r="AD29" s="96" t="s">
        <v>487</v>
      </c>
      <c r="AE29" s="96" t="s">
        <v>486</v>
      </c>
      <c r="AF29" s="97">
        <f>ROUND(H32,0)</f>
        <v>7614</v>
      </c>
      <c r="AG29" s="157" t="s">
        <v>546</v>
      </c>
      <c r="AH29" s="146" t="s">
        <v>546</v>
      </c>
    </row>
    <row r="30" spans="1:34" x14ac:dyDescent="0.15">
      <c r="A30" s="14" t="s">
        <v>302</v>
      </c>
      <c r="B30" s="3"/>
      <c r="C30" s="132" t="str">
        <f>$C$8</f>
        <v>2018 ok</v>
      </c>
      <c r="D30" s="3"/>
      <c r="E30" s="4"/>
      <c r="F30" s="18"/>
      <c r="G30" s="32" t="s">
        <v>243</v>
      </c>
      <c r="H30" s="53" t="s">
        <v>266</v>
      </c>
      <c r="I30" s="53" t="s">
        <v>267</v>
      </c>
      <c r="J30" s="53" t="s">
        <v>266</v>
      </c>
      <c r="K30" s="53" t="s">
        <v>267</v>
      </c>
      <c r="L30" s="27" t="s">
        <v>240</v>
      </c>
      <c r="M30" s="23">
        <v>0</v>
      </c>
      <c r="N30" s="23">
        <f t="shared" ref="N30:U30" si="15">X30</f>
        <v>16.100000000000001</v>
      </c>
      <c r="O30" s="22">
        <f t="shared" si="15"/>
        <v>2.5</v>
      </c>
      <c r="P30" s="23">
        <f t="shared" si="15"/>
        <v>2.2000000000000002</v>
      </c>
      <c r="Q30" s="23">
        <f t="shared" si="15"/>
        <v>1.5</v>
      </c>
      <c r="R30" s="23">
        <f t="shared" si="15"/>
        <v>1.4</v>
      </c>
      <c r="S30" s="23">
        <f t="shared" si="15"/>
        <v>1.2</v>
      </c>
      <c r="T30" s="23">
        <f t="shared" si="15"/>
        <v>1.1000000000000001</v>
      </c>
      <c r="U30" s="23">
        <f t="shared" si="15"/>
        <v>1</v>
      </c>
      <c r="V30" s="23" t="str">
        <f>K30</f>
        <v>Enlig med børn:</v>
      </c>
      <c r="W30" s="144" t="s">
        <v>240</v>
      </c>
      <c r="X30" s="23">
        <f t="shared" ref="X30:AE30" si="16">ROUND(X32*100/M32,1)</f>
        <v>16.100000000000001</v>
      </c>
      <c r="Y30" s="23">
        <f t="shared" si="16"/>
        <v>2.5</v>
      </c>
      <c r="Z30" s="23">
        <f t="shared" si="16"/>
        <v>2.2000000000000002</v>
      </c>
      <c r="AA30" s="23">
        <f t="shared" si="16"/>
        <v>1.5</v>
      </c>
      <c r="AB30" s="23">
        <f t="shared" si="16"/>
        <v>1.4</v>
      </c>
      <c r="AC30" s="23">
        <f t="shared" si="16"/>
        <v>1.2</v>
      </c>
      <c r="AD30" s="23">
        <f t="shared" si="16"/>
        <v>1.1000000000000001</v>
      </c>
      <c r="AE30" s="23">
        <f t="shared" si="16"/>
        <v>1</v>
      </c>
      <c r="AF30" s="97" t="str">
        <f>M30&amp;"; "&amp;N30&amp;"; "&amp;O30&amp;"; "&amp;P30&amp;"; "&amp;Q30&amp;"; "&amp;R30&amp;"; "&amp;S30&amp;"; "&amp;T30&amp;"; "&amp;U30</f>
        <v>0; 16,1; 2,5; 2,2; 1,5; 1,4; 1,2; 1,1; 1</v>
      </c>
      <c r="AG30" s="157" t="s">
        <v>546</v>
      </c>
      <c r="AH30" s="146" t="s">
        <v>546</v>
      </c>
    </row>
    <row r="31" spans="1:34" x14ac:dyDescent="0.15">
      <c r="A31" s="140" t="str">
        <f>$A$9</f>
        <v>Forbrugsenheder</v>
      </c>
      <c r="B31" s="3"/>
      <c r="C31" s="132"/>
      <c r="D31" s="3"/>
      <c r="E31" s="4"/>
      <c r="F31" s="18"/>
      <c r="G31" s="289" t="str">
        <f>A31</f>
        <v>Forbrugsenheder</v>
      </c>
      <c r="H31" s="286">
        <v>0.88130345030964319</v>
      </c>
      <c r="I31" s="286">
        <v>1.0490098223805095</v>
      </c>
      <c r="J31" s="53"/>
      <c r="K31" s="53"/>
      <c r="L31" s="27"/>
      <c r="M31" s="23"/>
      <c r="N31" s="23"/>
      <c r="O31" s="22"/>
      <c r="P31" s="23"/>
      <c r="Q31" s="23"/>
      <c r="R31" s="23"/>
      <c r="S31" s="23"/>
      <c r="T31" s="23"/>
      <c r="U31" s="23"/>
      <c r="V31" s="23"/>
      <c r="W31" s="144"/>
      <c r="X31" s="23"/>
      <c r="Y31" s="23"/>
      <c r="Z31" s="23"/>
      <c r="AA31" s="23"/>
      <c r="AB31" s="23"/>
      <c r="AC31" s="23"/>
      <c r="AD31" s="23"/>
      <c r="AE31" s="23"/>
      <c r="AF31" s="97"/>
      <c r="AG31" s="157"/>
      <c r="AH31" s="146"/>
    </row>
    <row r="32" spans="1:34" x14ac:dyDescent="0.15">
      <c r="A32" s="3"/>
      <c r="B32" s="3"/>
      <c r="C32" s="46" t="s">
        <v>234</v>
      </c>
      <c r="D32" s="3" t="s">
        <v>232</v>
      </c>
      <c r="E32" s="9">
        <f>IF(Data!$E$4=1,F32,IF(Data!$E$4=2,0,0))</f>
        <v>0</v>
      </c>
      <c r="F32" s="9">
        <f>IF(Data!$E$5=0,M32,IF(Data!$E$5=1,N32,IF(Data!$E$5=2,O32,IF(Data!$E$5=3,P32,IF(Data!$E$5=4,Q32,IF(Data!$E$5=5,R32,IF(Data!$E$5=6,S32,IF(Data!$E$5=7,T32,U32))))))))</f>
        <v>8840.3901621940422</v>
      </c>
      <c r="G32" s="9"/>
      <c r="H32" s="6">
        <f>G37*H31</f>
        <v>7614.4618106753169</v>
      </c>
      <c r="I32" s="6">
        <f>G37*I31</f>
        <v>9063.4448653676027</v>
      </c>
      <c r="J32" s="6">
        <f>H32*$C$4/$K$2</f>
        <v>2284.3385432025948</v>
      </c>
      <c r="K32" s="6">
        <f>I32*$C$4/$M$2</f>
        <v>1812.6889730735204</v>
      </c>
      <c r="L32" s="27" t="s">
        <v>241</v>
      </c>
      <c r="M32" s="6">
        <f>H32</f>
        <v>7614.4618106753169</v>
      </c>
      <c r="N32" s="6">
        <f t="shared" ref="N32:U32" si="17">M32+M32*N30%</f>
        <v>8840.3901621940422</v>
      </c>
      <c r="O32" s="33">
        <f t="shared" si="17"/>
        <v>9061.3999162488926</v>
      </c>
      <c r="P32" s="6">
        <f t="shared" si="17"/>
        <v>9260.7507144063675</v>
      </c>
      <c r="Q32" s="6">
        <f t="shared" si="17"/>
        <v>9399.6619751224625</v>
      </c>
      <c r="R32" s="6">
        <f t="shared" si="17"/>
        <v>9531.2572427741761</v>
      </c>
      <c r="S32" s="6">
        <f t="shared" si="17"/>
        <v>9645.6323296874671</v>
      </c>
      <c r="T32" s="6">
        <f t="shared" si="17"/>
        <v>9751.734285314029</v>
      </c>
      <c r="U32" s="6">
        <f t="shared" si="17"/>
        <v>9849.2516281671687</v>
      </c>
      <c r="V32" s="6">
        <f>K32</f>
        <v>1812.6889730735204</v>
      </c>
      <c r="W32" s="144" t="s">
        <v>533</v>
      </c>
      <c r="X32" s="144">
        <f>500+(I32-H32)/2</f>
        <v>1224.4915273461429</v>
      </c>
      <c r="Y32" s="144">
        <f>I32-(H32+X32)</f>
        <v>224.4915273461429</v>
      </c>
      <c r="Z32" s="6">
        <f>Y32*90%</f>
        <v>202.04237461152863</v>
      </c>
      <c r="AA32" s="6">
        <f>Z32*70%</f>
        <v>141.42966222807004</v>
      </c>
      <c r="AB32" s="6">
        <f>AA32*90%</f>
        <v>127.28669600526304</v>
      </c>
      <c r="AC32" s="6">
        <f>AB32*90%</f>
        <v>114.55802640473674</v>
      </c>
      <c r="AD32" s="6">
        <f>AC32*90%</f>
        <v>103.10222376426306</v>
      </c>
      <c r="AE32" s="6">
        <f>AD32*90%</f>
        <v>92.792001387836748</v>
      </c>
      <c r="AF32" s="98">
        <f>ROUND(H35,0)</f>
        <v>16687</v>
      </c>
      <c r="AG32" s="157" t="s">
        <v>546</v>
      </c>
      <c r="AH32" s="146" t="s">
        <v>546</v>
      </c>
    </row>
    <row r="33" spans="1:34" x14ac:dyDescent="0.15">
      <c r="A33" s="3"/>
      <c r="B33" s="3"/>
      <c r="C33" s="46"/>
      <c r="D33" s="3"/>
      <c r="E33" s="14"/>
      <c r="F33" s="18"/>
      <c r="G33" s="3"/>
      <c r="H33" s="53" t="s">
        <v>339</v>
      </c>
      <c r="I33" s="53" t="s">
        <v>338</v>
      </c>
      <c r="J33" s="53" t="s">
        <v>339</v>
      </c>
      <c r="K33" s="53" t="s">
        <v>338</v>
      </c>
      <c r="L33" s="27" t="s">
        <v>240</v>
      </c>
      <c r="M33" s="23">
        <v>0</v>
      </c>
      <c r="N33" s="23">
        <f t="shared" ref="N33:U33" si="18">X33</f>
        <v>15.7</v>
      </c>
      <c r="O33" s="23">
        <f t="shared" si="18"/>
        <v>8.4</v>
      </c>
      <c r="P33" s="23">
        <f t="shared" si="18"/>
        <v>0.8</v>
      </c>
      <c r="Q33" s="23">
        <f t="shared" si="18"/>
        <v>0.5</v>
      </c>
      <c r="R33" s="23">
        <f t="shared" si="18"/>
        <v>0.5</v>
      </c>
      <c r="S33" s="23">
        <f t="shared" si="18"/>
        <v>0.4</v>
      </c>
      <c r="T33" s="23">
        <f t="shared" si="18"/>
        <v>0.4</v>
      </c>
      <c r="U33" s="23">
        <f t="shared" si="18"/>
        <v>0.3</v>
      </c>
      <c r="V33" s="23" t="str">
        <f>K33</f>
        <v>2 v med børn:</v>
      </c>
      <c r="W33" s="144" t="s">
        <v>240</v>
      </c>
      <c r="X33" s="23">
        <f t="shared" ref="X33:AE33" si="19">ROUND(X35*100/M35,1)</f>
        <v>15.7</v>
      </c>
      <c r="Y33" s="23">
        <f t="shared" si="19"/>
        <v>8.4</v>
      </c>
      <c r="Z33" s="23">
        <f t="shared" si="19"/>
        <v>0.8</v>
      </c>
      <c r="AA33" s="23">
        <f t="shared" si="19"/>
        <v>0.5</v>
      </c>
      <c r="AB33" s="23">
        <f t="shared" si="19"/>
        <v>0.5</v>
      </c>
      <c r="AC33" s="23">
        <f t="shared" si="19"/>
        <v>0.4</v>
      </c>
      <c r="AD33" s="23">
        <f t="shared" si="19"/>
        <v>0.4</v>
      </c>
      <c r="AE33" s="23">
        <f t="shared" si="19"/>
        <v>0.3</v>
      </c>
      <c r="AF33" s="97" t="str">
        <f>M33&amp;"; "&amp;N33&amp;"; "&amp;O33&amp;"; "&amp;P33&amp;"; "&amp;Q33&amp;"; "&amp;R33&amp;"; "&amp;S33&amp;"; "&amp;T33&amp;"; "&amp;U33</f>
        <v>0; 15,7; 8,4; 0,8; 0,5; 0,5; 0,4; 0,4; 0,3</v>
      </c>
      <c r="AG33" s="157" t="s">
        <v>546</v>
      </c>
      <c r="AH33" s="146" t="s">
        <v>546</v>
      </c>
    </row>
    <row r="34" spans="1:34" x14ac:dyDescent="0.15">
      <c r="A34" s="140" t="str">
        <f>$A$9</f>
        <v>Forbrugsenheder</v>
      </c>
      <c r="B34" s="3"/>
      <c r="C34" s="46"/>
      <c r="D34" s="3"/>
      <c r="E34" s="14"/>
      <c r="F34" s="18"/>
      <c r="G34" s="289" t="str">
        <f>A34</f>
        <v>Forbrugsenheder</v>
      </c>
      <c r="H34" s="286">
        <v>1.9313907855635959</v>
      </c>
      <c r="I34" s="286">
        <v>2.4204682076991131</v>
      </c>
      <c r="J34" s="53"/>
      <c r="K34" s="53"/>
      <c r="L34" s="27"/>
      <c r="M34" s="23"/>
      <c r="N34" s="23"/>
      <c r="O34" s="23"/>
      <c r="P34" s="23"/>
      <c r="Q34" s="23"/>
      <c r="R34" s="23"/>
      <c r="S34" s="23"/>
      <c r="T34" s="23"/>
      <c r="U34" s="23"/>
      <c r="V34" s="23"/>
      <c r="W34" s="144"/>
      <c r="X34" s="23"/>
      <c r="Y34" s="23"/>
      <c r="Z34" s="23"/>
      <c r="AA34" s="23"/>
      <c r="AB34" s="23"/>
      <c r="AC34" s="23"/>
      <c r="AD34" s="23"/>
      <c r="AE34" s="23"/>
      <c r="AF34" s="97"/>
      <c r="AG34" s="157"/>
      <c r="AH34" s="146"/>
    </row>
    <row r="35" spans="1:34" x14ac:dyDescent="0.15">
      <c r="A35" s="3" t="s">
        <v>388</v>
      </c>
      <c r="B35" s="9">
        <f>(H35/1.5)*0.5</f>
        <v>5562.4054624231567</v>
      </c>
      <c r="C35" s="46" t="s">
        <v>235</v>
      </c>
      <c r="D35" s="3" t="s">
        <v>233</v>
      </c>
      <c r="E35" s="9">
        <f>IF(Data!$E$4=1,0,IF(Data!$E$4=2,F35,F35+B35*Data!G4))</f>
        <v>19307.109360070775</v>
      </c>
      <c r="F35" s="9">
        <f>IF(Data!$E$5=0,M35,IF(Data!$E$5=1,N35,IF(Data!$E$5=2,O35,IF(Data!$E$5=3,P35,IF(Data!$E$5=4,Q35,IF(Data!$E$5=5,R35,IF(Data!$E$5=6,S35,IF(Data!$E$5=7,T35,U35))))))))</f>
        <v>19307.109360070775</v>
      </c>
      <c r="G35" s="9"/>
      <c r="H35" s="6">
        <f>G37*H34</f>
        <v>16687.216387269469</v>
      </c>
      <c r="I35" s="6">
        <f>G37*I34</f>
        <v>20912.845314520338</v>
      </c>
      <c r="J35" s="6">
        <f>H35*$C$4/$K$3</f>
        <v>3337.4432774538941</v>
      </c>
      <c r="K35" s="6">
        <f>I35*$C$4/$M$3</f>
        <v>2987.5493306457624</v>
      </c>
      <c r="L35" s="27" t="s">
        <v>241</v>
      </c>
      <c r="M35" s="6">
        <f>H35</f>
        <v>16687.216387269469</v>
      </c>
      <c r="N35" s="6">
        <f t="shared" ref="N35:U35" si="20">M35+M35*N33%</f>
        <v>19307.109360070775</v>
      </c>
      <c r="O35" s="33">
        <f t="shared" si="20"/>
        <v>20928.906546316721</v>
      </c>
      <c r="P35" s="6">
        <f t="shared" si="20"/>
        <v>21096.337798687255</v>
      </c>
      <c r="Q35" s="6">
        <f t="shared" si="20"/>
        <v>21201.819487680692</v>
      </c>
      <c r="R35" s="6">
        <f t="shared" si="20"/>
        <v>21307.828585119096</v>
      </c>
      <c r="S35" s="6">
        <f t="shared" si="20"/>
        <v>21393.059899459571</v>
      </c>
      <c r="T35" s="6">
        <f t="shared" si="20"/>
        <v>21478.632139057408</v>
      </c>
      <c r="U35" s="6">
        <f t="shared" si="20"/>
        <v>21543.068035474582</v>
      </c>
      <c r="V35" s="6">
        <f>K35</f>
        <v>2987.5493306457624</v>
      </c>
      <c r="W35" s="144" t="s">
        <v>533</v>
      </c>
      <c r="X35" s="144">
        <f>500+(I35-H35)/2</f>
        <v>2612.8144636254347</v>
      </c>
      <c r="Y35" s="144">
        <f>I35-(H35+X35)</f>
        <v>1612.8144636254365</v>
      </c>
      <c r="Z35" s="6">
        <f>Y35*10%</f>
        <v>161.28144636254365</v>
      </c>
      <c r="AA35" s="6">
        <f>Z35*70%</f>
        <v>112.89701245378055</v>
      </c>
      <c r="AB35" s="6">
        <f>AA35*90%</f>
        <v>101.60731120840249</v>
      </c>
      <c r="AC35" s="6">
        <f>AB35*90%</f>
        <v>91.446580087562239</v>
      </c>
      <c r="AD35" s="6">
        <f>AC35*90%</f>
        <v>82.301922078806015</v>
      </c>
      <c r="AE35" s="6">
        <f>AD35*90%</f>
        <v>74.07172987092541</v>
      </c>
      <c r="AF35" s="97">
        <f>ROUND(B35,0)</f>
        <v>5562</v>
      </c>
      <c r="AG35" s="157" t="s">
        <v>546</v>
      </c>
      <c r="AH35" s="146" t="s">
        <v>546</v>
      </c>
    </row>
    <row r="36" spans="1:34" ht="14" thickBot="1" x14ac:dyDescent="0.2">
      <c r="A36" s="3"/>
      <c r="B36" s="9"/>
      <c r="C36" s="46"/>
      <c r="D36" s="37" t="s">
        <v>225</v>
      </c>
      <c r="E36" s="28">
        <f>IF(Data!$E$4=0,0,IF(Data!$E$4=1,E32,IF(Data!$E$4=2,E35,E35)))</f>
        <v>19307.109360070775</v>
      </c>
      <c r="F36" s="29"/>
      <c r="G36" s="291">
        <f>'DS-tal-valgte'!D29</f>
        <v>12960</v>
      </c>
      <c r="H36" s="284" t="str">
        <f>$H$14</f>
        <v>Forbrugsenheder aktuelt:</v>
      </c>
      <c r="I36" s="284" t="str">
        <f>$I$14</f>
        <v>I alt efter forbrugsenheder:</v>
      </c>
      <c r="J36" s="34"/>
      <c r="K36" s="34"/>
      <c r="L36" s="24"/>
      <c r="M36" s="6"/>
      <c r="N36" s="6"/>
      <c r="O36" s="6"/>
      <c r="P36" s="6"/>
      <c r="Q36" s="6"/>
      <c r="R36" s="6"/>
      <c r="S36" s="6"/>
      <c r="T36" s="6"/>
      <c r="U36" s="6"/>
      <c r="V36" s="6"/>
      <c r="W36" s="144"/>
      <c r="X36" s="6"/>
      <c r="Y36" s="3"/>
      <c r="Z36" s="3"/>
      <c r="AA36" s="3"/>
      <c r="AB36" s="3"/>
      <c r="AC36" s="3"/>
      <c r="AD36" s="3"/>
      <c r="AE36" s="3"/>
      <c r="AF36" s="97"/>
      <c r="AG36" s="157" t="s">
        <v>546</v>
      </c>
      <c r="AH36" s="146" t="s">
        <v>546</v>
      </c>
    </row>
    <row r="37" spans="1:34" x14ac:dyDescent="0.15">
      <c r="A37" s="3"/>
      <c r="B37" s="9"/>
      <c r="C37" s="149"/>
      <c r="D37" s="150" t="s">
        <v>560</v>
      </c>
      <c r="E37" s="151">
        <f>E36/$AJ$11</f>
        <v>10726.171866705987</v>
      </c>
      <c r="F37" s="152"/>
      <c r="G37" s="292">
        <f>G36/$M$4</f>
        <v>8640</v>
      </c>
      <c r="H37" s="286">
        <f>$AJ$11</f>
        <v>1.8</v>
      </c>
      <c r="I37" s="284">
        <f>H37*G37</f>
        <v>15552</v>
      </c>
      <c r="J37" s="153"/>
      <c r="K37" s="153"/>
      <c r="L37" s="154"/>
      <c r="M37" s="153"/>
      <c r="N37" s="153"/>
      <c r="O37" s="153"/>
      <c r="P37" s="153"/>
      <c r="Q37" s="153"/>
      <c r="R37" s="153"/>
      <c r="S37" s="153"/>
      <c r="T37" s="153"/>
      <c r="U37" s="153"/>
      <c r="V37" s="153"/>
      <c r="W37" s="155"/>
      <c r="X37" s="153"/>
      <c r="Y37" s="156"/>
      <c r="Z37" s="156"/>
      <c r="AA37" s="156"/>
      <c r="AB37" s="156"/>
      <c r="AC37" s="156"/>
      <c r="AD37" s="156"/>
      <c r="AE37" s="156"/>
      <c r="AF37" s="160"/>
      <c r="AG37" s="157" t="s">
        <v>546</v>
      </c>
      <c r="AH37" s="146"/>
    </row>
    <row r="38" spans="1:34" ht="14" thickBot="1" x14ac:dyDescent="0.2">
      <c r="A38" s="250"/>
      <c r="B38" s="250"/>
      <c r="C38" s="250"/>
      <c r="D38" s="248" t="s">
        <v>737</v>
      </c>
      <c r="E38" s="249">
        <f>E36/12</f>
        <v>1608.9257800058979</v>
      </c>
      <c r="F38" s="9"/>
      <c r="G38" s="32"/>
      <c r="H38" s="23"/>
      <c r="I38" s="23"/>
      <c r="J38" s="23"/>
      <c r="K38" s="23"/>
      <c r="L38" s="27"/>
      <c r="M38" s="6"/>
      <c r="N38" s="6"/>
      <c r="O38" s="6"/>
      <c r="P38" s="6"/>
      <c r="Q38" s="6"/>
      <c r="R38" s="6"/>
      <c r="S38" s="6"/>
      <c r="T38" s="6"/>
      <c r="U38" s="6"/>
      <c r="V38" s="6"/>
      <c r="W38" s="144"/>
      <c r="X38" s="6"/>
      <c r="Y38" s="3"/>
      <c r="Z38" s="3"/>
      <c r="AA38" s="3"/>
      <c r="AB38" s="3"/>
      <c r="AC38" s="3"/>
      <c r="AD38" s="3"/>
      <c r="AE38" s="3"/>
      <c r="AF38" s="97"/>
      <c r="AG38" s="157" t="s">
        <v>546</v>
      </c>
      <c r="AH38" s="146" t="s">
        <v>546</v>
      </c>
    </row>
    <row r="39" spans="1:34" x14ac:dyDescent="0.15">
      <c r="A39" s="3"/>
      <c r="B39" s="9"/>
      <c r="C39" s="3"/>
      <c r="D39" s="43"/>
      <c r="E39" s="32"/>
      <c r="F39" s="9"/>
      <c r="G39" s="32"/>
      <c r="H39" s="23"/>
      <c r="I39" s="23"/>
      <c r="J39" s="23"/>
      <c r="K39" s="23"/>
      <c r="L39" s="27"/>
      <c r="M39" s="6"/>
      <c r="N39" s="6"/>
      <c r="O39" s="6"/>
      <c r="P39" s="6"/>
      <c r="Q39" s="6"/>
      <c r="R39" s="6"/>
      <c r="S39" s="6"/>
      <c r="T39" s="6"/>
      <c r="U39" s="6"/>
      <c r="V39" s="6"/>
      <c r="W39" s="144"/>
      <c r="X39" s="6"/>
      <c r="Y39" s="3"/>
      <c r="Z39" s="3"/>
      <c r="AA39" s="3"/>
      <c r="AB39" s="3"/>
      <c r="AC39" s="3"/>
      <c r="AD39" s="3"/>
      <c r="AE39" s="3"/>
      <c r="AF39" s="97"/>
      <c r="AG39" s="157"/>
      <c r="AH39" s="146"/>
    </row>
    <row r="40" spans="1:34" ht="14" thickBot="1" x14ac:dyDescent="0.2">
      <c r="A40" s="3"/>
      <c r="B40" s="3"/>
      <c r="C40" s="3"/>
      <c r="D40" s="43"/>
      <c r="E40" s="32"/>
      <c r="F40" s="9"/>
      <c r="G40" s="32"/>
      <c r="H40" s="145" t="s">
        <v>396</v>
      </c>
      <c r="I40" s="145" t="s">
        <v>397</v>
      </c>
      <c r="J40" s="141" t="s">
        <v>543</v>
      </c>
      <c r="K40" s="68"/>
      <c r="L40" s="24" t="s">
        <v>239</v>
      </c>
      <c r="M40" s="25">
        <v>0</v>
      </c>
      <c r="N40" s="25">
        <f t="shared" ref="N40:U40" si="21">M40+1</f>
        <v>1</v>
      </c>
      <c r="O40" s="26">
        <f t="shared" si="21"/>
        <v>2</v>
      </c>
      <c r="P40" s="25">
        <f t="shared" si="21"/>
        <v>3</v>
      </c>
      <c r="Q40" s="25">
        <f t="shared" si="21"/>
        <v>4</v>
      </c>
      <c r="R40" s="25">
        <f t="shared" si="21"/>
        <v>5</v>
      </c>
      <c r="S40" s="25">
        <f t="shared" si="21"/>
        <v>6</v>
      </c>
      <c r="T40" s="25">
        <f t="shared" si="21"/>
        <v>7</v>
      </c>
      <c r="U40" s="25">
        <f t="shared" si="21"/>
        <v>8</v>
      </c>
      <c r="V40" s="141" t="s">
        <v>542</v>
      </c>
      <c r="W40" s="144" t="s">
        <v>545</v>
      </c>
      <c r="X40" s="96" t="s">
        <v>480</v>
      </c>
      <c r="Y40" s="96" t="s">
        <v>481</v>
      </c>
      <c r="Z40" s="96" t="s">
        <v>482</v>
      </c>
      <c r="AA40" s="96" t="s">
        <v>483</v>
      </c>
      <c r="AB40" s="96" t="s">
        <v>484</v>
      </c>
      <c r="AC40" s="96" t="s">
        <v>485</v>
      </c>
      <c r="AD40" s="96" t="s">
        <v>487</v>
      </c>
      <c r="AE40" s="96" t="s">
        <v>486</v>
      </c>
      <c r="AF40" s="97">
        <f>ROUND(H43,0)</f>
        <v>2279</v>
      </c>
      <c r="AG40" s="157" t="s">
        <v>546</v>
      </c>
      <c r="AH40" s="146" t="s">
        <v>546</v>
      </c>
    </row>
    <row r="41" spans="1:34" x14ac:dyDescent="0.15">
      <c r="A41" s="14" t="s">
        <v>531</v>
      </c>
      <c r="B41" s="3"/>
      <c r="C41" s="132" t="str">
        <f>$C$8</f>
        <v>2018 ok</v>
      </c>
      <c r="D41" s="3"/>
      <c r="E41" s="4"/>
      <c r="F41" s="18"/>
      <c r="G41" s="32" t="s">
        <v>243</v>
      </c>
      <c r="H41" s="53" t="s">
        <v>266</v>
      </c>
      <c r="I41" s="53" t="s">
        <v>267</v>
      </c>
      <c r="J41" s="53" t="s">
        <v>266</v>
      </c>
      <c r="K41" s="53" t="s">
        <v>267</v>
      </c>
      <c r="L41" s="27" t="s">
        <v>240</v>
      </c>
      <c r="M41" s="23">
        <v>0</v>
      </c>
      <c r="N41" s="23">
        <f t="shared" ref="N41:U41" si="22">X41</f>
        <v>3.2</v>
      </c>
      <c r="O41" s="22">
        <f t="shared" si="22"/>
        <v>6.5</v>
      </c>
      <c r="P41" s="23">
        <f t="shared" si="22"/>
        <v>3.7</v>
      </c>
      <c r="Q41" s="23">
        <f t="shared" si="22"/>
        <v>0</v>
      </c>
      <c r="R41" s="23">
        <f t="shared" si="22"/>
        <v>0</v>
      </c>
      <c r="S41" s="23">
        <f t="shared" si="22"/>
        <v>0</v>
      </c>
      <c r="T41" s="23">
        <f t="shared" si="22"/>
        <v>0</v>
      </c>
      <c r="U41" s="23">
        <f t="shared" si="22"/>
        <v>0</v>
      </c>
      <c r="V41" s="23" t="str">
        <f>K41</f>
        <v>Enlig med børn:</v>
      </c>
      <c r="W41" s="144" t="s">
        <v>240</v>
      </c>
      <c r="X41" s="23">
        <f t="shared" ref="X41:AE41" si="23">ROUND(X43*100/M43,1)</f>
        <v>3.2</v>
      </c>
      <c r="Y41" s="23">
        <f t="shared" si="23"/>
        <v>6.5</v>
      </c>
      <c r="Z41" s="23">
        <f t="shared" si="23"/>
        <v>3.7</v>
      </c>
      <c r="AA41" s="23">
        <f t="shared" si="23"/>
        <v>0</v>
      </c>
      <c r="AB41" s="23">
        <f t="shared" si="23"/>
        <v>0</v>
      </c>
      <c r="AC41" s="23">
        <f t="shared" si="23"/>
        <v>0</v>
      </c>
      <c r="AD41" s="23">
        <f t="shared" si="23"/>
        <v>0</v>
      </c>
      <c r="AE41" s="23">
        <f t="shared" si="23"/>
        <v>0</v>
      </c>
      <c r="AF41" s="97" t="str">
        <f>M41&amp;"; "&amp;N41&amp;"; "&amp;O41&amp;"; "&amp;P41&amp;"; "&amp;Q41&amp;"; "&amp;R41&amp;"; "&amp;S41&amp;"; "&amp;T41&amp;"; "&amp;U41</f>
        <v>0; 3,2; 6,5; 3,7; 0; 0; 0; 0; 0</v>
      </c>
      <c r="AG41" s="157" t="s">
        <v>546</v>
      </c>
      <c r="AH41" s="146" t="s">
        <v>546</v>
      </c>
    </row>
    <row r="42" spans="1:34" x14ac:dyDescent="0.15">
      <c r="A42" s="140" t="str">
        <f>$A$9</f>
        <v>Forbrugsenheder</v>
      </c>
      <c r="B42" s="3"/>
      <c r="C42" s="132"/>
      <c r="D42" s="3"/>
      <c r="E42" s="4"/>
      <c r="F42" s="18"/>
      <c r="G42" s="289" t="str">
        <f>A42</f>
        <v>Forbrugsenheder</v>
      </c>
      <c r="H42" s="286">
        <v>0.65303935831400139</v>
      </c>
      <c r="I42" s="286">
        <v>0.71797467856721564</v>
      </c>
      <c r="J42" s="53"/>
      <c r="K42" s="53"/>
      <c r="L42" s="27"/>
      <c r="M42" s="23"/>
      <c r="N42" s="23"/>
      <c r="O42" s="22"/>
      <c r="P42" s="23"/>
      <c r="Q42" s="23"/>
      <c r="R42" s="23"/>
      <c r="S42" s="23"/>
      <c r="T42" s="23"/>
      <c r="U42" s="23"/>
      <c r="V42" s="23"/>
      <c r="W42" s="144"/>
      <c r="X42" s="23"/>
      <c r="Y42" s="23"/>
      <c r="Z42" s="23"/>
      <c r="AA42" s="23"/>
      <c r="AB42" s="23"/>
      <c r="AC42" s="23"/>
      <c r="AD42" s="23"/>
      <c r="AE42" s="23"/>
      <c r="AF42" s="97"/>
      <c r="AG42" s="157"/>
      <c r="AH42" s="146"/>
    </row>
    <row r="43" spans="1:34" x14ac:dyDescent="0.15">
      <c r="A43" s="3"/>
      <c r="B43" s="3"/>
      <c r="C43" s="46" t="s">
        <v>234</v>
      </c>
      <c r="D43" s="3" t="s">
        <v>398</v>
      </c>
      <c r="E43" s="9">
        <f>IF(Data!$E$4=1,F43,IF(Data!$E$4=2,0,0))</f>
        <v>0</v>
      </c>
      <c r="F43" s="9">
        <f>IF(Data!$E$5=0,M43,IF(Data!$E$5=1,N43,IF(Data!$E$5=2,O43,IF(Data!$E$5=3,P43,IF(Data!$E$5=4,Q43,IF(Data!$E$5=5,R43,IF(Data!$E$5=6,S43,IF(Data!$E$5=7,T43,U43))))))))</f>
        <v>2351.5895049738529</v>
      </c>
      <c r="G43" s="9"/>
      <c r="H43" s="6">
        <f>G48*H42</f>
        <v>2278.6720009436558</v>
      </c>
      <c r="I43" s="6">
        <f>G48*I42</f>
        <v>2505.252978413871</v>
      </c>
      <c r="J43" s="6">
        <f>H43*$C$4/$K$2</f>
        <v>683.60160028309667</v>
      </c>
      <c r="K43" s="6">
        <f>I43*$C$4/$M$2</f>
        <v>501.0505956827742</v>
      </c>
      <c r="L43" s="27" t="s">
        <v>241</v>
      </c>
      <c r="M43" s="6">
        <f>H43</f>
        <v>2278.6720009436558</v>
      </c>
      <c r="N43" s="6">
        <f t="shared" ref="N43:U43" si="24">M43+M43*N41%</f>
        <v>2351.5895049738529</v>
      </c>
      <c r="O43" s="33">
        <f t="shared" si="24"/>
        <v>2504.4428227971534</v>
      </c>
      <c r="P43" s="6">
        <f t="shared" si="24"/>
        <v>2597.1072072406482</v>
      </c>
      <c r="Q43" s="6">
        <f t="shared" si="24"/>
        <v>2597.1072072406482</v>
      </c>
      <c r="R43" s="6">
        <f t="shared" si="24"/>
        <v>2597.1072072406482</v>
      </c>
      <c r="S43" s="6">
        <f t="shared" si="24"/>
        <v>2597.1072072406482</v>
      </c>
      <c r="T43" s="6">
        <f t="shared" si="24"/>
        <v>2597.1072072406482</v>
      </c>
      <c r="U43" s="6">
        <f t="shared" si="24"/>
        <v>2597.1072072406482</v>
      </c>
      <c r="V43" s="6">
        <f>K43</f>
        <v>501.0505956827742</v>
      </c>
      <c r="W43" s="144" t="s">
        <v>533</v>
      </c>
      <c r="X43" s="144">
        <f>-40+(I43-H43)/2</f>
        <v>73.290488735107601</v>
      </c>
      <c r="Y43" s="144">
        <f>I43-(H43+X43)</f>
        <v>153.29048873510737</v>
      </c>
      <c r="Z43" s="6">
        <f>Y43*60%</f>
        <v>91.974293241064416</v>
      </c>
      <c r="AA43" s="6">
        <f>Z43*0%</f>
        <v>0</v>
      </c>
      <c r="AB43" s="6">
        <f>AA43*90%</f>
        <v>0</v>
      </c>
      <c r="AC43" s="6">
        <f>AB43*90%</f>
        <v>0</v>
      </c>
      <c r="AD43" s="6">
        <f>AC43*90%</f>
        <v>0</v>
      </c>
      <c r="AE43" s="6">
        <f>AD43*90%</f>
        <v>0</v>
      </c>
      <c r="AF43" s="98">
        <f>ROUND(H46,0)</f>
        <v>5431</v>
      </c>
      <c r="AG43" s="157" t="s">
        <v>546</v>
      </c>
      <c r="AH43" s="146" t="s">
        <v>546</v>
      </c>
    </row>
    <row r="44" spans="1:34" x14ac:dyDescent="0.15">
      <c r="A44" s="3"/>
      <c r="B44" s="3"/>
      <c r="C44" s="46"/>
      <c r="D44" s="3"/>
      <c r="E44" s="3"/>
      <c r="F44" s="18"/>
      <c r="G44" s="18"/>
      <c r="H44" s="53" t="s">
        <v>339</v>
      </c>
      <c r="I44" s="53" t="s">
        <v>338</v>
      </c>
      <c r="J44" s="53" t="s">
        <v>339</v>
      </c>
      <c r="K44" s="53" t="s">
        <v>338</v>
      </c>
      <c r="L44" s="27" t="s">
        <v>240</v>
      </c>
      <c r="M44" s="23">
        <v>0</v>
      </c>
      <c r="N44" s="23">
        <f t="shared" ref="N44:U44" si="25">X44</f>
        <v>-8.1</v>
      </c>
      <c r="O44" s="23">
        <f t="shared" si="25"/>
        <v>-8.8000000000000007</v>
      </c>
      <c r="P44" s="23">
        <f t="shared" si="25"/>
        <v>-5.8</v>
      </c>
      <c r="Q44" s="23">
        <f t="shared" si="25"/>
        <v>0</v>
      </c>
      <c r="R44" s="23">
        <f t="shared" si="25"/>
        <v>0</v>
      </c>
      <c r="S44" s="23">
        <f t="shared" si="25"/>
        <v>0</v>
      </c>
      <c r="T44" s="23">
        <f t="shared" si="25"/>
        <v>0</v>
      </c>
      <c r="U44" s="23">
        <f t="shared" si="25"/>
        <v>0</v>
      </c>
      <c r="V44" s="23" t="str">
        <f>K44</f>
        <v>2 v med børn:</v>
      </c>
      <c r="W44" s="144" t="s">
        <v>240</v>
      </c>
      <c r="X44" s="23">
        <f t="shared" ref="X44:AE44" si="26">ROUND(X46*100/M46,1)</f>
        <v>-8.1</v>
      </c>
      <c r="Y44" s="23">
        <f>ROUND(Y46*100/N46,1)</f>
        <v>-8.8000000000000007</v>
      </c>
      <c r="Z44" s="23">
        <f t="shared" si="26"/>
        <v>-5.8</v>
      </c>
      <c r="AA44" s="23">
        <f t="shared" si="26"/>
        <v>0</v>
      </c>
      <c r="AB44" s="23">
        <f t="shared" si="26"/>
        <v>0</v>
      </c>
      <c r="AC44" s="23">
        <f t="shared" si="26"/>
        <v>0</v>
      </c>
      <c r="AD44" s="23">
        <f t="shared" si="26"/>
        <v>0</v>
      </c>
      <c r="AE44" s="23">
        <f t="shared" si="26"/>
        <v>0</v>
      </c>
      <c r="AF44" s="97" t="str">
        <f>M44&amp;"; "&amp;N44&amp;"; "&amp;O44&amp;"; "&amp;P44&amp;"; "&amp;Q44&amp;"; "&amp;R44&amp;"; "&amp;S44&amp;"; "&amp;T44&amp;"; "&amp;U44</f>
        <v>0; -8,1; -8,8; -5,8; 0; 0; 0; 0; 0</v>
      </c>
      <c r="AG44" s="157" t="s">
        <v>546</v>
      </c>
      <c r="AH44" s="146" t="s">
        <v>546</v>
      </c>
    </row>
    <row r="45" spans="1:34" x14ac:dyDescent="0.15">
      <c r="A45" s="140" t="str">
        <f>$A$9</f>
        <v>Forbrugsenheder</v>
      </c>
      <c r="B45" s="3"/>
      <c r="C45" s="46"/>
      <c r="D45" s="3"/>
      <c r="E45" s="3"/>
      <c r="F45" s="18"/>
      <c r="G45" s="289" t="str">
        <f>A45</f>
        <v>Forbrugsenheder</v>
      </c>
      <c r="H45" s="286">
        <v>1.5564719065780674</v>
      </c>
      <c r="I45" s="286">
        <v>1.3046337435615145</v>
      </c>
      <c r="J45" s="53"/>
      <c r="K45" s="53"/>
      <c r="L45" s="27"/>
      <c r="M45" s="23"/>
      <c r="N45" s="23"/>
      <c r="O45" s="23"/>
      <c r="P45" s="23"/>
      <c r="Q45" s="23"/>
      <c r="R45" s="23"/>
      <c r="S45" s="23"/>
      <c r="T45" s="23"/>
      <c r="U45" s="23"/>
      <c r="V45" s="23"/>
      <c r="W45" s="144"/>
      <c r="X45" s="23"/>
      <c r="Y45" s="23"/>
      <c r="Z45" s="23"/>
      <c r="AA45" s="23"/>
      <c r="AB45" s="23"/>
      <c r="AC45" s="23"/>
      <c r="AD45" s="23"/>
      <c r="AE45" s="23"/>
      <c r="AF45" s="97"/>
      <c r="AG45" s="157"/>
      <c r="AH45" s="146"/>
    </row>
    <row r="46" spans="1:34" x14ac:dyDescent="0.15">
      <c r="A46" s="3" t="s">
        <v>388</v>
      </c>
      <c r="B46" s="9">
        <f>(H46/1.5)*0.5</f>
        <v>1810.3497686732455</v>
      </c>
      <c r="C46" s="46" t="s">
        <v>235</v>
      </c>
      <c r="D46" s="3" t="s">
        <v>399</v>
      </c>
      <c r="E46" s="9">
        <f>IF(Data!$E$4=1,0,IF(Data!$E$4=2,F46,F46+B46*Data!$G$4))</f>
        <v>4991.1343122321377</v>
      </c>
      <c r="F46" s="9">
        <f>IF(Data!$E$5=0,M46,IF(Data!$E$5=1,N46,IF(Data!$E$5=2,O46,IF(Data!$E$5=3,P46,IF(Data!$E$5=4,Q46,IF(Data!$E$5=5,R46,IF(Data!$E$5=6,S46,IF(Data!$E$5=7,T46,U46))))))))</f>
        <v>4991.1343122321377</v>
      </c>
      <c r="G46" s="3"/>
      <c r="H46" s="6">
        <f>G48*H45</f>
        <v>5431.0493060197368</v>
      </c>
      <c r="I46" s="6">
        <f>G48*I45</f>
        <v>4552.3020092006445</v>
      </c>
      <c r="J46" s="6">
        <f>H46*$C$4/$K$3</f>
        <v>1086.2098612039474</v>
      </c>
      <c r="K46" s="6">
        <f>I46*$C$4/$M$3</f>
        <v>650.3288584572349</v>
      </c>
      <c r="L46" s="27" t="s">
        <v>241</v>
      </c>
      <c r="M46" s="6">
        <f>H46</f>
        <v>5431.0493060197368</v>
      </c>
      <c r="N46" s="6">
        <f t="shared" ref="N46:U46" si="27">M46+M46*N44%</f>
        <v>4991.1343122321377</v>
      </c>
      <c r="O46" s="33">
        <f t="shared" si="27"/>
        <v>4551.9144927557099</v>
      </c>
      <c r="P46" s="6">
        <f t="shared" si="27"/>
        <v>4287.9034521758786</v>
      </c>
      <c r="Q46" s="6">
        <f t="shared" si="27"/>
        <v>4287.9034521758786</v>
      </c>
      <c r="R46" s="6">
        <f t="shared" si="27"/>
        <v>4287.9034521758786</v>
      </c>
      <c r="S46" s="6">
        <f t="shared" si="27"/>
        <v>4287.9034521758786</v>
      </c>
      <c r="T46" s="6">
        <f t="shared" si="27"/>
        <v>4287.9034521758786</v>
      </c>
      <c r="U46" s="6">
        <f t="shared" si="27"/>
        <v>4287.9034521758786</v>
      </c>
      <c r="V46" s="6">
        <f>K46</f>
        <v>650.3288584572349</v>
      </c>
      <c r="W46" s="144" t="s">
        <v>533</v>
      </c>
      <c r="X46" s="144">
        <f>(I46-H46)/2</f>
        <v>-439.37364840954615</v>
      </c>
      <c r="Y46" s="144">
        <f>I46-(H46+X46)</f>
        <v>-439.37364840954615</v>
      </c>
      <c r="Z46" s="6">
        <f>Y46*60%</f>
        <v>-263.62418904572769</v>
      </c>
      <c r="AA46" s="6">
        <f>Z46*0%</f>
        <v>0</v>
      </c>
      <c r="AB46" s="6">
        <f>AA46*0%</f>
        <v>0</v>
      </c>
      <c r="AC46" s="6">
        <f>AB46*0%</f>
        <v>0</v>
      </c>
      <c r="AD46" s="6">
        <f>AC46*90%</f>
        <v>0</v>
      </c>
      <c r="AE46" s="6">
        <f>AD46*90%</f>
        <v>0</v>
      </c>
      <c r="AF46" s="97">
        <f>ROUND(B46,0)</f>
        <v>1810</v>
      </c>
      <c r="AG46" s="157" t="s">
        <v>546</v>
      </c>
      <c r="AH46" s="146" t="s">
        <v>546</v>
      </c>
    </row>
    <row r="47" spans="1:34" ht="14" thickBot="1" x14ac:dyDescent="0.2">
      <c r="A47" s="3"/>
      <c r="B47" s="3"/>
      <c r="C47" s="46"/>
      <c r="D47" s="37" t="s">
        <v>225</v>
      </c>
      <c r="E47" s="28">
        <f>IF(Data!$E$4=0,0,IF(Data!$E$4=1,E43,IF(Data!$E$4=2,E46,E46)))</f>
        <v>4991.1343122321377</v>
      </c>
      <c r="F47" s="29"/>
      <c r="G47" s="291">
        <f>'DS-tal-valgte'!D34</f>
        <v>5234</v>
      </c>
      <c r="H47" s="284" t="str">
        <f>$H$14</f>
        <v>Forbrugsenheder aktuelt:</v>
      </c>
      <c r="I47" s="284" t="str">
        <f>$I$14</f>
        <v>I alt efter forbrugsenheder:</v>
      </c>
      <c r="J47" s="34"/>
      <c r="K47" s="34"/>
      <c r="L47" s="24"/>
      <c r="M47" s="6"/>
      <c r="N47" s="6"/>
      <c r="O47" s="6"/>
      <c r="P47" s="6"/>
      <c r="Q47" s="6"/>
      <c r="R47" s="6"/>
      <c r="S47" s="6"/>
      <c r="T47" s="6"/>
      <c r="U47" s="6"/>
      <c r="V47" s="6"/>
      <c r="W47" s="144"/>
      <c r="X47" s="6"/>
      <c r="Y47" s="3"/>
      <c r="Z47" s="3"/>
      <c r="AA47" s="3"/>
      <c r="AB47" s="3"/>
      <c r="AC47" s="3"/>
      <c r="AD47" s="3"/>
      <c r="AE47" s="3"/>
      <c r="AF47" s="97"/>
      <c r="AG47" s="157" t="s">
        <v>546</v>
      </c>
      <c r="AH47" s="146" t="s">
        <v>546</v>
      </c>
    </row>
    <row r="48" spans="1:34" x14ac:dyDescent="0.15">
      <c r="A48" s="3"/>
      <c r="B48" s="3"/>
      <c r="C48" s="149"/>
      <c r="D48" s="150" t="s">
        <v>560</v>
      </c>
      <c r="E48" s="151">
        <f>E47/$AJ$11</f>
        <v>2772.8523956845211</v>
      </c>
      <c r="F48" s="152"/>
      <c r="G48" s="292">
        <f>G47/$M$4</f>
        <v>3489.3333333333335</v>
      </c>
      <c r="H48" s="286">
        <f>$AJ$11</f>
        <v>1.8</v>
      </c>
      <c r="I48" s="284">
        <f>H48*G48</f>
        <v>6280.8</v>
      </c>
      <c r="J48" s="153"/>
      <c r="K48" s="153"/>
      <c r="L48" s="154"/>
      <c r="M48" s="153"/>
      <c r="N48" s="153"/>
      <c r="O48" s="153"/>
      <c r="P48" s="153"/>
      <c r="Q48" s="153"/>
      <c r="R48" s="153"/>
      <c r="S48" s="153"/>
      <c r="T48" s="153"/>
      <c r="U48" s="153"/>
      <c r="V48" s="153"/>
      <c r="W48" s="155"/>
      <c r="X48" s="153"/>
      <c r="Y48" s="156"/>
      <c r="Z48" s="156"/>
      <c r="AA48" s="156"/>
      <c r="AB48" s="156"/>
      <c r="AC48" s="156"/>
      <c r="AD48" s="156"/>
      <c r="AE48" s="156"/>
      <c r="AF48" s="160"/>
      <c r="AG48" s="157" t="s">
        <v>546</v>
      </c>
      <c r="AH48" s="146"/>
    </row>
    <row r="49" spans="1:34" ht="14" thickBot="1" x14ac:dyDescent="0.2">
      <c r="A49" s="250"/>
      <c r="B49" s="250"/>
      <c r="C49" s="250"/>
      <c r="D49" s="248" t="s">
        <v>737</v>
      </c>
      <c r="E49" s="249">
        <f>E47/12</f>
        <v>415.92785935267813</v>
      </c>
      <c r="F49" s="9"/>
      <c r="G49" s="32"/>
      <c r="H49" s="23"/>
      <c r="I49" s="23"/>
      <c r="J49" s="23"/>
      <c r="K49" s="23"/>
      <c r="L49" s="24"/>
      <c r="M49" s="6"/>
      <c r="N49" s="6"/>
      <c r="O49" s="6"/>
      <c r="P49" s="6"/>
      <c r="Q49" s="6"/>
      <c r="R49" s="6"/>
      <c r="S49" s="6"/>
      <c r="T49" s="6"/>
      <c r="U49" s="6"/>
      <c r="V49" s="6"/>
      <c r="W49" s="144"/>
      <c r="X49" s="6"/>
      <c r="Y49" s="3"/>
      <c r="Z49" s="3"/>
      <c r="AA49" s="3"/>
      <c r="AB49" s="3"/>
      <c r="AC49" s="3"/>
      <c r="AD49" s="3"/>
      <c r="AE49" s="3"/>
      <c r="AF49" s="97"/>
      <c r="AG49" s="157" t="s">
        <v>546</v>
      </c>
      <c r="AH49" s="146" t="s">
        <v>546</v>
      </c>
    </row>
    <row r="50" spans="1:34" ht="14" thickBot="1" x14ac:dyDescent="0.2">
      <c r="A50" s="3"/>
      <c r="B50" s="3"/>
      <c r="C50" s="3"/>
      <c r="D50" s="43"/>
      <c r="E50" s="32"/>
      <c r="F50" s="9"/>
      <c r="G50" s="32"/>
      <c r="H50" s="23"/>
      <c r="I50" s="23"/>
      <c r="J50" s="23"/>
      <c r="K50" s="23"/>
      <c r="L50" s="24"/>
      <c r="M50" s="6"/>
      <c r="N50" s="6"/>
      <c r="O50" s="6"/>
      <c r="P50" s="6"/>
      <c r="Q50" s="6"/>
      <c r="R50" s="6"/>
      <c r="S50" s="6"/>
      <c r="T50" s="6"/>
      <c r="U50" s="6"/>
      <c r="V50" s="6"/>
      <c r="W50" s="144"/>
      <c r="X50" s="6"/>
      <c r="Y50" s="3"/>
      <c r="Z50" s="3"/>
      <c r="AA50" s="3"/>
      <c r="AB50" s="3"/>
      <c r="AC50" s="3"/>
      <c r="AD50" s="3"/>
      <c r="AE50" s="3"/>
      <c r="AF50" s="97"/>
      <c r="AG50" s="157"/>
      <c r="AH50" s="146"/>
    </row>
    <row r="51" spans="1:34" ht="14" thickBot="1" x14ac:dyDescent="0.2">
      <c r="A51" s="3"/>
      <c r="B51" s="3"/>
      <c r="C51" s="3"/>
      <c r="D51" s="43"/>
      <c r="E51" s="32"/>
      <c r="F51" s="9"/>
      <c r="G51" s="32"/>
      <c r="H51" s="145" t="s">
        <v>396</v>
      </c>
      <c r="I51" s="145" t="s">
        <v>397</v>
      </c>
      <c r="J51" s="141" t="s">
        <v>543</v>
      </c>
      <c r="K51" s="68"/>
      <c r="L51" s="24" t="s">
        <v>239</v>
      </c>
      <c r="M51" s="25">
        <v>0</v>
      </c>
      <c r="N51" s="25">
        <f t="shared" ref="N51:U51" si="28">M51+1</f>
        <v>1</v>
      </c>
      <c r="O51" s="26">
        <f t="shared" si="28"/>
        <v>2</v>
      </c>
      <c r="P51" s="25">
        <f t="shared" si="28"/>
        <v>3</v>
      </c>
      <c r="Q51" s="25">
        <f t="shared" si="28"/>
        <v>4</v>
      </c>
      <c r="R51" s="25">
        <f t="shared" si="28"/>
        <v>5</v>
      </c>
      <c r="S51" s="25">
        <f t="shared" si="28"/>
        <v>6</v>
      </c>
      <c r="T51" s="25">
        <f t="shared" si="28"/>
        <v>7</v>
      </c>
      <c r="U51" s="25">
        <f t="shared" si="28"/>
        <v>8</v>
      </c>
      <c r="V51" s="141" t="s">
        <v>542</v>
      </c>
      <c r="W51" s="144" t="s">
        <v>545</v>
      </c>
      <c r="X51" s="96" t="s">
        <v>480</v>
      </c>
      <c r="Y51" s="96" t="s">
        <v>481</v>
      </c>
      <c r="Z51" s="96" t="s">
        <v>482</v>
      </c>
      <c r="AA51" s="96" t="s">
        <v>483</v>
      </c>
      <c r="AB51" s="96" t="s">
        <v>484</v>
      </c>
      <c r="AC51" s="96" t="s">
        <v>485</v>
      </c>
      <c r="AD51" s="96" t="s">
        <v>487</v>
      </c>
      <c r="AE51" s="96" t="s">
        <v>486</v>
      </c>
      <c r="AF51" s="97">
        <f>ROUND(H54,0)</f>
        <v>1438</v>
      </c>
      <c r="AG51" s="157" t="s">
        <v>546</v>
      </c>
      <c r="AH51" s="146" t="s">
        <v>546</v>
      </c>
    </row>
    <row r="52" spans="1:34" x14ac:dyDescent="0.15">
      <c r="A52" s="14" t="s">
        <v>346</v>
      </c>
      <c r="B52" s="3"/>
      <c r="C52" s="132" t="str">
        <f>$C$8</f>
        <v>2018 ok</v>
      </c>
      <c r="D52" s="14"/>
      <c r="E52" s="4"/>
      <c r="F52" s="18"/>
      <c r="G52" s="32" t="s">
        <v>243</v>
      </c>
      <c r="H52" s="53" t="s">
        <v>266</v>
      </c>
      <c r="I52" s="53" t="s">
        <v>267</v>
      </c>
      <c r="J52" s="53" t="s">
        <v>266</v>
      </c>
      <c r="K52" s="53" t="s">
        <v>267</v>
      </c>
      <c r="L52" s="27" t="s">
        <v>240</v>
      </c>
      <c r="M52" s="23">
        <v>0</v>
      </c>
      <c r="N52" s="23">
        <f t="shared" ref="N52:U52" si="29">X52</f>
        <v>22</v>
      </c>
      <c r="O52" s="22">
        <f t="shared" si="29"/>
        <v>16.899999999999999</v>
      </c>
      <c r="P52" s="23">
        <f t="shared" si="29"/>
        <v>18</v>
      </c>
      <c r="Q52" s="23">
        <f t="shared" si="29"/>
        <v>15.3</v>
      </c>
      <c r="R52" s="23">
        <f t="shared" si="29"/>
        <v>13.3</v>
      </c>
      <c r="S52" s="23">
        <f t="shared" si="29"/>
        <v>11.7</v>
      </c>
      <c r="T52" s="23">
        <f t="shared" si="29"/>
        <v>10.5</v>
      </c>
      <c r="U52" s="23">
        <f t="shared" si="29"/>
        <v>9.5</v>
      </c>
      <c r="V52" s="23" t="str">
        <f>K52</f>
        <v>Enlig med børn:</v>
      </c>
      <c r="W52" s="144" t="s">
        <v>240</v>
      </c>
      <c r="X52" s="23">
        <f t="shared" ref="X52:AE52" si="30">ROUND(X54*100/M54,1)</f>
        <v>22</v>
      </c>
      <c r="Y52" s="23">
        <f t="shared" si="30"/>
        <v>16.899999999999999</v>
      </c>
      <c r="Z52" s="23">
        <f t="shared" si="30"/>
        <v>18</v>
      </c>
      <c r="AA52" s="23">
        <f t="shared" si="30"/>
        <v>15.3</v>
      </c>
      <c r="AB52" s="23">
        <f t="shared" si="30"/>
        <v>13.3</v>
      </c>
      <c r="AC52" s="23">
        <f t="shared" si="30"/>
        <v>11.7</v>
      </c>
      <c r="AD52" s="23">
        <f t="shared" si="30"/>
        <v>10.5</v>
      </c>
      <c r="AE52" s="23">
        <f t="shared" si="30"/>
        <v>9.5</v>
      </c>
      <c r="AF52" s="97" t="str">
        <f>M52&amp;"; "&amp;N52&amp;"; "&amp;O52&amp;"; "&amp;P52&amp;"; "&amp;Q52&amp;"; "&amp;R52&amp;"; "&amp;S52&amp;"; "&amp;T52&amp;"; "&amp;U52</f>
        <v>0; 22; 16,9; 18; 15,3; 13,3; 11,7; 10,5; 9,5</v>
      </c>
      <c r="AG52" s="157" t="s">
        <v>546</v>
      </c>
      <c r="AH52" s="146" t="s">
        <v>546</v>
      </c>
    </row>
    <row r="53" spans="1:34" x14ac:dyDescent="0.15">
      <c r="A53" s="140" t="str">
        <f>$A$9</f>
        <v>Forbrugsenheder</v>
      </c>
      <c r="B53" s="3"/>
      <c r="C53" s="132"/>
      <c r="D53" s="14"/>
      <c r="E53" s="4"/>
      <c r="F53" s="18"/>
      <c r="G53" s="289" t="str">
        <f>A53</f>
        <v>Forbrugsenheder</v>
      </c>
      <c r="H53" s="286">
        <v>0.76</v>
      </c>
      <c r="I53" s="286">
        <v>1.0832794492411852</v>
      </c>
      <c r="J53" s="53"/>
      <c r="K53" s="53"/>
      <c r="L53" s="27"/>
      <c r="M53" s="23"/>
      <c r="N53" s="23"/>
      <c r="O53" s="22"/>
      <c r="P53" s="23"/>
      <c r="Q53" s="23"/>
      <c r="R53" s="23"/>
      <c r="S53" s="23"/>
      <c r="T53" s="23"/>
      <c r="U53" s="23"/>
      <c r="V53" s="23"/>
      <c r="W53" s="144"/>
      <c r="X53" s="23"/>
      <c r="Y53" s="23"/>
      <c r="Z53" s="23"/>
      <c r="AA53" s="23"/>
      <c r="AB53" s="23"/>
      <c r="AC53" s="23"/>
      <c r="AD53" s="23"/>
      <c r="AE53" s="23"/>
      <c r="AF53" s="97"/>
      <c r="AG53" s="157"/>
      <c r="AH53" s="146"/>
    </row>
    <row r="54" spans="1:34" x14ac:dyDescent="0.15">
      <c r="A54" s="3"/>
      <c r="B54" s="3"/>
      <c r="C54" s="46" t="s">
        <v>234</v>
      </c>
      <c r="D54" s="3" t="s">
        <v>249</v>
      </c>
      <c r="E54" s="9">
        <f>IF(Data!$E$4=1,F54,IF(Data!$E$4=2,0,0))</f>
        <v>0</v>
      </c>
      <c r="F54" s="9">
        <f>IF(Data!$E$5=0,M54,IF(Data!$E$5=1,N54,IF(Data!$E$5=2,O54,IF(Data!$E$5=3,P54,IF(Data!$E$5=4,Q54,IF(Data!$E$5=5,R54,IF(Data!$E$5=6,S54,IF(Data!$E$5=7,T54,U54))))))))</f>
        <v>1754.8805333333335</v>
      </c>
      <c r="G54" s="9"/>
      <c r="H54" s="6">
        <f>G59*H53</f>
        <v>1438.4266666666667</v>
      </c>
      <c r="I54" s="6">
        <f>G59*I53</f>
        <v>2050.2869042638167</v>
      </c>
      <c r="J54" s="6">
        <f>H54*$C$4/$K$2</f>
        <v>431.52800000000002</v>
      </c>
      <c r="K54" s="6">
        <f>I54*$C$4/$M$2</f>
        <v>410.05738085276334</v>
      </c>
      <c r="L54" s="27" t="s">
        <v>241</v>
      </c>
      <c r="M54" s="6">
        <f>H54</f>
        <v>1438.4266666666667</v>
      </c>
      <c r="N54" s="6">
        <f t="shared" ref="N54:U54" si="31">M54+M54*N52%</f>
        <v>1754.8805333333335</v>
      </c>
      <c r="O54" s="33">
        <f t="shared" si="31"/>
        <v>2051.4553434666668</v>
      </c>
      <c r="P54" s="6">
        <f t="shared" si="31"/>
        <v>2420.7173052906669</v>
      </c>
      <c r="Q54" s="6">
        <f t="shared" si="31"/>
        <v>2791.0870530001389</v>
      </c>
      <c r="R54" s="6">
        <f t="shared" si="31"/>
        <v>3162.3016310491575</v>
      </c>
      <c r="S54" s="6">
        <f t="shared" si="31"/>
        <v>3532.2909218819091</v>
      </c>
      <c r="T54" s="6">
        <f t="shared" si="31"/>
        <v>3903.1814686795096</v>
      </c>
      <c r="U54" s="6">
        <f t="shared" si="31"/>
        <v>4273.9837082040631</v>
      </c>
      <c r="V54" s="6">
        <f>K54</f>
        <v>410.05738085276334</v>
      </c>
      <c r="W54" s="144" t="s">
        <v>533</v>
      </c>
      <c r="X54" s="144">
        <f>10+(I54-H54)/2</f>
        <v>315.93011879857499</v>
      </c>
      <c r="Y54" s="144">
        <f>I54-(H54+X54)</f>
        <v>295.93011879857499</v>
      </c>
      <c r="Z54" s="6">
        <v>370</v>
      </c>
      <c r="AA54" s="6">
        <v>370</v>
      </c>
      <c r="AB54" s="6">
        <v>370</v>
      </c>
      <c r="AC54" s="6">
        <v>370</v>
      </c>
      <c r="AD54" s="6">
        <v>370</v>
      </c>
      <c r="AE54" s="6">
        <v>370</v>
      </c>
      <c r="AF54" s="98">
        <f>ROUND(H57,0)</f>
        <v>3281</v>
      </c>
      <c r="AG54" s="157" t="s">
        <v>546</v>
      </c>
      <c r="AH54" s="146" t="s">
        <v>546</v>
      </c>
    </row>
    <row r="55" spans="1:34" x14ac:dyDescent="0.15">
      <c r="A55" s="3"/>
      <c r="B55" s="3"/>
      <c r="C55" s="46"/>
      <c r="D55" s="14"/>
      <c r="E55" s="14"/>
      <c r="F55" s="18"/>
      <c r="G55" s="18"/>
      <c r="H55" s="53" t="s">
        <v>339</v>
      </c>
      <c r="I55" s="53" t="s">
        <v>338</v>
      </c>
      <c r="J55" s="53" t="s">
        <v>339</v>
      </c>
      <c r="K55" s="53" t="s">
        <v>338</v>
      </c>
      <c r="L55" s="27" t="s">
        <v>240</v>
      </c>
      <c r="M55" s="23">
        <v>0</v>
      </c>
      <c r="N55" s="23">
        <f t="shared" ref="N55:U55" si="32">X55</f>
        <v>-14</v>
      </c>
      <c r="O55" s="23">
        <f t="shared" si="32"/>
        <v>-12.8</v>
      </c>
      <c r="P55" s="23">
        <f t="shared" si="32"/>
        <v>15.4</v>
      </c>
      <c r="Q55" s="23">
        <f t="shared" si="32"/>
        <v>13.4</v>
      </c>
      <c r="R55" s="23">
        <f t="shared" si="32"/>
        <v>11.8</v>
      </c>
      <c r="S55" s="23">
        <f t="shared" si="32"/>
        <v>10.6</v>
      </c>
      <c r="T55" s="23">
        <f t="shared" si="32"/>
        <v>9.5</v>
      </c>
      <c r="U55" s="23">
        <f t="shared" si="32"/>
        <v>8.6999999999999993</v>
      </c>
      <c r="V55" s="23" t="str">
        <f>K55</f>
        <v>2 v med børn:</v>
      </c>
      <c r="W55" s="144" t="s">
        <v>240</v>
      </c>
      <c r="X55" s="23">
        <f t="shared" ref="X55:AE55" si="33">ROUND(X57*100/M57,1)</f>
        <v>-14</v>
      </c>
      <c r="Y55" s="23">
        <f t="shared" si="33"/>
        <v>-12.8</v>
      </c>
      <c r="Z55" s="23">
        <f t="shared" si="33"/>
        <v>15.4</v>
      </c>
      <c r="AA55" s="23">
        <f t="shared" si="33"/>
        <v>13.4</v>
      </c>
      <c r="AB55" s="23">
        <f t="shared" si="33"/>
        <v>11.8</v>
      </c>
      <c r="AC55" s="23">
        <f t="shared" si="33"/>
        <v>10.6</v>
      </c>
      <c r="AD55" s="23">
        <f t="shared" si="33"/>
        <v>9.5</v>
      </c>
      <c r="AE55" s="23">
        <f t="shared" si="33"/>
        <v>8.6999999999999993</v>
      </c>
      <c r="AF55" s="97" t="str">
        <f>M55&amp;"; "&amp;N55&amp;"; "&amp;O55&amp;"; "&amp;P55&amp;"; "&amp;Q55&amp;"; "&amp;R55&amp;"; "&amp;S55&amp;"; "&amp;T55&amp;"; "&amp;U55</f>
        <v>0; -14; -12,8; 15,4; 13,4; 11,8; 10,6; 9,5; 8,7</v>
      </c>
      <c r="AG55" s="157" t="s">
        <v>546</v>
      </c>
      <c r="AH55" s="146" t="s">
        <v>546</v>
      </c>
    </row>
    <row r="56" spans="1:34" x14ac:dyDescent="0.15">
      <c r="A56" s="140" t="str">
        <f>$A$9</f>
        <v>Forbrugsenheder</v>
      </c>
      <c r="B56" s="3"/>
      <c r="C56" s="46"/>
      <c r="D56" s="14"/>
      <c r="E56" s="14"/>
      <c r="F56" s="18"/>
      <c r="G56" s="289" t="str">
        <f>A56</f>
        <v>Forbrugsenheder</v>
      </c>
      <c r="H56" s="286">
        <v>1.7334068692708531</v>
      </c>
      <c r="I56" s="286">
        <v>1.3</v>
      </c>
      <c r="J56" s="53"/>
      <c r="K56" s="53"/>
      <c r="L56" s="27"/>
      <c r="M56" s="23"/>
      <c r="N56" s="23"/>
      <c r="O56" s="23"/>
      <c r="P56" s="23"/>
      <c r="Q56" s="23"/>
      <c r="R56" s="23"/>
      <c r="S56" s="23"/>
      <c r="T56" s="23"/>
      <c r="U56" s="23"/>
      <c r="V56" s="23"/>
      <c r="W56" s="144"/>
      <c r="X56" s="23"/>
      <c r="Y56" s="23"/>
      <c r="Z56" s="23"/>
      <c r="AA56" s="23"/>
      <c r="AB56" s="23"/>
      <c r="AC56" s="23"/>
      <c r="AD56" s="23"/>
      <c r="AE56" s="23"/>
      <c r="AF56" s="97"/>
      <c r="AG56" s="157"/>
      <c r="AH56" s="146"/>
    </row>
    <row r="57" spans="1:34" x14ac:dyDescent="0.15">
      <c r="A57" s="3" t="s">
        <v>388</v>
      </c>
      <c r="B57" s="9">
        <f>H57/2</f>
        <v>1640.3807006199841</v>
      </c>
      <c r="C57" s="46" t="s">
        <v>235</v>
      </c>
      <c r="D57" s="3" t="s">
        <v>247</v>
      </c>
      <c r="E57" s="9">
        <f>IF(Data!$E$4=1,0,IF(Data!$E$4=2,F57,F57+B57*Data!$G$4))</f>
        <v>2821.4548050663725</v>
      </c>
      <c r="F57" s="9">
        <f>IF(Data!$E$5=0,M57,IF(Data!$E$5=1,N57,IF(Data!$E$5=2,O57,IF(Data!$E$5=3,P57,IF(Data!$E$5=4,Q57,IF(Data!$E$5=5,R57,IF(Data!$E$5=6,S57,IF(Data!$E$5=7,T57,U57))))))))</f>
        <v>2821.4548050663725</v>
      </c>
      <c r="G57" s="9"/>
      <c r="H57" s="6">
        <f>G59*H56</f>
        <v>3280.7614012399681</v>
      </c>
      <c r="I57" s="6">
        <f>G59*I56</f>
        <v>2460.4666666666667</v>
      </c>
      <c r="J57" s="6">
        <f>H57*$C$4/$K$3</f>
        <v>656.15228024799364</v>
      </c>
      <c r="K57" s="6">
        <f>I57*$C$4/$M$3</f>
        <v>351.49523809523805</v>
      </c>
      <c r="L57" s="27" t="s">
        <v>241</v>
      </c>
      <c r="M57" s="6">
        <f>H57</f>
        <v>3280.7614012399681</v>
      </c>
      <c r="N57" s="6">
        <f t="shared" ref="N57:U57" si="34">M57+M57*N55%</f>
        <v>2821.4548050663725</v>
      </c>
      <c r="O57" s="33">
        <f t="shared" si="34"/>
        <v>2460.3085900178767</v>
      </c>
      <c r="P57" s="6">
        <f t="shared" si="34"/>
        <v>2839.1961128806297</v>
      </c>
      <c r="Q57" s="6">
        <f t="shared" si="34"/>
        <v>3219.6483920066339</v>
      </c>
      <c r="R57" s="6">
        <f t="shared" si="34"/>
        <v>3599.5669022634165</v>
      </c>
      <c r="S57" s="6">
        <f t="shared" si="34"/>
        <v>3981.1209939033388</v>
      </c>
      <c r="T57" s="6">
        <f t="shared" si="34"/>
        <v>4359.3274883241556</v>
      </c>
      <c r="U57" s="6">
        <f t="shared" si="34"/>
        <v>4738.5889798083572</v>
      </c>
      <c r="V57" s="6">
        <f>K57</f>
        <v>351.49523809523805</v>
      </c>
      <c r="W57" s="144" t="s">
        <v>533</v>
      </c>
      <c r="X57" s="144">
        <f>-50+(I57-H57)/2</f>
        <v>-460.14736728665071</v>
      </c>
      <c r="Y57" s="144">
        <f>I57-(H57+X57)</f>
        <v>-360.14736728665093</v>
      </c>
      <c r="Z57" s="6">
        <v>380</v>
      </c>
      <c r="AA57" s="6">
        <v>380</v>
      </c>
      <c r="AB57" s="6">
        <v>380</v>
      </c>
      <c r="AC57" s="6">
        <v>380</v>
      </c>
      <c r="AD57" s="6">
        <v>380</v>
      </c>
      <c r="AE57" s="6">
        <v>380</v>
      </c>
      <c r="AF57" s="97">
        <f>ROUND(B57,0)</f>
        <v>1640</v>
      </c>
      <c r="AG57" s="157" t="s">
        <v>546</v>
      </c>
      <c r="AH57" s="146" t="s">
        <v>546</v>
      </c>
    </row>
    <row r="58" spans="1:34" x14ac:dyDescent="0.15">
      <c r="A58" s="3"/>
      <c r="B58" s="3"/>
      <c r="C58" s="3"/>
      <c r="D58" s="43" t="s">
        <v>225</v>
      </c>
      <c r="E58" s="32">
        <f>IF(Data!$E$4=0,0,IF(Data!$E$4=1,E54,IF(Data!$E$4=2,E57,E57)))</f>
        <v>2821.4548050663725</v>
      </c>
      <c r="F58" s="9"/>
      <c r="G58" s="291">
        <f>'DS-tal-valgte'!D38</f>
        <v>2839</v>
      </c>
      <c r="H58" s="284" t="str">
        <f>$H$14</f>
        <v>Forbrugsenheder aktuelt:</v>
      </c>
      <c r="I58" s="284" t="str">
        <f>$I$14</f>
        <v>I alt efter forbrugsenheder:</v>
      </c>
      <c r="J58" s="33"/>
      <c r="K58" s="33"/>
      <c r="L58" s="27"/>
      <c r="M58" s="6"/>
      <c r="N58" s="6"/>
      <c r="O58" s="6"/>
      <c r="P58" s="6"/>
      <c r="Q58" s="6"/>
      <c r="R58" s="6"/>
      <c r="S58" s="6"/>
      <c r="T58" s="6"/>
      <c r="U58" s="6"/>
      <c r="V58" s="6"/>
      <c r="W58" s="144"/>
      <c r="X58" s="6"/>
      <c r="Y58" s="3"/>
      <c r="Z58" s="3"/>
      <c r="AA58" s="3"/>
      <c r="AB58" s="3"/>
      <c r="AC58" s="3"/>
      <c r="AD58" s="3"/>
      <c r="AE58" s="3"/>
      <c r="AF58" s="97"/>
      <c r="AG58" s="157" t="s">
        <v>546</v>
      </c>
      <c r="AH58" s="146" t="s">
        <v>546</v>
      </c>
    </row>
    <row r="59" spans="1:34" x14ac:dyDescent="0.15">
      <c r="A59" s="3"/>
      <c r="B59" s="3"/>
      <c r="C59" s="149"/>
      <c r="D59" s="150" t="s">
        <v>560</v>
      </c>
      <c r="E59" s="151">
        <f>E58/$AJ$11</f>
        <v>1567.4748917035402</v>
      </c>
      <c r="F59" s="152"/>
      <c r="G59" s="292">
        <f>G58/$M$4</f>
        <v>1892.6666666666667</v>
      </c>
      <c r="H59" s="286">
        <f>$AJ$11</f>
        <v>1.8</v>
      </c>
      <c r="I59" s="284">
        <f>H59*G59</f>
        <v>3406.8</v>
      </c>
      <c r="J59" s="153"/>
      <c r="K59" s="153"/>
      <c r="L59" s="251"/>
      <c r="M59" s="153"/>
      <c r="N59" s="153"/>
      <c r="O59" s="153"/>
      <c r="P59" s="153"/>
      <c r="Q59" s="153"/>
      <c r="R59" s="153"/>
      <c r="S59" s="153"/>
      <c r="T59" s="153"/>
      <c r="U59" s="153"/>
      <c r="V59" s="153"/>
      <c r="W59" s="155"/>
      <c r="X59" s="153"/>
      <c r="Y59" s="156"/>
      <c r="Z59" s="156"/>
      <c r="AA59" s="156"/>
      <c r="AB59" s="156"/>
      <c r="AC59" s="156"/>
      <c r="AD59" s="156"/>
      <c r="AE59" s="156"/>
      <c r="AF59" s="160"/>
      <c r="AG59" s="157" t="s">
        <v>546</v>
      </c>
      <c r="AH59" s="146"/>
    </row>
    <row r="60" spans="1:34" ht="14" thickBot="1" x14ac:dyDescent="0.2">
      <c r="A60" s="250"/>
      <c r="B60" s="250"/>
      <c r="C60" s="250"/>
      <c r="D60" s="248" t="s">
        <v>737</v>
      </c>
      <c r="E60" s="249">
        <f>E58/12</f>
        <v>235.12123375553105</v>
      </c>
      <c r="F60" s="9"/>
      <c r="G60" s="32"/>
      <c r="H60" s="6"/>
      <c r="I60" s="33"/>
      <c r="J60" s="33"/>
      <c r="K60" s="33"/>
      <c r="L60" s="251"/>
      <c r="M60" s="6"/>
      <c r="N60" s="6"/>
      <c r="O60" s="6"/>
      <c r="P60" s="6"/>
      <c r="Q60" s="6"/>
      <c r="R60" s="6"/>
      <c r="S60" s="6"/>
      <c r="T60" s="6"/>
      <c r="U60" s="6"/>
      <c r="V60" s="6"/>
      <c r="W60" s="144"/>
      <c r="X60" s="6"/>
      <c r="Y60" s="3"/>
      <c r="Z60" s="3"/>
      <c r="AA60" s="3"/>
      <c r="AB60" s="3"/>
      <c r="AC60" s="3"/>
      <c r="AD60" s="3"/>
      <c r="AE60" s="3"/>
      <c r="AF60" s="97"/>
      <c r="AG60" s="157" t="s">
        <v>546</v>
      </c>
      <c r="AH60" s="146" t="s">
        <v>546</v>
      </c>
    </row>
    <row r="61" spans="1:34" ht="14" thickBot="1" x14ac:dyDescent="0.2">
      <c r="A61" s="3"/>
      <c r="B61" s="3"/>
      <c r="C61" s="3"/>
      <c r="D61" s="43"/>
      <c r="E61" s="32"/>
      <c r="F61" s="9"/>
      <c r="G61" s="32"/>
      <c r="H61" s="6"/>
      <c r="I61" s="33"/>
      <c r="J61" s="33"/>
      <c r="K61" s="33"/>
      <c r="L61" s="24"/>
      <c r="M61" s="6"/>
      <c r="N61" s="6"/>
      <c r="O61" s="6"/>
      <c r="P61" s="6"/>
      <c r="Q61" s="6"/>
      <c r="R61" s="6"/>
      <c r="S61" s="6"/>
      <c r="T61" s="6"/>
      <c r="U61" s="6"/>
      <c r="V61" s="6"/>
      <c r="W61" s="144"/>
      <c r="X61" s="6"/>
      <c r="Y61" s="3"/>
      <c r="Z61" s="3"/>
      <c r="AA61" s="3"/>
      <c r="AB61" s="3"/>
      <c r="AC61" s="3"/>
      <c r="AD61" s="3"/>
      <c r="AE61" s="3"/>
      <c r="AF61" s="97"/>
      <c r="AG61" s="157"/>
      <c r="AH61" s="146"/>
    </row>
    <row r="62" spans="1:34" ht="14" thickBot="1" x14ac:dyDescent="0.2">
      <c r="A62" s="3"/>
      <c r="B62" s="3"/>
      <c r="C62" s="3"/>
      <c r="D62" s="43"/>
      <c r="E62" s="32"/>
      <c r="F62" s="9"/>
      <c r="G62" s="32"/>
      <c r="H62" s="145" t="s">
        <v>396</v>
      </c>
      <c r="I62" s="145" t="s">
        <v>397</v>
      </c>
      <c r="J62" s="141" t="s">
        <v>543</v>
      </c>
      <c r="K62" s="68"/>
      <c r="L62" s="24" t="s">
        <v>239</v>
      </c>
      <c r="M62" s="25">
        <v>0</v>
      </c>
      <c r="N62" s="25">
        <f t="shared" ref="N62:U62" si="35">M62+1</f>
        <v>1</v>
      </c>
      <c r="O62" s="26">
        <f t="shared" si="35"/>
        <v>2</v>
      </c>
      <c r="P62" s="25">
        <f t="shared" si="35"/>
        <v>3</v>
      </c>
      <c r="Q62" s="25">
        <f t="shared" si="35"/>
        <v>4</v>
      </c>
      <c r="R62" s="25">
        <f t="shared" si="35"/>
        <v>5</v>
      </c>
      <c r="S62" s="25">
        <f t="shared" si="35"/>
        <v>6</v>
      </c>
      <c r="T62" s="25">
        <f t="shared" si="35"/>
        <v>7</v>
      </c>
      <c r="U62" s="25">
        <f t="shared" si="35"/>
        <v>8</v>
      </c>
      <c r="V62" s="141" t="s">
        <v>542</v>
      </c>
      <c r="W62" s="144" t="s">
        <v>545</v>
      </c>
      <c r="X62" s="96" t="s">
        <v>480</v>
      </c>
      <c r="Y62" s="96" t="s">
        <v>481</v>
      </c>
      <c r="Z62" s="96" t="s">
        <v>482</v>
      </c>
      <c r="AA62" s="96" t="s">
        <v>483</v>
      </c>
      <c r="AB62" s="96" t="s">
        <v>484</v>
      </c>
      <c r="AC62" s="96" t="s">
        <v>485</v>
      </c>
      <c r="AD62" s="96" t="s">
        <v>487</v>
      </c>
      <c r="AE62" s="96" t="s">
        <v>486</v>
      </c>
      <c r="AF62" s="97">
        <f>ROUND(H65,0)</f>
        <v>2500</v>
      </c>
      <c r="AG62" s="157" t="s">
        <v>546</v>
      </c>
      <c r="AH62" s="146" t="s">
        <v>546</v>
      </c>
    </row>
    <row r="63" spans="1:34" x14ac:dyDescent="0.15">
      <c r="A63" s="14" t="s">
        <v>99</v>
      </c>
      <c r="B63" s="3"/>
      <c r="C63" s="132" t="str">
        <f>$C$8</f>
        <v>2018 ok</v>
      </c>
      <c r="D63" s="3"/>
      <c r="E63" s="4"/>
      <c r="F63" s="9"/>
      <c r="G63" s="32" t="s">
        <v>243</v>
      </c>
      <c r="H63" s="53" t="s">
        <v>266</v>
      </c>
      <c r="I63" s="53" t="s">
        <v>267</v>
      </c>
      <c r="J63" s="53" t="s">
        <v>266</v>
      </c>
      <c r="K63" s="53" t="s">
        <v>267</v>
      </c>
      <c r="L63" s="27" t="s">
        <v>240</v>
      </c>
      <c r="M63" s="23">
        <v>0</v>
      </c>
      <c r="N63" s="23">
        <f t="shared" ref="N63:U63" si="36">X63</f>
        <v>28</v>
      </c>
      <c r="O63" s="22">
        <f t="shared" si="36"/>
        <v>21.9</v>
      </c>
      <c r="P63" s="23">
        <f t="shared" si="36"/>
        <v>14.4</v>
      </c>
      <c r="Q63" s="23">
        <f t="shared" si="36"/>
        <v>8.8000000000000007</v>
      </c>
      <c r="R63" s="23">
        <f t="shared" si="36"/>
        <v>7.3</v>
      </c>
      <c r="S63" s="23">
        <f t="shared" si="36"/>
        <v>6.1</v>
      </c>
      <c r="T63" s="23">
        <f t="shared" si="36"/>
        <v>5.2</v>
      </c>
      <c r="U63" s="23">
        <f t="shared" si="36"/>
        <v>4.4000000000000004</v>
      </c>
      <c r="V63" s="23" t="str">
        <f>K63</f>
        <v>Enlig med børn:</v>
      </c>
      <c r="W63" s="144" t="s">
        <v>240</v>
      </c>
      <c r="X63" s="23">
        <f t="shared" ref="X63:AE63" si="37">ROUND(X65*100/M65,1)</f>
        <v>28</v>
      </c>
      <c r="Y63" s="23">
        <f t="shared" si="37"/>
        <v>21.9</v>
      </c>
      <c r="Z63" s="23">
        <f t="shared" si="37"/>
        <v>14.4</v>
      </c>
      <c r="AA63" s="23">
        <f t="shared" si="37"/>
        <v>8.8000000000000007</v>
      </c>
      <c r="AB63" s="23">
        <f t="shared" si="37"/>
        <v>7.3</v>
      </c>
      <c r="AC63" s="23">
        <f t="shared" si="37"/>
        <v>6.1</v>
      </c>
      <c r="AD63" s="23">
        <f t="shared" si="37"/>
        <v>5.2</v>
      </c>
      <c r="AE63" s="23">
        <f t="shared" si="37"/>
        <v>4.4000000000000004</v>
      </c>
      <c r="AF63" s="97" t="str">
        <f>M63&amp;"; "&amp;N63&amp;"; "&amp;O63&amp;"; "&amp;P63&amp;"; "&amp;Q63&amp;"; "&amp;R63&amp;"; "&amp;S63&amp;"; "&amp;T63&amp;"; "&amp;U63</f>
        <v>0; 28; 21,9; 14,4; 8,8; 7,3; 6,1; 5,2; 4,4</v>
      </c>
      <c r="AG63" s="157" t="s">
        <v>546</v>
      </c>
      <c r="AH63" s="146" t="s">
        <v>546</v>
      </c>
    </row>
    <row r="64" spans="1:34" x14ac:dyDescent="0.15">
      <c r="A64" s="140" t="str">
        <f>$A$9</f>
        <v>Forbrugsenheder</v>
      </c>
      <c r="B64" s="3"/>
      <c r="C64" s="132"/>
      <c r="D64" s="3"/>
      <c r="E64" s="4"/>
      <c r="F64" s="9"/>
      <c r="G64" s="289" t="str">
        <f>A64</f>
        <v>Forbrugsenheder</v>
      </c>
      <c r="H64" s="286">
        <v>0.75</v>
      </c>
      <c r="I64" s="286">
        <v>1.17</v>
      </c>
      <c r="J64" s="53"/>
      <c r="K64" s="53"/>
      <c r="L64" s="27"/>
      <c r="M64" s="23"/>
      <c r="N64" s="23"/>
      <c r="O64" s="22"/>
      <c r="P64" s="23"/>
      <c r="Q64" s="23"/>
      <c r="R64" s="23"/>
      <c r="S64" s="23"/>
      <c r="T64" s="23"/>
      <c r="U64" s="23"/>
      <c r="V64" s="23"/>
      <c r="W64" s="144"/>
      <c r="X64" s="23"/>
      <c r="Y64" s="23"/>
      <c r="Z64" s="23"/>
      <c r="AA64" s="23"/>
      <c r="AB64" s="23"/>
      <c r="AC64" s="23"/>
      <c r="AD64" s="23"/>
      <c r="AE64" s="23"/>
      <c r="AF64" s="97"/>
      <c r="AG64" s="157"/>
      <c r="AH64" s="146"/>
    </row>
    <row r="65" spans="1:34" x14ac:dyDescent="0.15">
      <c r="A65" s="3"/>
      <c r="B65" s="3"/>
      <c r="C65" s="46" t="s">
        <v>234</v>
      </c>
      <c r="D65" s="3" t="s">
        <v>251</v>
      </c>
      <c r="E65" s="9">
        <f>IF(Data!$E$4=1,F65,IF(Data!$E$4=2,0,0))</f>
        <v>0</v>
      </c>
      <c r="F65" s="9">
        <f>IF(Data!$E$5=0,M65,IF(Data!$E$5=1,N65,IF(Data!$E$5=2,O65,IF(Data!$E$5=3,P65,IF(Data!$E$5=4,Q65,IF(Data!$E$5=5,R65,IF(Data!$E$5=6,S65,IF(Data!$E$5=7,T65,U65))))))))</f>
        <v>3200</v>
      </c>
      <c r="G65" s="9"/>
      <c r="H65" s="6">
        <f>G70*H64</f>
        <v>2500</v>
      </c>
      <c r="I65" s="6">
        <f>G70*I64</f>
        <v>3900</v>
      </c>
      <c r="J65" s="6">
        <f>H65*$C$4/$K$2</f>
        <v>750</v>
      </c>
      <c r="K65" s="6">
        <f>I65*$C$4/$M$2</f>
        <v>780</v>
      </c>
      <c r="L65" s="27" t="s">
        <v>241</v>
      </c>
      <c r="M65" s="6">
        <f>H65</f>
        <v>2500</v>
      </c>
      <c r="N65" s="6">
        <f t="shared" ref="N65:U65" si="38">M65+M65*N63%</f>
        <v>3200</v>
      </c>
      <c r="O65" s="33">
        <f t="shared" si="38"/>
        <v>3900.8</v>
      </c>
      <c r="P65" s="6">
        <f t="shared" si="38"/>
        <v>4462.5151999999998</v>
      </c>
      <c r="Q65" s="6">
        <f t="shared" si="38"/>
        <v>4855.2165376000003</v>
      </c>
      <c r="R65" s="6">
        <f t="shared" si="38"/>
        <v>5209.6473448448005</v>
      </c>
      <c r="S65" s="6">
        <f t="shared" si="38"/>
        <v>5527.4358328803337</v>
      </c>
      <c r="T65" s="6">
        <f t="shared" si="38"/>
        <v>5814.8624961901114</v>
      </c>
      <c r="U65" s="6">
        <f t="shared" si="38"/>
        <v>6070.7164460224767</v>
      </c>
      <c r="V65" s="6">
        <f>K65</f>
        <v>780</v>
      </c>
      <c r="W65" s="144" t="s">
        <v>533</v>
      </c>
      <c r="X65" s="144">
        <f>(I65-H65)/2</f>
        <v>700</v>
      </c>
      <c r="Y65" s="144">
        <f>I65-(H65+X65)</f>
        <v>700</v>
      </c>
      <c r="Z65" s="6">
        <f>Y65*80%</f>
        <v>560</v>
      </c>
      <c r="AA65" s="6">
        <f>Z65*70%</f>
        <v>392</v>
      </c>
      <c r="AB65" s="6">
        <f>AA65*90%</f>
        <v>352.8</v>
      </c>
      <c r="AC65" s="6">
        <f>AB65*90%</f>
        <v>317.52000000000004</v>
      </c>
      <c r="AD65" s="6">
        <f>AC65*90%</f>
        <v>285.76800000000003</v>
      </c>
      <c r="AE65" s="6">
        <f>AD65*90%</f>
        <v>257.19120000000004</v>
      </c>
      <c r="AF65" s="98">
        <f>ROUND(H68,0)</f>
        <v>4000</v>
      </c>
      <c r="AG65" s="157" t="s">
        <v>546</v>
      </c>
      <c r="AH65" s="146" t="s">
        <v>546</v>
      </c>
    </row>
    <row r="66" spans="1:34" x14ac:dyDescent="0.15">
      <c r="A66" s="3"/>
      <c r="B66" s="3"/>
      <c r="C66" s="46"/>
      <c r="D66" s="3"/>
      <c r="E66" s="3"/>
      <c r="F66" s="18"/>
      <c r="G66" s="18"/>
      <c r="H66" s="53" t="s">
        <v>339</v>
      </c>
      <c r="I66" s="53" t="s">
        <v>338</v>
      </c>
      <c r="J66" s="53" t="s">
        <v>339</v>
      </c>
      <c r="K66" s="53" t="s">
        <v>338</v>
      </c>
      <c r="L66" s="27" t="s">
        <v>240</v>
      </c>
      <c r="M66" s="23">
        <v>0</v>
      </c>
      <c r="N66" s="23">
        <f t="shared" ref="N66:U66" si="39">X66</f>
        <v>22.5</v>
      </c>
      <c r="O66" s="23">
        <f t="shared" si="39"/>
        <v>18.399999999999999</v>
      </c>
      <c r="P66" s="23">
        <f t="shared" si="39"/>
        <v>12.4</v>
      </c>
      <c r="Q66" s="23">
        <f t="shared" si="39"/>
        <v>7.7</v>
      </c>
      <c r="R66" s="23">
        <f t="shared" si="39"/>
        <v>6.5</v>
      </c>
      <c r="S66" s="23">
        <f t="shared" si="39"/>
        <v>5.5</v>
      </c>
      <c r="T66" s="23">
        <f t="shared" si="39"/>
        <v>4.7</v>
      </c>
      <c r="U66" s="23">
        <f t="shared" si="39"/>
        <v>4</v>
      </c>
      <c r="V66" s="23" t="str">
        <f>K66</f>
        <v>2 v med børn:</v>
      </c>
      <c r="W66" s="144" t="s">
        <v>240</v>
      </c>
      <c r="X66" s="23">
        <f t="shared" ref="X66:AE66" si="40">ROUND(X68*100/M68,1)</f>
        <v>22.5</v>
      </c>
      <c r="Y66" s="23">
        <f t="shared" si="40"/>
        <v>18.399999999999999</v>
      </c>
      <c r="Z66" s="23">
        <f t="shared" si="40"/>
        <v>12.4</v>
      </c>
      <c r="AA66" s="23">
        <f t="shared" si="40"/>
        <v>7.7</v>
      </c>
      <c r="AB66" s="23">
        <f t="shared" si="40"/>
        <v>6.5</v>
      </c>
      <c r="AC66" s="23">
        <f t="shared" si="40"/>
        <v>5.5</v>
      </c>
      <c r="AD66" s="23">
        <f t="shared" si="40"/>
        <v>4.7</v>
      </c>
      <c r="AE66" s="23">
        <f t="shared" si="40"/>
        <v>4</v>
      </c>
      <c r="AF66" s="97" t="str">
        <f>M66&amp;"; "&amp;N66&amp;"; "&amp;O66&amp;"; "&amp;P66&amp;"; "&amp;Q66&amp;"; "&amp;R66&amp;"; "&amp;S66&amp;"; "&amp;T66&amp;"; "&amp;U66</f>
        <v>0; 22,5; 18,4; 12,4; 7,7; 6,5; 5,5; 4,7; 4</v>
      </c>
      <c r="AG66" s="157" t="s">
        <v>546</v>
      </c>
      <c r="AH66" s="146" t="s">
        <v>546</v>
      </c>
    </row>
    <row r="67" spans="1:34" x14ac:dyDescent="0.15">
      <c r="A67" s="140" t="str">
        <f>$A$9</f>
        <v>Forbrugsenheder</v>
      </c>
      <c r="B67" s="3"/>
      <c r="C67" s="46"/>
      <c r="D67" s="3"/>
      <c r="E67" s="3"/>
      <c r="F67" s="18"/>
      <c r="G67" s="289" t="str">
        <f>A67</f>
        <v>Forbrugsenheder</v>
      </c>
      <c r="H67" s="286">
        <v>1.2</v>
      </c>
      <c r="I67" s="286">
        <v>1.74</v>
      </c>
      <c r="J67" s="53"/>
      <c r="K67" s="53"/>
      <c r="L67" s="27"/>
      <c r="M67" s="23"/>
      <c r="N67" s="23"/>
      <c r="O67" s="23"/>
      <c r="P67" s="23"/>
      <c r="Q67" s="23"/>
      <c r="R67" s="23"/>
      <c r="S67" s="23"/>
      <c r="T67" s="23"/>
      <c r="U67" s="23"/>
      <c r="V67" s="23"/>
      <c r="W67" s="144"/>
      <c r="X67" s="23"/>
      <c r="Y67" s="23"/>
      <c r="Z67" s="23"/>
      <c r="AA67" s="23"/>
      <c r="AB67" s="23"/>
      <c r="AC67" s="23"/>
      <c r="AD67" s="23"/>
      <c r="AE67" s="23"/>
      <c r="AF67" s="97"/>
      <c r="AG67" s="157"/>
      <c r="AH67" s="146"/>
    </row>
    <row r="68" spans="1:34" x14ac:dyDescent="0.15">
      <c r="A68" s="3" t="s">
        <v>388</v>
      </c>
      <c r="B68" s="9">
        <f>(H68/1.5)*0.5</f>
        <v>1333.3333333333333</v>
      </c>
      <c r="C68" s="46" t="s">
        <v>235</v>
      </c>
      <c r="D68" s="3" t="s">
        <v>246</v>
      </c>
      <c r="E68" s="9">
        <f>IF(Data!$E$4=1,0,IF(Data!$E$4=2,F68,F68+B68*Data!G4))</f>
        <v>4900</v>
      </c>
      <c r="F68" s="9">
        <f>IF(Data!$E$5=0,M68,IF(Data!$E$5=1,N68,IF(Data!$E$5=2,O68,IF(Data!$E$5=3,P68,IF(Data!$E$5=4,Q68,IF(Data!$E$5=5,R68,IF(Data!$E$5=6,S68,IF(Data!$E$5=7,T68,U68))))))))</f>
        <v>4900</v>
      </c>
      <c r="G68" s="9"/>
      <c r="H68" s="6">
        <f>G70*H67</f>
        <v>4000</v>
      </c>
      <c r="I68" s="6">
        <f>G70*I67</f>
        <v>5800</v>
      </c>
      <c r="J68" s="6">
        <f>H68*$C$4/$K$3</f>
        <v>800</v>
      </c>
      <c r="K68" s="6">
        <f>I68*$C$4/$M$3</f>
        <v>828.57142857142856</v>
      </c>
      <c r="L68" s="27" t="s">
        <v>241</v>
      </c>
      <c r="M68" s="6">
        <f>H68</f>
        <v>4000</v>
      </c>
      <c r="N68" s="6">
        <f t="shared" ref="N68:U68" si="41">M68+M68*N66%</f>
        <v>4900</v>
      </c>
      <c r="O68" s="33">
        <f t="shared" si="41"/>
        <v>5801.6</v>
      </c>
      <c r="P68" s="6">
        <f t="shared" si="41"/>
        <v>6520.9984000000004</v>
      </c>
      <c r="Q68" s="6">
        <f t="shared" si="41"/>
        <v>7023.1152768000002</v>
      </c>
      <c r="R68" s="6">
        <f t="shared" si="41"/>
        <v>7479.6177697920002</v>
      </c>
      <c r="S68" s="6">
        <f t="shared" si="41"/>
        <v>7890.9967471305599</v>
      </c>
      <c r="T68" s="6">
        <f t="shared" si="41"/>
        <v>8261.8735942456969</v>
      </c>
      <c r="U68" s="6">
        <f t="shared" si="41"/>
        <v>8592.3485380155253</v>
      </c>
      <c r="V68" s="6">
        <f>K68</f>
        <v>828.57142857142856</v>
      </c>
      <c r="W68" s="144" t="s">
        <v>533</v>
      </c>
      <c r="X68" s="144">
        <f>(I68-H68)/2</f>
        <v>900</v>
      </c>
      <c r="Y68" s="144">
        <f>I68-(H68+X68)</f>
        <v>900</v>
      </c>
      <c r="Z68" s="6">
        <f>Y68*80%</f>
        <v>720</v>
      </c>
      <c r="AA68" s="6">
        <f>Z68*70%</f>
        <v>503.99999999999994</v>
      </c>
      <c r="AB68" s="6">
        <f>AA68*90%</f>
        <v>453.59999999999997</v>
      </c>
      <c r="AC68" s="6">
        <f>AB68*90%</f>
        <v>408.23999999999995</v>
      </c>
      <c r="AD68" s="6">
        <f>AC68*90%</f>
        <v>367.41599999999994</v>
      </c>
      <c r="AE68" s="6">
        <f>AD68*90%</f>
        <v>330.67439999999993</v>
      </c>
      <c r="AF68" s="97">
        <f>ROUND(B68,0)</f>
        <v>1333</v>
      </c>
      <c r="AG68" s="157" t="s">
        <v>546</v>
      </c>
      <c r="AH68" s="146" t="s">
        <v>546</v>
      </c>
    </row>
    <row r="69" spans="1:34" ht="14" thickBot="1" x14ac:dyDescent="0.2">
      <c r="A69" s="3"/>
      <c r="B69" s="3"/>
      <c r="C69" s="46"/>
      <c r="D69" s="37" t="s">
        <v>225</v>
      </c>
      <c r="E69" s="28">
        <f>IF(Data!$E$4=0,0,IF(Data!$E$4=1,E65,IF(Data!$E$4=2,E68,E68)))</f>
        <v>4900</v>
      </c>
      <c r="F69" s="29"/>
      <c r="G69" s="291">
        <v>5000</v>
      </c>
      <c r="H69" s="284" t="str">
        <f>$H$14</f>
        <v>Forbrugsenheder aktuelt:</v>
      </c>
      <c r="I69" s="284" t="str">
        <f>$I$14</f>
        <v>I alt efter forbrugsenheder:</v>
      </c>
      <c r="J69" s="30"/>
      <c r="K69" s="30"/>
      <c r="L69" s="24"/>
      <c r="M69" s="6"/>
      <c r="N69" s="6"/>
      <c r="O69" s="6"/>
      <c r="P69" s="6"/>
      <c r="Q69" s="6"/>
      <c r="R69" s="6"/>
      <c r="S69" s="6"/>
      <c r="T69" s="6"/>
      <c r="U69" s="6"/>
      <c r="V69" s="6"/>
      <c r="W69" s="144"/>
      <c r="X69" s="6"/>
      <c r="Y69" s="3"/>
      <c r="Z69" s="3"/>
      <c r="AA69" s="3"/>
      <c r="AB69" s="3"/>
      <c r="AC69" s="3"/>
      <c r="AD69" s="3"/>
      <c r="AE69" s="3"/>
      <c r="AF69" s="97"/>
      <c r="AG69" s="157" t="s">
        <v>546</v>
      </c>
      <c r="AH69" s="146" t="s">
        <v>546</v>
      </c>
    </row>
    <row r="70" spans="1:34" x14ac:dyDescent="0.15">
      <c r="A70" s="3"/>
      <c r="B70" s="3"/>
      <c r="C70" s="149"/>
      <c r="D70" s="150" t="s">
        <v>560</v>
      </c>
      <c r="E70" s="151">
        <f>E69/$AJ$11</f>
        <v>2722.2222222222222</v>
      </c>
      <c r="F70" s="152"/>
      <c r="G70" s="292">
        <f>G69/$M$4</f>
        <v>3333.3333333333335</v>
      </c>
      <c r="H70" s="286">
        <f>$AJ$11</f>
        <v>1.8</v>
      </c>
      <c r="I70" s="284">
        <f>H70*G70</f>
        <v>6000</v>
      </c>
      <c r="J70" s="153"/>
      <c r="K70" s="153"/>
      <c r="L70" s="154"/>
      <c r="M70" s="153"/>
      <c r="N70" s="153"/>
      <c r="O70" s="153"/>
      <c r="P70" s="153"/>
      <c r="Q70" s="153"/>
      <c r="R70" s="153"/>
      <c r="S70" s="153"/>
      <c r="T70" s="153"/>
      <c r="U70" s="153"/>
      <c r="V70" s="153"/>
      <c r="W70" s="155"/>
      <c r="X70" s="153"/>
      <c r="Y70" s="156"/>
      <c r="Z70" s="156"/>
      <c r="AA70" s="156"/>
      <c r="AB70" s="156"/>
      <c r="AC70" s="156"/>
      <c r="AD70" s="156"/>
      <c r="AE70" s="156"/>
      <c r="AF70" s="160"/>
      <c r="AG70" s="157" t="s">
        <v>546</v>
      </c>
      <c r="AH70" s="146"/>
    </row>
    <row r="71" spans="1:34" ht="14" thickBot="1" x14ac:dyDescent="0.2">
      <c r="A71" s="250"/>
      <c r="B71" s="250"/>
      <c r="C71" s="250"/>
      <c r="D71" s="248" t="s">
        <v>737</v>
      </c>
      <c r="E71" s="249">
        <f>E69/12</f>
        <v>408.33333333333331</v>
      </c>
      <c r="F71" s="9"/>
      <c r="G71" s="32"/>
      <c r="H71" s="6"/>
      <c r="I71" s="33"/>
      <c r="J71" s="33"/>
      <c r="K71" s="33"/>
      <c r="L71" s="251"/>
      <c r="M71" s="6"/>
      <c r="N71" s="6"/>
      <c r="O71" s="6"/>
      <c r="P71" s="6"/>
      <c r="Q71" s="6"/>
      <c r="R71" s="6"/>
      <c r="S71" s="6"/>
      <c r="T71" s="6"/>
      <c r="U71" s="6"/>
      <c r="V71" s="6"/>
      <c r="W71" s="144"/>
      <c r="X71" s="6"/>
      <c r="Y71" s="3"/>
      <c r="Z71" s="3"/>
      <c r="AA71" s="3"/>
      <c r="AB71" s="3"/>
      <c r="AC71" s="3"/>
      <c r="AD71" s="3"/>
      <c r="AE71" s="3"/>
      <c r="AF71" s="97"/>
      <c r="AG71" s="157" t="s">
        <v>546</v>
      </c>
      <c r="AH71" s="146" t="s">
        <v>546</v>
      </c>
    </row>
    <row r="72" spans="1:34" ht="14" thickBot="1" x14ac:dyDescent="0.2">
      <c r="A72" s="9"/>
      <c r="B72" s="3"/>
      <c r="C72" s="3"/>
      <c r="D72" s="43"/>
      <c r="E72" s="32"/>
      <c r="F72" s="9"/>
      <c r="G72" s="32"/>
      <c r="H72" s="6"/>
      <c r="I72" s="33"/>
      <c r="J72" s="33"/>
      <c r="K72" s="33"/>
      <c r="L72" s="24"/>
      <c r="M72" s="6"/>
      <c r="N72" s="6"/>
      <c r="O72" s="6"/>
      <c r="P72" s="6"/>
      <c r="Q72" s="6"/>
      <c r="R72" s="6"/>
      <c r="S72" s="6"/>
      <c r="T72" s="6"/>
      <c r="U72" s="6"/>
      <c r="V72" s="6"/>
      <c r="W72" s="144"/>
      <c r="X72" s="6"/>
      <c r="Y72" s="3"/>
      <c r="Z72" s="3"/>
      <c r="AA72" s="3"/>
      <c r="AB72" s="3"/>
      <c r="AC72" s="3"/>
      <c r="AD72" s="3"/>
      <c r="AE72" s="3"/>
      <c r="AF72" s="97"/>
      <c r="AG72" s="157"/>
      <c r="AH72" s="146"/>
    </row>
    <row r="73" spans="1:34" ht="14" thickBot="1" x14ac:dyDescent="0.2">
      <c r="A73" s="3"/>
      <c r="B73" s="3"/>
      <c r="C73" s="3"/>
      <c r="D73" s="43"/>
      <c r="E73" s="32"/>
      <c r="F73" s="9"/>
      <c r="G73" s="32"/>
      <c r="H73" s="145" t="s">
        <v>396</v>
      </c>
      <c r="I73" s="145" t="s">
        <v>397</v>
      </c>
      <c r="J73" s="141" t="s">
        <v>543</v>
      </c>
      <c r="K73" s="68"/>
      <c r="L73" s="24" t="s">
        <v>239</v>
      </c>
      <c r="M73" s="25">
        <v>0</v>
      </c>
      <c r="N73" s="25">
        <f t="shared" ref="N73:U73" si="42">M73+1</f>
        <v>1</v>
      </c>
      <c r="O73" s="26">
        <f t="shared" si="42"/>
        <v>2</v>
      </c>
      <c r="P73" s="25">
        <f t="shared" si="42"/>
        <v>3</v>
      </c>
      <c r="Q73" s="25">
        <f t="shared" si="42"/>
        <v>4</v>
      </c>
      <c r="R73" s="25">
        <f t="shared" si="42"/>
        <v>5</v>
      </c>
      <c r="S73" s="25">
        <f t="shared" si="42"/>
        <v>6</v>
      </c>
      <c r="T73" s="25">
        <f t="shared" si="42"/>
        <v>7</v>
      </c>
      <c r="U73" s="25">
        <f t="shared" si="42"/>
        <v>8</v>
      </c>
      <c r="V73" s="141" t="s">
        <v>542</v>
      </c>
      <c r="W73" s="144" t="s">
        <v>545</v>
      </c>
      <c r="X73" s="96" t="s">
        <v>480</v>
      </c>
      <c r="Y73" s="96" t="s">
        <v>481</v>
      </c>
      <c r="Z73" s="96" t="s">
        <v>482</v>
      </c>
      <c r="AA73" s="96" t="s">
        <v>483</v>
      </c>
      <c r="AB73" s="96" t="s">
        <v>484</v>
      </c>
      <c r="AC73" s="96" t="s">
        <v>485</v>
      </c>
      <c r="AD73" s="96" t="s">
        <v>487</v>
      </c>
      <c r="AE73" s="96" t="s">
        <v>486</v>
      </c>
      <c r="AF73" s="97">
        <f>ROUND(H76,0)</f>
        <v>19722</v>
      </c>
      <c r="AG73" s="157" t="s">
        <v>546</v>
      </c>
      <c r="AH73" s="146" t="s">
        <v>546</v>
      </c>
    </row>
    <row r="74" spans="1:34" x14ac:dyDescent="0.15">
      <c r="A74" s="14" t="s">
        <v>20</v>
      </c>
      <c r="B74" s="3"/>
      <c r="C74" s="132" t="str">
        <f>$C$8</f>
        <v>2018 ok</v>
      </c>
      <c r="D74" s="31"/>
      <c r="E74" s="4"/>
      <c r="F74" s="9"/>
      <c r="G74" s="9"/>
      <c r="H74" s="53" t="s">
        <v>266</v>
      </c>
      <c r="I74" s="53" t="s">
        <v>267</v>
      </c>
      <c r="J74" s="53" t="s">
        <v>266</v>
      </c>
      <c r="K74" s="53" t="s">
        <v>267</v>
      </c>
      <c r="L74" s="27" t="s">
        <v>240</v>
      </c>
      <c r="M74" s="23">
        <v>0</v>
      </c>
      <c r="N74" s="23">
        <f t="shared" ref="N74:U74" si="43">X74</f>
        <v>17.100000000000001</v>
      </c>
      <c r="O74" s="22">
        <f t="shared" si="43"/>
        <v>10.3</v>
      </c>
      <c r="P74" s="23">
        <f t="shared" si="43"/>
        <v>8.4</v>
      </c>
      <c r="Q74" s="23">
        <f t="shared" si="43"/>
        <v>5.4</v>
      </c>
      <c r="R74" s="23">
        <f t="shared" si="43"/>
        <v>4.5999999999999996</v>
      </c>
      <c r="S74" s="23">
        <f t="shared" si="43"/>
        <v>4</v>
      </c>
      <c r="T74" s="23">
        <f t="shared" si="43"/>
        <v>3.4</v>
      </c>
      <c r="U74" s="23">
        <f t="shared" si="43"/>
        <v>3</v>
      </c>
      <c r="V74" s="23" t="str">
        <f>K74</f>
        <v>Enlig med børn:</v>
      </c>
      <c r="W74" s="144" t="s">
        <v>240</v>
      </c>
      <c r="X74" s="23">
        <f t="shared" ref="X74:AE74" si="44">ROUND(X76*100/M76,1)</f>
        <v>17.100000000000001</v>
      </c>
      <c r="Y74" s="23">
        <f t="shared" si="44"/>
        <v>10.3</v>
      </c>
      <c r="Z74" s="23">
        <f t="shared" si="44"/>
        <v>8.4</v>
      </c>
      <c r="AA74" s="23">
        <f t="shared" si="44"/>
        <v>5.4</v>
      </c>
      <c r="AB74" s="23">
        <f t="shared" si="44"/>
        <v>4.5999999999999996</v>
      </c>
      <c r="AC74" s="23">
        <f t="shared" si="44"/>
        <v>4</v>
      </c>
      <c r="AD74" s="23">
        <f t="shared" si="44"/>
        <v>3.4</v>
      </c>
      <c r="AE74" s="23">
        <f t="shared" si="44"/>
        <v>3</v>
      </c>
      <c r="AF74" s="97" t="str">
        <f>M74&amp;"; "&amp;N74&amp;"; "&amp;O74&amp;"; "&amp;P74&amp;"; "&amp;Q74&amp;"; "&amp;R74&amp;"; "&amp;S74&amp;"; "&amp;T74&amp;"; "&amp;U74</f>
        <v>0; 17,1; 10,3; 8,4; 5,4; 4,6; 4; 3,4; 3</v>
      </c>
      <c r="AG74" s="157" t="s">
        <v>546</v>
      </c>
      <c r="AH74" s="146" t="s">
        <v>546</v>
      </c>
    </row>
    <row r="75" spans="1:34" x14ac:dyDescent="0.15">
      <c r="A75" s="140" t="str">
        <f>$A$9</f>
        <v>Forbrugsenheder</v>
      </c>
      <c r="B75" s="3"/>
      <c r="C75" s="132"/>
      <c r="D75" s="31"/>
      <c r="E75" s="4"/>
      <c r="F75" s="9"/>
      <c r="G75" s="289" t="str">
        <f>A75</f>
        <v>Forbrugsenheder</v>
      </c>
      <c r="H75" s="286">
        <v>0.75004091551565943</v>
      </c>
      <c r="I75" s="286">
        <v>0.96857068465296214</v>
      </c>
      <c r="J75" s="53"/>
      <c r="K75" s="53"/>
      <c r="L75" s="27"/>
      <c r="M75" s="23"/>
      <c r="N75" s="23"/>
      <c r="O75" s="22"/>
      <c r="P75" s="23"/>
      <c r="Q75" s="23"/>
      <c r="R75" s="23"/>
      <c r="S75" s="23"/>
      <c r="T75" s="23"/>
      <c r="U75" s="23"/>
      <c r="V75" s="23"/>
      <c r="W75" s="144"/>
      <c r="X75" s="23"/>
      <c r="Y75" s="23"/>
      <c r="Z75" s="23"/>
      <c r="AA75" s="23"/>
      <c r="AB75" s="23"/>
      <c r="AC75" s="23"/>
      <c r="AD75" s="23"/>
      <c r="AE75" s="23"/>
      <c r="AF75" s="97"/>
      <c r="AG75" s="157"/>
      <c r="AH75" s="146"/>
    </row>
    <row r="76" spans="1:34" x14ac:dyDescent="0.15">
      <c r="A76" s="3"/>
      <c r="B76" s="3"/>
      <c r="C76" s="46" t="s">
        <v>234</v>
      </c>
      <c r="D76" s="14" t="s">
        <v>22</v>
      </c>
      <c r="E76" s="9">
        <f>IF(Data!$E$4=1,F76,IF(Data!$E$4=2,0,0))</f>
        <v>0</v>
      </c>
      <c r="F76" s="9">
        <f>IF(Data!$E$5=0,M76,IF(Data!$E$5=1,N76,IF(Data!$E$5=2,O76,IF(Data!$E$5=3,P76,IF(Data!$E$5=4,Q76,IF(Data!$E$5=5,R76,IF(Data!$E$5=6,S76,IF(Data!$E$5=7,T76,U76))))))))</f>
        <v>23093.965299938005</v>
      </c>
      <c r="G76" s="9"/>
      <c r="H76" s="6">
        <f>G81*H75</f>
        <v>19721.575832568749</v>
      </c>
      <c r="I76" s="6">
        <f>G81*I75</f>
        <v>25467.597582264985</v>
      </c>
      <c r="J76" s="6">
        <f>H76*$C$4/$K$2</f>
        <v>5916.4727497706244</v>
      </c>
      <c r="K76" s="6">
        <f>I76*$C$4/$M$2</f>
        <v>5093.5195164529969</v>
      </c>
      <c r="L76" s="27" t="s">
        <v>241</v>
      </c>
      <c r="M76" s="6">
        <f>H76</f>
        <v>19721.575832568749</v>
      </c>
      <c r="N76" s="6">
        <f t="shared" ref="N76:U76" si="45">M76+M76*N74%</f>
        <v>23093.965299938005</v>
      </c>
      <c r="O76" s="33">
        <f t="shared" si="45"/>
        <v>25472.643725831618</v>
      </c>
      <c r="P76" s="6">
        <f t="shared" si="45"/>
        <v>27612.345798801474</v>
      </c>
      <c r="Q76" s="6">
        <f t="shared" si="45"/>
        <v>29103.412471936754</v>
      </c>
      <c r="R76" s="6">
        <f t="shared" si="45"/>
        <v>30442.169445645843</v>
      </c>
      <c r="S76" s="6">
        <f t="shared" si="45"/>
        <v>31659.856223471677</v>
      </c>
      <c r="T76" s="6">
        <f t="shared" si="45"/>
        <v>32736.291335069713</v>
      </c>
      <c r="U76" s="6">
        <f t="shared" si="45"/>
        <v>33718.3800751218</v>
      </c>
      <c r="V76" s="6">
        <f>K76</f>
        <v>5093.5195164529969</v>
      </c>
      <c r="W76" s="144" t="s">
        <v>533</v>
      </c>
      <c r="X76" s="144">
        <f>500+(I76-H76)/2</f>
        <v>3373.010874848118</v>
      </c>
      <c r="Y76" s="144">
        <f>I76-(H76+X76)</f>
        <v>2373.010874848118</v>
      </c>
      <c r="Z76" s="6">
        <f>Y76*90%</f>
        <v>2135.7097873633061</v>
      </c>
      <c r="AA76" s="6">
        <f>Z76*70%</f>
        <v>1494.9968511543141</v>
      </c>
      <c r="AB76" s="6">
        <f>AA76*90%</f>
        <v>1345.4971660388826</v>
      </c>
      <c r="AC76" s="6">
        <f>AB76*90%</f>
        <v>1210.9474494349943</v>
      </c>
      <c r="AD76" s="6">
        <f>AC76*90%</f>
        <v>1089.8527044914949</v>
      </c>
      <c r="AE76" s="6">
        <f>AD76*90%</f>
        <v>980.86743404234551</v>
      </c>
      <c r="AF76" s="98">
        <f>ROUND(H79,0)</f>
        <v>42333</v>
      </c>
      <c r="AG76" s="157" t="s">
        <v>546</v>
      </c>
      <c r="AH76" s="146" t="s">
        <v>546</v>
      </c>
    </row>
    <row r="77" spans="1:34" x14ac:dyDescent="0.15">
      <c r="A77" s="3"/>
      <c r="B77" s="3"/>
      <c r="C77" s="46"/>
      <c r="D77" s="31"/>
      <c r="E77" s="31"/>
      <c r="F77" s="18"/>
      <c r="G77" s="18"/>
      <c r="H77" s="53" t="s">
        <v>339</v>
      </c>
      <c r="I77" s="53" t="s">
        <v>338</v>
      </c>
      <c r="J77" s="53" t="s">
        <v>339</v>
      </c>
      <c r="K77" s="53" t="s">
        <v>338</v>
      </c>
      <c r="L77" s="27" t="s">
        <v>240</v>
      </c>
      <c r="M77" s="23">
        <v>0</v>
      </c>
      <c r="N77" s="23">
        <f t="shared" ref="N77:U77" si="46">X77</f>
        <v>1.1000000000000001</v>
      </c>
      <c r="O77" s="23">
        <f t="shared" si="46"/>
        <v>-1.2</v>
      </c>
      <c r="P77" s="23">
        <f t="shared" si="46"/>
        <v>-1.1000000000000001</v>
      </c>
      <c r="Q77" s="23">
        <f t="shared" si="46"/>
        <v>-0.8</v>
      </c>
      <c r="R77" s="23">
        <f t="shared" si="46"/>
        <v>-0.7</v>
      </c>
      <c r="S77" s="23">
        <f t="shared" si="46"/>
        <v>-0.6</v>
      </c>
      <c r="T77" s="23">
        <f t="shared" si="46"/>
        <v>-0.6</v>
      </c>
      <c r="U77" s="23">
        <f t="shared" si="46"/>
        <v>-0.5</v>
      </c>
      <c r="V77" s="23" t="str">
        <f>K77</f>
        <v>2 v med børn:</v>
      </c>
      <c r="W77" s="144" t="s">
        <v>240</v>
      </c>
      <c r="X77" s="23">
        <f t="shared" ref="X77:AE77" si="47">ROUND(X79*100/M79,1)</f>
        <v>1.1000000000000001</v>
      </c>
      <c r="Y77" s="23">
        <f t="shared" si="47"/>
        <v>-1.2</v>
      </c>
      <c r="Z77" s="23">
        <f t="shared" si="47"/>
        <v>-1.1000000000000001</v>
      </c>
      <c r="AA77" s="23">
        <f t="shared" si="47"/>
        <v>-0.8</v>
      </c>
      <c r="AB77" s="23">
        <f t="shared" si="47"/>
        <v>-0.7</v>
      </c>
      <c r="AC77" s="23">
        <f t="shared" si="47"/>
        <v>-0.6</v>
      </c>
      <c r="AD77" s="23">
        <f t="shared" si="47"/>
        <v>-0.6</v>
      </c>
      <c r="AE77" s="23">
        <f t="shared" si="47"/>
        <v>-0.5</v>
      </c>
      <c r="AF77" s="97" t="str">
        <f>M77&amp;"; "&amp;N77&amp;"; "&amp;O77&amp;"; "&amp;P77&amp;"; "&amp;Q77&amp;"; "&amp;R77&amp;"; "&amp;S77&amp;"; "&amp;T77&amp;"; "&amp;U77</f>
        <v>0; 1,1; -1,2; -1,1; -0,8; -0,7; -0,6; -0,6; -0,5</v>
      </c>
      <c r="AG77" s="157" t="s">
        <v>546</v>
      </c>
      <c r="AH77" s="146" t="s">
        <v>546</v>
      </c>
    </row>
    <row r="78" spans="1:34" x14ac:dyDescent="0.15">
      <c r="A78" s="140" t="str">
        <f>$A$9</f>
        <v>Forbrugsenheder</v>
      </c>
      <c r="B78" s="3"/>
      <c r="C78" s="46"/>
      <c r="D78" s="31"/>
      <c r="E78" s="31"/>
      <c r="F78" s="18"/>
      <c r="G78" s="289" t="str">
        <f>A78</f>
        <v>Forbrugsenheder</v>
      </c>
      <c r="H78" s="286">
        <v>1.609992064869691</v>
      </c>
      <c r="I78" s="286">
        <v>1.6089431398318748</v>
      </c>
      <c r="J78" s="53"/>
      <c r="K78" s="53"/>
      <c r="L78" s="27"/>
      <c r="M78" s="23"/>
      <c r="N78" s="23"/>
      <c r="O78" s="23"/>
      <c r="P78" s="23"/>
      <c r="Q78" s="23"/>
      <c r="R78" s="23"/>
      <c r="S78" s="23"/>
      <c r="T78" s="23"/>
      <c r="U78" s="23"/>
      <c r="V78" s="23"/>
      <c r="W78" s="144"/>
      <c r="X78" s="23"/>
      <c r="Y78" s="23"/>
      <c r="Z78" s="23"/>
      <c r="AA78" s="23"/>
      <c r="AB78" s="23"/>
      <c r="AC78" s="23"/>
      <c r="AD78" s="23"/>
      <c r="AE78" s="23"/>
      <c r="AF78" s="97"/>
      <c r="AG78" s="157"/>
      <c r="AH78" s="146"/>
    </row>
    <row r="79" spans="1:34" x14ac:dyDescent="0.15">
      <c r="A79" s="3" t="s">
        <v>388</v>
      </c>
      <c r="B79" s="9">
        <f>(H79/1.5)*0.5</f>
        <v>14111.043784561218</v>
      </c>
      <c r="C79" s="46" t="s">
        <v>235</v>
      </c>
      <c r="D79" s="3" t="s">
        <v>400</v>
      </c>
      <c r="E79" s="9">
        <f>IF(Data!$E$4=1,0,IF(Data!$E$4=2,F79,F79+B79*Data!G4))</f>
        <v>42798.795798574174</v>
      </c>
      <c r="F79" s="9">
        <f>IF(Data!$E$5=0,M79,IF(Data!$E$5=1,N79,IF(Data!$E$5=2,O79,IF(Data!$E$5=3,P79,IF(Data!$E$5=4,Q79,IF(Data!$E$5=5,R79,IF(Data!$E$5=6,S79,IF(Data!$E$5=7,T79,U79))))))))</f>
        <v>42798.795798574174</v>
      </c>
      <c r="G79" s="9"/>
      <c r="H79" s="6">
        <f>G81*H78</f>
        <v>42333.131353683653</v>
      </c>
      <c r="I79" s="6">
        <f>G81*I78</f>
        <v>42305.550918739318</v>
      </c>
      <c r="J79" s="6">
        <f>H79*$C$4/$K$3</f>
        <v>8466.6262707367296</v>
      </c>
      <c r="K79" s="6">
        <f>I79*$C$4/$M$3</f>
        <v>6043.6501312484734</v>
      </c>
      <c r="L79" s="27" t="s">
        <v>241</v>
      </c>
      <c r="M79" s="6">
        <f>H79</f>
        <v>42333.131353683653</v>
      </c>
      <c r="N79" s="6">
        <f t="shared" ref="N79:U79" si="48">M79+M79*N77%</f>
        <v>42798.795798574174</v>
      </c>
      <c r="O79" s="33">
        <f t="shared" si="48"/>
        <v>42285.210248991287</v>
      </c>
      <c r="P79" s="6">
        <f t="shared" si="48"/>
        <v>41820.072936252385</v>
      </c>
      <c r="Q79" s="6">
        <f t="shared" si="48"/>
        <v>41485.512352762365</v>
      </c>
      <c r="R79" s="6">
        <f t="shared" si="48"/>
        <v>41195.113766293027</v>
      </c>
      <c r="S79" s="6">
        <f t="shared" si="48"/>
        <v>40947.943083695267</v>
      </c>
      <c r="T79" s="6">
        <f t="shared" si="48"/>
        <v>40702.255425193092</v>
      </c>
      <c r="U79" s="6">
        <f t="shared" si="48"/>
        <v>40498.744148067126</v>
      </c>
      <c r="V79" s="6">
        <f>K79</f>
        <v>6043.6501312484734</v>
      </c>
      <c r="W79" s="144" t="s">
        <v>533</v>
      </c>
      <c r="X79" s="144">
        <f>500+(I79-H79)/2</f>
        <v>486.20978252783243</v>
      </c>
      <c r="Y79" s="144">
        <f>I79-(H79+X79)</f>
        <v>-513.79021747216757</v>
      </c>
      <c r="Z79" s="6">
        <f>Y79*90%</f>
        <v>-462.4111957249508</v>
      </c>
      <c r="AA79" s="6">
        <f>Z79*70%</f>
        <v>-323.68783700746553</v>
      </c>
      <c r="AB79" s="6">
        <f>AA79*90%</f>
        <v>-291.31905330671901</v>
      </c>
      <c r="AC79" s="6">
        <f>AB79*90%</f>
        <v>-262.18714797604713</v>
      </c>
      <c r="AD79" s="6">
        <f>AC79*90%</f>
        <v>-235.96843317844241</v>
      </c>
      <c r="AE79" s="6">
        <f>AD79*90%</f>
        <v>-212.37158986059816</v>
      </c>
      <c r="AF79" s="97">
        <f>ROUND(B79,0)</f>
        <v>14111</v>
      </c>
      <c r="AG79" s="157" t="s">
        <v>546</v>
      </c>
      <c r="AH79" s="146" t="s">
        <v>546</v>
      </c>
    </row>
    <row r="80" spans="1:34" ht="14" thickBot="1" x14ac:dyDescent="0.2">
      <c r="A80" s="3"/>
      <c r="B80" s="3"/>
      <c r="C80" s="46"/>
      <c r="D80" s="37" t="s">
        <v>225</v>
      </c>
      <c r="E80" s="28">
        <f>IF(Data!$E$4=0,0,IF(Data!$E$4=1,E76,IF(Data!$E$4=2,E79,E79)))</f>
        <v>42798.795798574174</v>
      </c>
      <c r="F80" s="29"/>
      <c r="G80" s="291">
        <f>'DS-tal-valgte'!D54-'DS-tal-valgte'!D42</f>
        <v>39441</v>
      </c>
      <c r="H80" s="284" t="str">
        <f>$H$14</f>
        <v>Forbrugsenheder aktuelt:</v>
      </c>
      <c r="I80" s="284" t="str">
        <f>$I$14</f>
        <v>I alt efter forbrugsenheder:</v>
      </c>
      <c r="J80" s="30"/>
      <c r="K80" s="30"/>
      <c r="L80" s="24"/>
      <c r="M80" s="6"/>
      <c r="N80" s="6"/>
      <c r="O80" s="6"/>
      <c r="P80" s="6"/>
      <c r="Q80" s="6"/>
      <c r="R80" s="6"/>
      <c r="S80" s="6"/>
      <c r="T80" s="6"/>
      <c r="U80" s="6"/>
      <c r="V80" s="6"/>
      <c r="W80" s="144"/>
      <c r="X80" s="6"/>
      <c r="Y80" s="3"/>
      <c r="Z80" s="3"/>
      <c r="AA80" s="3"/>
      <c r="AB80" s="3"/>
      <c r="AC80" s="3"/>
      <c r="AD80" s="3"/>
      <c r="AE80" s="3"/>
      <c r="AF80" s="97"/>
      <c r="AG80" s="157" t="s">
        <v>546</v>
      </c>
      <c r="AH80" s="146" t="s">
        <v>546</v>
      </c>
    </row>
    <row r="81" spans="1:34" x14ac:dyDescent="0.15">
      <c r="A81" s="3"/>
      <c r="B81" s="3"/>
      <c r="C81" s="149"/>
      <c r="D81" s="150" t="s">
        <v>560</v>
      </c>
      <c r="E81" s="151">
        <f>E80/$AJ$11</f>
        <v>23777.108776985653</v>
      </c>
      <c r="F81" s="152"/>
      <c r="G81" s="292">
        <f>G80/$M$4</f>
        <v>26294</v>
      </c>
      <c r="H81" s="286">
        <f>$AJ$11</f>
        <v>1.8</v>
      </c>
      <c r="I81" s="284">
        <f>H81*G81</f>
        <v>47329.200000000004</v>
      </c>
      <c r="J81" s="153"/>
      <c r="K81" s="153"/>
      <c r="L81" s="154"/>
      <c r="M81" s="153"/>
      <c r="N81" s="153"/>
      <c r="O81" s="153"/>
      <c r="P81" s="153"/>
      <c r="Q81" s="153"/>
      <c r="R81" s="153"/>
      <c r="S81" s="153"/>
      <c r="T81" s="153"/>
      <c r="U81" s="153"/>
      <c r="V81" s="153"/>
      <c r="W81" s="155"/>
      <c r="X81" s="153"/>
      <c r="Y81" s="156"/>
      <c r="Z81" s="156"/>
      <c r="AA81" s="156"/>
      <c r="AB81" s="156"/>
      <c r="AC81" s="156"/>
      <c r="AD81" s="156"/>
      <c r="AE81" s="156"/>
      <c r="AF81" s="160"/>
      <c r="AG81" s="157" t="s">
        <v>546</v>
      </c>
      <c r="AH81" s="146"/>
    </row>
    <row r="82" spans="1:34" ht="14" thickBot="1" x14ac:dyDescent="0.2">
      <c r="A82" s="250"/>
      <c r="B82" s="250"/>
      <c r="C82" s="250"/>
      <c r="D82" s="248" t="s">
        <v>737</v>
      </c>
      <c r="E82" s="249">
        <f>E80/12</f>
        <v>3566.5663165478477</v>
      </c>
      <c r="F82" s="9"/>
      <c r="G82" s="32"/>
      <c r="H82" s="6"/>
      <c r="I82" s="6"/>
      <c r="J82" s="6"/>
      <c r="K82" s="6"/>
      <c r="L82" s="27"/>
      <c r="M82" s="6"/>
      <c r="N82" s="6"/>
      <c r="O82" s="6"/>
      <c r="P82" s="6"/>
      <c r="Q82" s="6"/>
      <c r="R82" s="6"/>
      <c r="S82" s="6"/>
      <c r="T82" s="6"/>
      <c r="U82" s="6"/>
      <c r="V82" s="6"/>
      <c r="W82" s="144"/>
      <c r="X82" s="6"/>
      <c r="Y82" s="3"/>
      <c r="Z82" s="3"/>
      <c r="AA82" s="3"/>
      <c r="AB82" s="3"/>
      <c r="AC82" s="3"/>
      <c r="AD82" s="3"/>
      <c r="AE82" s="3"/>
      <c r="AF82" s="97"/>
      <c r="AG82" s="157" t="s">
        <v>546</v>
      </c>
      <c r="AH82" s="146" t="s">
        <v>546</v>
      </c>
    </row>
    <row r="83" spans="1:34" x14ac:dyDescent="0.15">
      <c r="A83" s="3"/>
      <c r="B83" s="3"/>
      <c r="C83" s="3"/>
      <c r="D83" s="43"/>
      <c r="E83" s="32"/>
      <c r="F83" s="9"/>
      <c r="G83" s="32"/>
      <c r="H83" s="6"/>
      <c r="I83" s="6"/>
      <c r="J83" s="6"/>
      <c r="K83" s="6"/>
      <c r="L83" s="27"/>
      <c r="M83" s="6"/>
      <c r="N83" s="6"/>
      <c r="O83" s="6"/>
      <c r="P83" s="6"/>
      <c r="Q83" s="6"/>
      <c r="R83" s="6"/>
      <c r="S83" s="6"/>
      <c r="T83" s="6"/>
      <c r="U83" s="6"/>
      <c r="V83" s="6"/>
      <c r="W83" s="144"/>
      <c r="X83" s="6"/>
      <c r="Y83" s="3"/>
      <c r="Z83" s="3"/>
      <c r="AA83" s="3"/>
      <c r="AB83" s="3"/>
      <c r="AC83" s="3"/>
      <c r="AD83" s="3"/>
      <c r="AE83" s="3"/>
      <c r="AF83" s="97"/>
      <c r="AG83" s="157"/>
      <c r="AH83" s="146"/>
    </row>
    <row r="84" spans="1:34" ht="14" thickBot="1" x14ac:dyDescent="0.2">
      <c r="A84" s="3"/>
      <c r="B84" s="3"/>
      <c r="C84" s="3"/>
      <c r="D84" s="43"/>
      <c r="E84" s="32"/>
      <c r="F84" s="9"/>
      <c r="G84" s="32"/>
      <c r="H84" s="145" t="s">
        <v>396</v>
      </c>
      <c r="I84" s="145" t="s">
        <v>397</v>
      </c>
      <c r="J84" s="141" t="s">
        <v>543</v>
      </c>
      <c r="K84" s="68"/>
      <c r="L84" s="24" t="s">
        <v>239</v>
      </c>
      <c r="M84" s="25">
        <v>0</v>
      </c>
      <c r="N84" s="25">
        <f t="shared" ref="N84:U84" si="49">M84+1</f>
        <v>1</v>
      </c>
      <c r="O84" s="26">
        <f t="shared" si="49"/>
        <v>2</v>
      </c>
      <c r="P84" s="25">
        <f t="shared" si="49"/>
        <v>3</v>
      </c>
      <c r="Q84" s="25">
        <f t="shared" si="49"/>
        <v>4</v>
      </c>
      <c r="R84" s="25">
        <f t="shared" si="49"/>
        <v>5</v>
      </c>
      <c r="S84" s="25">
        <f t="shared" si="49"/>
        <v>6</v>
      </c>
      <c r="T84" s="25">
        <f t="shared" si="49"/>
        <v>7</v>
      </c>
      <c r="U84" s="25">
        <f t="shared" si="49"/>
        <v>8</v>
      </c>
      <c r="V84" s="141" t="s">
        <v>542</v>
      </c>
      <c r="W84" s="144" t="s">
        <v>545</v>
      </c>
      <c r="X84" s="96" t="s">
        <v>480</v>
      </c>
      <c r="Y84" s="96" t="s">
        <v>481</v>
      </c>
      <c r="Z84" s="96" t="s">
        <v>482</v>
      </c>
      <c r="AA84" s="96" t="s">
        <v>483</v>
      </c>
      <c r="AB84" s="96" t="s">
        <v>484</v>
      </c>
      <c r="AC84" s="96" t="s">
        <v>485</v>
      </c>
      <c r="AD84" s="96" t="s">
        <v>487</v>
      </c>
      <c r="AE84" s="96" t="s">
        <v>486</v>
      </c>
      <c r="AF84" s="97">
        <f>ROUND(H87,0)</f>
        <v>704</v>
      </c>
      <c r="AG84" s="157" t="s">
        <v>546</v>
      </c>
      <c r="AH84" s="146" t="s">
        <v>546</v>
      </c>
    </row>
    <row r="85" spans="1:34" x14ac:dyDescent="0.15">
      <c r="A85" s="14" t="s">
        <v>92</v>
      </c>
      <c r="B85" s="3"/>
      <c r="C85" s="132" t="str">
        <f>$C$8</f>
        <v>2018 ok</v>
      </c>
      <c r="D85" s="31"/>
      <c r="E85" s="4"/>
      <c r="F85" s="9"/>
      <c r="G85" s="9"/>
      <c r="H85" s="53" t="s">
        <v>266</v>
      </c>
      <c r="I85" s="53" t="s">
        <v>267</v>
      </c>
      <c r="J85" s="53" t="s">
        <v>266</v>
      </c>
      <c r="K85" s="53" t="s">
        <v>267</v>
      </c>
      <c r="L85" s="27" t="s">
        <v>240</v>
      </c>
      <c r="M85" s="23">
        <v>0</v>
      </c>
      <c r="N85" s="23">
        <f t="shared" ref="N85:U85" si="50">X85</f>
        <v>-6.1</v>
      </c>
      <c r="O85" s="22">
        <f t="shared" si="50"/>
        <v>-36.700000000000003</v>
      </c>
      <c r="P85" s="23">
        <f t="shared" si="50"/>
        <v>-29</v>
      </c>
      <c r="Q85" s="23">
        <f t="shared" si="50"/>
        <v>0</v>
      </c>
      <c r="R85" s="23">
        <f t="shared" si="50"/>
        <v>0</v>
      </c>
      <c r="S85" s="23">
        <f t="shared" si="50"/>
        <v>0</v>
      </c>
      <c r="T85" s="23">
        <f t="shared" si="50"/>
        <v>0</v>
      </c>
      <c r="U85" s="23">
        <f t="shared" si="50"/>
        <v>0</v>
      </c>
      <c r="V85" s="23" t="str">
        <f>K85</f>
        <v>Enlig med børn:</v>
      </c>
      <c r="W85" s="144" t="s">
        <v>240</v>
      </c>
      <c r="X85" s="23">
        <f t="shared" ref="X85:AE85" si="51">ROUND(X87*100/M87,1)</f>
        <v>-6.1</v>
      </c>
      <c r="Y85" s="23">
        <f t="shared" si="51"/>
        <v>-36.700000000000003</v>
      </c>
      <c r="Z85" s="23">
        <f t="shared" si="51"/>
        <v>-29</v>
      </c>
      <c r="AA85" s="23">
        <f t="shared" si="51"/>
        <v>0</v>
      </c>
      <c r="AB85" s="23">
        <f t="shared" si="51"/>
        <v>0</v>
      </c>
      <c r="AC85" s="23">
        <f t="shared" si="51"/>
        <v>0</v>
      </c>
      <c r="AD85" s="23">
        <f t="shared" si="51"/>
        <v>0</v>
      </c>
      <c r="AE85" s="23">
        <f t="shared" si="51"/>
        <v>0</v>
      </c>
      <c r="AF85" s="97" t="str">
        <f>M85&amp;"; "&amp;N85&amp;"; "&amp;O85&amp;"; "&amp;P85&amp;"; "&amp;Q85&amp;"; "&amp;R85&amp;"; "&amp;S85&amp;"; "&amp;T85&amp;"; "&amp;U85</f>
        <v>0; -6,1; -36,7; -29; 0; 0; 0; 0; 0</v>
      </c>
      <c r="AG85" s="157" t="s">
        <v>546</v>
      </c>
      <c r="AH85" s="146" t="s">
        <v>546</v>
      </c>
    </row>
    <row r="86" spans="1:34" x14ac:dyDescent="0.15">
      <c r="A86" s="140" t="str">
        <f>$A$9</f>
        <v>Forbrugsenheder</v>
      </c>
      <c r="B86" s="3"/>
      <c r="C86" s="132"/>
      <c r="D86" s="31"/>
      <c r="E86" s="4"/>
      <c r="F86" s="9"/>
      <c r="G86" s="289" t="str">
        <f>A86</f>
        <v>Forbrugsenheder</v>
      </c>
      <c r="H86" s="286">
        <v>0.57602444284687282</v>
      </c>
      <c r="I86" s="286">
        <v>0.34237958303378868</v>
      </c>
      <c r="J86" s="53"/>
      <c r="K86" s="53"/>
      <c r="L86" s="27"/>
      <c r="M86" s="23"/>
      <c r="N86" s="23"/>
      <c r="O86" s="22"/>
      <c r="P86" s="23"/>
      <c r="Q86" s="23"/>
      <c r="R86" s="23"/>
      <c r="S86" s="23"/>
      <c r="T86" s="23"/>
      <c r="U86" s="23"/>
      <c r="V86" s="23"/>
      <c r="W86" s="144"/>
      <c r="X86" s="23"/>
      <c r="Y86" s="23"/>
      <c r="Z86" s="23"/>
      <c r="AA86" s="23"/>
      <c r="AB86" s="23"/>
      <c r="AC86" s="23"/>
      <c r="AD86" s="23"/>
      <c r="AE86" s="23"/>
      <c r="AF86" s="97"/>
      <c r="AG86" s="157"/>
      <c r="AH86" s="146"/>
    </row>
    <row r="87" spans="1:34" x14ac:dyDescent="0.15">
      <c r="A87" s="3"/>
      <c r="B87" s="3"/>
      <c r="C87" s="46" t="s">
        <v>234</v>
      </c>
      <c r="D87" s="3" t="s">
        <v>386</v>
      </c>
      <c r="E87" s="9">
        <f>IF(Data!$E$4=1,F87,IF(Data!$E$4=2,0,0))</f>
        <v>0</v>
      </c>
      <c r="F87" s="9">
        <f>IF(Data!$E$5=0,M87,IF(Data!$E$5=1,N87,IF(Data!$E$5=2,O87,IF(Data!$E$5=3,P87,IF(Data!$E$5=4,Q87,IF(Data!$E$5=5,R87,IF(Data!$E$5=6,S87,IF(Data!$E$5=7,T87,U87))))))))</f>
        <v>660.96385514018709</v>
      </c>
      <c r="G87" s="9"/>
      <c r="H87" s="6">
        <f>G92*H86</f>
        <v>703.90186915887864</v>
      </c>
      <c r="I87" s="6">
        <f>G92*I86</f>
        <v>418.38785046728975</v>
      </c>
      <c r="J87" s="6">
        <f>H87*$C$4/$K$2</f>
        <v>211.17056074766359</v>
      </c>
      <c r="K87" s="6">
        <f>I87*$C$4/$M$2</f>
        <v>83.677570093457945</v>
      </c>
      <c r="L87" s="27" t="s">
        <v>241</v>
      </c>
      <c r="M87" s="6">
        <f>H87</f>
        <v>703.90186915887864</v>
      </c>
      <c r="N87" s="6">
        <f t="shared" ref="N87:U87" si="52">M87+M87*N85%</f>
        <v>660.96385514018709</v>
      </c>
      <c r="O87" s="33">
        <f t="shared" si="52"/>
        <v>418.3901203037384</v>
      </c>
      <c r="P87" s="6">
        <f t="shared" si="52"/>
        <v>297.05698541565425</v>
      </c>
      <c r="Q87" s="6">
        <f t="shared" si="52"/>
        <v>297.05698541565425</v>
      </c>
      <c r="R87" s="6">
        <f t="shared" si="52"/>
        <v>297.05698541565425</v>
      </c>
      <c r="S87" s="6">
        <f t="shared" si="52"/>
        <v>297.05698541565425</v>
      </c>
      <c r="T87" s="6">
        <f t="shared" si="52"/>
        <v>297.05698541565425</v>
      </c>
      <c r="U87" s="6">
        <f t="shared" si="52"/>
        <v>297.05698541565425</v>
      </c>
      <c r="V87" s="6">
        <f>K87</f>
        <v>83.677570093457945</v>
      </c>
      <c r="W87" s="144" t="s">
        <v>533</v>
      </c>
      <c r="X87" s="144">
        <f>100+(I87-H87)/2</f>
        <v>-42.757009345794444</v>
      </c>
      <c r="Y87" s="144">
        <f>I87-(H87+X87)</f>
        <v>-242.75700934579442</v>
      </c>
      <c r="Z87" s="6">
        <f>Y87*50%</f>
        <v>-121.37850467289721</v>
      </c>
      <c r="AA87" s="6">
        <f>Z87*0%</f>
        <v>0</v>
      </c>
      <c r="AB87" s="6">
        <f>AA87*90%</f>
        <v>0</v>
      </c>
      <c r="AC87" s="6">
        <f>AB87*90%</f>
        <v>0</v>
      </c>
      <c r="AD87" s="6">
        <f>AC87*90%</f>
        <v>0</v>
      </c>
      <c r="AE87" s="6">
        <f>AD87*90%</f>
        <v>0</v>
      </c>
      <c r="AF87" s="98">
        <f>ROUND(H90,0)</f>
        <v>2212</v>
      </c>
      <c r="AG87" s="157" t="s">
        <v>546</v>
      </c>
      <c r="AH87" s="146" t="s">
        <v>546</v>
      </c>
    </row>
    <row r="88" spans="1:34" x14ac:dyDescent="0.15">
      <c r="A88" s="3"/>
      <c r="B88" s="3"/>
      <c r="C88" s="46"/>
      <c r="D88" s="31"/>
      <c r="E88" s="31"/>
      <c r="F88" s="18"/>
      <c r="G88" s="18"/>
      <c r="H88" s="53" t="s">
        <v>339</v>
      </c>
      <c r="I88" s="53" t="s">
        <v>338</v>
      </c>
      <c r="J88" s="53" t="s">
        <v>339</v>
      </c>
      <c r="K88" s="53" t="s">
        <v>338</v>
      </c>
      <c r="L88" s="27" t="s">
        <v>240</v>
      </c>
      <c r="M88" s="23">
        <v>0</v>
      </c>
      <c r="N88" s="23">
        <f t="shared" ref="N88:U88" si="53">X88</f>
        <v>10.9</v>
      </c>
      <c r="O88" s="23">
        <f t="shared" si="53"/>
        <v>1.7</v>
      </c>
      <c r="P88" s="23">
        <f t="shared" si="53"/>
        <v>1.5</v>
      </c>
      <c r="Q88" s="23">
        <f t="shared" si="53"/>
        <v>1</v>
      </c>
      <c r="R88" s="23">
        <f t="shared" si="53"/>
        <v>0.9</v>
      </c>
      <c r="S88" s="23">
        <f t="shared" si="53"/>
        <v>0.8</v>
      </c>
      <c r="T88" s="23">
        <f t="shared" si="53"/>
        <v>0.7</v>
      </c>
      <c r="U88" s="23">
        <f t="shared" si="53"/>
        <v>0.7</v>
      </c>
      <c r="V88" s="23" t="str">
        <f>K88</f>
        <v>2 v med børn:</v>
      </c>
      <c r="W88" s="144" t="s">
        <v>240</v>
      </c>
      <c r="X88" s="23">
        <f t="shared" ref="X88:AE88" si="54">ROUND(X90*100/M90,1)</f>
        <v>10.9</v>
      </c>
      <c r="Y88" s="23">
        <f t="shared" si="54"/>
        <v>1.7</v>
      </c>
      <c r="Z88" s="23">
        <f t="shared" si="54"/>
        <v>1.5</v>
      </c>
      <c r="AA88" s="23">
        <f t="shared" si="54"/>
        <v>1</v>
      </c>
      <c r="AB88" s="23">
        <f t="shared" si="54"/>
        <v>0.9</v>
      </c>
      <c r="AC88" s="23">
        <f t="shared" si="54"/>
        <v>0.8</v>
      </c>
      <c r="AD88" s="23">
        <f t="shared" si="54"/>
        <v>0.7</v>
      </c>
      <c r="AE88" s="23">
        <f t="shared" si="54"/>
        <v>0.7</v>
      </c>
      <c r="AF88" s="97" t="str">
        <f>M88&amp;"; "&amp;N88&amp;"; "&amp;O88&amp;"; "&amp;P88&amp;"; "&amp;Q88&amp;"; "&amp;R88&amp;"; "&amp;S88&amp;"; "&amp;T88&amp;"; "&amp;U88</f>
        <v>0; 10,9; 1,7; 1,5; 1; 0,9; 0,8; 0,7; 0,7</v>
      </c>
      <c r="AG88" s="157" t="s">
        <v>546</v>
      </c>
      <c r="AH88" s="146" t="s">
        <v>546</v>
      </c>
    </row>
    <row r="89" spans="1:34" x14ac:dyDescent="0.15">
      <c r="A89" s="140" t="str">
        <f>$A$9</f>
        <v>Forbrugsenheder</v>
      </c>
      <c r="B89" s="3"/>
      <c r="C89" s="46"/>
      <c r="D89" s="31"/>
      <c r="E89" s="31"/>
      <c r="F89" s="18"/>
      <c r="G89" s="289" t="str">
        <f>A89</f>
        <v>Forbrugsenheder</v>
      </c>
      <c r="H89" s="286">
        <v>1.8103882099209201</v>
      </c>
      <c r="I89" s="286">
        <v>2.0418763479511144</v>
      </c>
      <c r="J89" s="53"/>
      <c r="K89" s="53"/>
      <c r="L89" s="27"/>
      <c r="M89" s="23"/>
      <c r="N89" s="23"/>
      <c r="O89" s="23"/>
      <c r="P89" s="23"/>
      <c r="Q89" s="23"/>
      <c r="R89" s="23"/>
      <c r="S89" s="23"/>
      <c r="T89" s="23"/>
      <c r="U89" s="23"/>
      <c r="V89" s="23"/>
      <c r="W89" s="144"/>
      <c r="X89" s="23"/>
      <c r="Y89" s="23"/>
      <c r="Z89" s="23"/>
      <c r="AA89" s="23"/>
      <c r="AB89" s="23"/>
      <c r="AC89" s="23"/>
      <c r="AD89" s="23"/>
      <c r="AE89" s="23"/>
      <c r="AF89" s="97"/>
      <c r="AG89" s="157"/>
      <c r="AH89" s="146"/>
    </row>
    <row r="90" spans="1:34" x14ac:dyDescent="0.15">
      <c r="A90" s="3" t="s">
        <v>388</v>
      </c>
      <c r="B90" s="9">
        <f>(H90/1.5)*0.5</f>
        <v>737.43146417445485</v>
      </c>
      <c r="C90" s="46" t="s">
        <v>235</v>
      </c>
      <c r="D90" s="3" t="s">
        <v>387</v>
      </c>
      <c r="E90" s="9">
        <f>IF(Data!$E$4=1,0,IF(Data!$E$4=2,F90,F90+B90*Data!G4))</f>
        <v>2453.4344813084113</v>
      </c>
      <c r="F90" s="9">
        <f>IF(Data!$E$5=0,M90,IF(Data!$E$5=1,N90,IF(Data!$E$5=2,O90,IF(Data!$E$5=3,P90,IF(Data!$E$5=4,Q90,IF(Data!$E$5=5,R90,IF(Data!$E$5=6,S90,IF(Data!$E$5=7,T90,U90))))))))</f>
        <v>2453.4344813084113</v>
      </c>
      <c r="G90" s="9"/>
      <c r="H90" s="6">
        <f>G92*H89</f>
        <v>2212.2943925233644</v>
      </c>
      <c r="I90" s="6">
        <f>G92*I89</f>
        <v>2495.1728971962616</v>
      </c>
      <c r="J90" s="6">
        <f>H90*$C$4/$K$3</f>
        <v>442.45887850467284</v>
      </c>
      <c r="K90" s="6">
        <f>I90*$C$4/$M$3</f>
        <v>356.45327102803736</v>
      </c>
      <c r="L90" s="27" t="s">
        <v>241</v>
      </c>
      <c r="M90" s="6">
        <f>H90</f>
        <v>2212.2943925233644</v>
      </c>
      <c r="N90" s="6">
        <f t="shared" ref="N90:U90" si="55">M90+M90*N88%</f>
        <v>2453.4344813084113</v>
      </c>
      <c r="O90" s="33">
        <f t="shared" si="55"/>
        <v>2495.1428674906542</v>
      </c>
      <c r="P90" s="6">
        <f t="shared" si="55"/>
        <v>2532.5700105030141</v>
      </c>
      <c r="Q90" s="6">
        <f t="shared" si="55"/>
        <v>2557.8957106080443</v>
      </c>
      <c r="R90" s="6">
        <f t="shared" si="55"/>
        <v>2580.9167720035166</v>
      </c>
      <c r="S90" s="6">
        <f t="shared" si="55"/>
        <v>2601.5641061795445</v>
      </c>
      <c r="T90" s="6">
        <f t="shared" si="55"/>
        <v>2619.7750549228012</v>
      </c>
      <c r="U90" s="6">
        <f t="shared" si="55"/>
        <v>2638.1134803072609</v>
      </c>
      <c r="V90" s="6">
        <f>K90</f>
        <v>356.45327102803736</v>
      </c>
      <c r="W90" s="144" t="s">
        <v>533</v>
      </c>
      <c r="X90" s="144">
        <f>100+(I90-H90)/2</f>
        <v>241.43925233644859</v>
      </c>
      <c r="Y90" s="144">
        <f>I90-(H90+X90)</f>
        <v>41.43925233644859</v>
      </c>
      <c r="Z90" s="6">
        <f>Y90*90%</f>
        <v>37.295327102803732</v>
      </c>
      <c r="AA90" s="6">
        <f>Z90*70%</f>
        <v>26.10672897196261</v>
      </c>
      <c r="AB90" s="6">
        <f>AA90*90%</f>
        <v>23.496056074766351</v>
      </c>
      <c r="AC90" s="6">
        <f>AB90*90%</f>
        <v>21.146450467289718</v>
      </c>
      <c r="AD90" s="6">
        <f>AC90*90%</f>
        <v>19.031805420560747</v>
      </c>
      <c r="AE90" s="6">
        <f>AD90*90%</f>
        <v>17.128624878504674</v>
      </c>
      <c r="AF90" s="97">
        <f>ROUND(B90,0)</f>
        <v>737</v>
      </c>
      <c r="AG90" s="157" t="s">
        <v>546</v>
      </c>
      <c r="AH90" s="146" t="s">
        <v>546</v>
      </c>
    </row>
    <row r="91" spans="1:34" ht="14" thickBot="1" x14ac:dyDescent="0.2">
      <c r="A91" s="3" t="s">
        <v>739</v>
      </c>
      <c r="B91" s="3"/>
      <c r="C91" s="46"/>
      <c r="D91" s="37" t="s">
        <v>225</v>
      </c>
      <c r="E91" s="28">
        <f>IF(Data!$E$4=0,0,IF(Data!$E$4=1,E87,IF(Data!$E$4=2,E90,E90)))</f>
        <v>2453.4344813084113</v>
      </c>
      <c r="F91" s="29"/>
      <c r="G91" s="291">
        <f>'DS-tal-valgte'!D64</f>
        <v>1833</v>
      </c>
      <c r="H91" s="284" t="str">
        <f>$H$14</f>
        <v>Forbrugsenheder aktuelt:</v>
      </c>
      <c r="I91" s="284" t="str">
        <f>$I$14</f>
        <v>I alt efter forbrugsenheder:</v>
      </c>
      <c r="J91" s="30"/>
      <c r="K91" s="30"/>
      <c r="L91" s="24"/>
      <c r="M91" s="6"/>
      <c r="N91" s="6"/>
      <c r="O91" s="6"/>
      <c r="P91" s="6"/>
      <c r="Q91" s="6"/>
      <c r="R91" s="6"/>
      <c r="S91" s="6"/>
      <c r="T91" s="6"/>
      <c r="U91" s="6"/>
      <c r="V91" s="6"/>
      <c r="W91" s="144"/>
      <c r="X91" s="6"/>
      <c r="Y91" s="3"/>
      <c r="Z91" s="3"/>
      <c r="AA91" s="3"/>
      <c r="AB91" s="3"/>
      <c r="AC91" s="3"/>
      <c r="AD91" s="3"/>
      <c r="AE91" s="3"/>
      <c r="AF91" s="97"/>
      <c r="AG91" s="157" t="s">
        <v>546</v>
      </c>
      <c r="AH91" s="146" t="s">
        <v>546</v>
      </c>
    </row>
    <row r="92" spans="1:34" x14ac:dyDescent="0.15">
      <c r="A92" s="3"/>
      <c r="B92" s="3"/>
      <c r="C92" s="149"/>
      <c r="D92" s="150" t="s">
        <v>560</v>
      </c>
      <c r="E92" s="151">
        <f>E91/$AJ$11</f>
        <v>1363.0191562824507</v>
      </c>
      <c r="F92" s="152"/>
      <c r="G92" s="292">
        <f>G91/$M$4</f>
        <v>1222</v>
      </c>
      <c r="H92" s="286">
        <f>$AJ$11</f>
        <v>1.8</v>
      </c>
      <c r="I92" s="284">
        <f>H92*G92</f>
        <v>2199.6</v>
      </c>
      <c r="J92" s="153"/>
      <c r="K92" s="153"/>
      <c r="L92" s="154"/>
      <c r="M92" s="153"/>
      <c r="N92" s="153"/>
      <c r="O92" s="153"/>
      <c r="P92" s="153"/>
      <c r="Q92" s="153"/>
      <c r="R92" s="153"/>
      <c r="S92" s="153"/>
      <c r="T92" s="153"/>
      <c r="U92" s="153"/>
      <c r="V92" s="153"/>
      <c r="W92" s="155"/>
      <c r="X92" s="153"/>
      <c r="Y92" s="156"/>
      <c r="Z92" s="156"/>
      <c r="AA92" s="156"/>
      <c r="AB92" s="156"/>
      <c r="AC92" s="156"/>
      <c r="AD92" s="156"/>
      <c r="AE92" s="156"/>
      <c r="AF92" s="160"/>
      <c r="AG92" s="157" t="s">
        <v>546</v>
      </c>
      <c r="AH92" s="146"/>
    </row>
    <row r="93" spans="1:34" ht="14" thickBot="1" x14ac:dyDescent="0.2">
      <c r="A93" s="250"/>
      <c r="B93" s="250"/>
      <c r="C93" s="250"/>
      <c r="D93" s="248" t="s">
        <v>737</v>
      </c>
      <c r="E93" s="249">
        <f>E91/12</f>
        <v>204.4528734423676</v>
      </c>
      <c r="F93" s="3"/>
      <c r="G93" s="3"/>
      <c r="H93" s="3"/>
      <c r="I93" s="3"/>
      <c r="J93" s="3"/>
      <c r="K93" s="3"/>
      <c r="L93" s="3"/>
      <c r="M93" s="3"/>
      <c r="N93" s="3"/>
      <c r="O93" s="3"/>
      <c r="P93" s="3"/>
      <c r="Q93" s="3"/>
      <c r="R93" s="3"/>
      <c r="S93" s="3"/>
      <c r="T93" s="3"/>
      <c r="U93" s="3"/>
      <c r="V93" s="3"/>
      <c r="W93" s="144"/>
      <c r="X93" s="3"/>
      <c r="Y93" s="3"/>
      <c r="Z93" s="3"/>
      <c r="AA93" s="3"/>
      <c r="AB93" s="3"/>
      <c r="AC93" s="3"/>
      <c r="AD93" s="3"/>
      <c r="AE93" s="3"/>
      <c r="AF93" s="97"/>
      <c r="AG93" s="157" t="s">
        <v>546</v>
      </c>
      <c r="AH93" s="146" t="s">
        <v>546</v>
      </c>
    </row>
    <row r="94" spans="1:34" x14ac:dyDescent="0.15">
      <c r="A94" s="3"/>
      <c r="B94" s="3"/>
      <c r="C94" s="3"/>
      <c r="D94" s="3"/>
      <c r="E94" s="3"/>
      <c r="F94" s="3"/>
      <c r="G94" s="3"/>
      <c r="H94" s="3"/>
      <c r="I94" s="3"/>
      <c r="J94" s="3"/>
      <c r="K94" s="3"/>
      <c r="L94" s="3"/>
      <c r="M94" s="3"/>
      <c r="N94" s="3"/>
      <c r="O94" s="3"/>
      <c r="P94" s="3"/>
      <c r="Q94" s="3"/>
      <c r="R94" s="3"/>
      <c r="S94" s="3"/>
      <c r="T94" s="3"/>
      <c r="U94" s="3"/>
      <c r="V94" s="3"/>
      <c r="W94" s="144"/>
      <c r="X94" s="3"/>
      <c r="Y94" s="3"/>
      <c r="Z94" s="3"/>
      <c r="AA94" s="3"/>
      <c r="AB94" s="3"/>
      <c r="AC94" s="3"/>
      <c r="AD94" s="3"/>
      <c r="AE94" s="3"/>
      <c r="AF94" s="97"/>
      <c r="AG94" s="157"/>
      <c r="AH94" s="146"/>
    </row>
    <row r="95" spans="1:34" ht="14" thickBot="1" x14ac:dyDescent="0.2">
      <c r="A95" s="3"/>
      <c r="B95" s="3"/>
      <c r="C95" s="3"/>
      <c r="D95" s="43"/>
      <c r="E95" s="32"/>
      <c r="F95" s="9"/>
      <c r="G95" s="32"/>
      <c r="H95" s="145" t="s">
        <v>396</v>
      </c>
      <c r="I95" s="145" t="s">
        <v>397</v>
      </c>
      <c r="J95" s="141" t="s">
        <v>543</v>
      </c>
      <c r="K95" s="68"/>
      <c r="L95" s="24" t="s">
        <v>239</v>
      </c>
      <c r="M95" s="25">
        <v>0</v>
      </c>
      <c r="N95" s="25">
        <f t="shared" ref="N95:U95" si="56">M95+1</f>
        <v>1</v>
      </c>
      <c r="O95" s="26">
        <f t="shared" si="56"/>
        <v>2</v>
      </c>
      <c r="P95" s="25">
        <f t="shared" si="56"/>
        <v>3</v>
      </c>
      <c r="Q95" s="25">
        <f t="shared" si="56"/>
        <v>4</v>
      </c>
      <c r="R95" s="25">
        <f t="shared" si="56"/>
        <v>5</v>
      </c>
      <c r="S95" s="25">
        <f t="shared" si="56"/>
        <v>6</v>
      </c>
      <c r="T95" s="25">
        <f t="shared" si="56"/>
        <v>7</v>
      </c>
      <c r="U95" s="25">
        <f t="shared" si="56"/>
        <v>8</v>
      </c>
      <c r="V95" s="141" t="s">
        <v>542</v>
      </c>
      <c r="W95" s="144" t="s">
        <v>545</v>
      </c>
      <c r="X95" s="96" t="s">
        <v>480</v>
      </c>
      <c r="Y95" s="96" t="s">
        <v>481</v>
      </c>
      <c r="Z95" s="96" t="s">
        <v>482</v>
      </c>
      <c r="AA95" s="96" t="s">
        <v>483</v>
      </c>
      <c r="AB95" s="96" t="s">
        <v>484</v>
      </c>
      <c r="AC95" s="96" t="s">
        <v>485</v>
      </c>
      <c r="AD95" s="96" t="s">
        <v>487</v>
      </c>
      <c r="AE95" s="96" t="s">
        <v>486</v>
      </c>
      <c r="AF95" s="97">
        <f>ROUND(H98,0)</f>
        <v>1084</v>
      </c>
      <c r="AG95" s="157" t="s">
        <v>546</v>
      </c>
      <c r="AH95" s="146" t="s">
        <v>546</v>
      </c>
    </row>
    <row r="96" spans="1:34" x14ac:dyDescent="0.15">
      <c r="A96" s="14" t="s">
        <v>24</v>
      </c>
      <c r="B96" s="3"/>
      <c r="C96" s="132" t="str">
        <f>$C$8</f>
        <v>2018 ok</v>
      </c>
      <c r="D96" s="3"/>
      <c r="E96" s="4"/>
      <c r="F96" s="9"/>
      <c r="G96" s="32" t="s">
        <v>243</v>
      </c>
      <c r="H96" s="53" t="s">
        <v>266</v>
      </c>
      <c r="I96" s="53" t="s">
        <v>267</v>
      </c>
      <c r="J96" s="53" t="s">
        <v>266</v>
      </c>
      <c r="K96" s="53" t="s">
        <v>267</v>
      </c>
      <c r="L96" s="27" t="s">
        <v>240</v>
      </c>
      <c r="M96" s="23">
        <v>0</v>
      </c>
      <c r="N96" s="23">
        <f t="shared" ref="N96:U96" si="57">X96</f>
        <v>1.1000000000000001</v>
      </c>
      <c r="O96" s="22">
        <f t="shared" si="57"/>
        <v>10.199999999999999</v>
      </c>
      <c r="P96" s="23">
        <f t="shared" si="57"/>
        <v>0.9</v>
      </c>
      <c r="Q96" s="23">
        <f t="shared" si="57"/>
        <v>0.8</v>
      </c>
      <c r="R96" s="23">
        <f t="shared" si="57"/>
        <v>0.7</v>
      </c>
      <c r="S96" s="23">
        <f t="shared" si="57"/>
        <v>0.7</v>
      </c>
      <c r="T96" s="23">
        <f t="shared" si="57"/>
        <v>0.6</v>
      </c>
      <c r="U96" s="23">
        <f t="shared" si="57"/>
        <v>0.5</v>
      </c>
      <c r="V96" s="23" t="str">
        <f>K96</f>
        <v>Enlig med børn:</v>
      </c>
      <c r="W96" s="144" t="s">
        <v>240</v>
      </c>
      <c r="X96" s="23">
        <f t="shared" ref="X96:AE96" si="58">ROUND(X98*100/M98,1)</f>
        <v>1.1000000000000001</v>
      </c>
      <c r="Y96" s="23">
        <f t="shared" si="58"/>
        <v>10.199999999999999</v>
      </c>
      <c r="Z96" s="23">
        <f t="shared" si="58"/>
        <v>0.9</v>
      </c>
      <c r="AA96" s="23">
        <f t="shared" si="58"/>
        <v>0.8</v>
      </c>
      <c r="AB96" s="23">
        <f t="shared" si="58"/>
        <v>0.7</v>
      </c>
      <c r="AC96" s="23">
        <f t="shared" si="58"/>
        <v>0.7</v>
      </c>
      <c r="AD96" s="23">
        <f t="shared" si="58"/>
        <v>0.6</v>
      </c>
      <c r="AE96" s="23">
        <f t="shared" si="58"/>
        <v>0.5</v>
      </c>
      <c r="AF96" s="97" t="str">
        <f>M96&amp;"; "&amp;N96&amp;"; "&amp;O96&amp;"; "&amp;P96&amp;"; "&amp;Q96&amp;"; "&amp;R96&amp;"; "&amp;S96&amp;"; "&amp;T96&amp;"; "&amp;U96</f>
        <v>0; 1,1; 10,2; 0,9; 0,8; 0,7; 0,7; 0,6; 0,5</v>
      </c>
      <c r="AG96" s="157" t="s">
        <v>546</v>
      </c>
      <c r="AH96" s="146" t="s">
        <v>546</v>
      </c>
    </row>
    <row r="97" spans="1:34" x14ac:dyDescent="0.15">
      <c r="A97" s="140" t="str">
        <f>$A$9</f>
        <v>Forbrugsenheder</v>
      </c>
      <c r="B97" s="3"/>
      <c r="C97" s="132"/>
      <c r="D97" s="3"/>
      <c r="E97" s="4"/>
      <c r="F97" s="9"/>
      <c r="G97" s="289" t="str">
        <f>A97</f>
        <v>Forbrugsenheder</v>
      </c>
      <c r="H97" s="286">
        <v>0.68505233447018699</v>
      </c>
      <c r="I97" s="286">
        <v>0.76355403975067615</v>
      </c>
      <c r="J97" s="53"/>
      <c r="K97" s="53"/>
      <c r="L97" s="27"/>
      <c r="M97" s="23"/>
      <c r="N97" s="23"/>
      <c r="O97" s="22"/>
      <c r="P97" s="23"/>
      <c r="Q97" s="23"/>
      <c r="R97" s="23"/>
      <c r="S97" s="23"/>
      <c r="T97" s="23"/>
      <c r="U97" s="23"/>
      <c r="V97" s="23"/>
      <c r="W97" s="144"/>
      <c r="X97" s="23"/>
      <c r="Y97" s="23"/>
      <c r="Z97" s="23"/>
      <c r="AA97" s="23"/>
      <c r="AB97" s="23"/>
      <c r="AC97" s="23"/>
      <c r="AD97" s="23"/>
      <c r="AE97" s="23"/>
      <c r="AF97" s="97"/>
      <c r="AG97" s="157"/>
      <c r="AH97" s="146"/>
    </row>
    <row r="98" spans="1:34" x14ac:dyDescent="0.15">
      <c r="A98" s="3"/>
      <c r="B98" s="3"/>
      <c r="C98" s="46" t="s">
        <v>234</v>
      </c>
      <c r="D98" s="14" t="s">
        <v>23</v>
      </c>
      <c r="E98" s="9">
        <f>IF(Data!$E$4=1,F98,IF(Data!$E$4=2,0,0))</f>
        <v>0</v>
      </c>
      <c r="F98" s="9">
        <f>IF(Data!$E$5=0,M98,IF(Data!$E$5=1,N98,IF(Data!$E$5=2,O98,IF(Data!$E$5=3,P98,IF(Data!$E$5=4,Q98,IF(Data!$E$5=5,R98,IF(Data!$E$5=6,S98,IF(Data!$E$5=7,T98,U98))))))))</f>
        <v>1095.6740738562862</v>
      </c>
      <c r="G98" s="9"/>
      <c r="H98" s="6">
        <f>G103*H97</f>
        <v>1083.7527931318359</v>
      </c>
      <c r="I98" s="6">
        <f>G103*I97</f>
        <v>1207.9424908855697</v>
      </c>
      <c r="J98" s="6">
        <f>H98*$C$4/$K$2</f>
        <v>325.12583793955076</v>
      </c>
      <c r="K98" s="6">
        <f>I98*$C$4/$M$2</f>
        <v>241.58849817711393</v>
      </c>
      <c r="L98" s="27" t="s">
        <v>241</v>
      </c>
      <c r="M98" s="6">
        <f>H98</f>
        <v>1083.7527931318359</v>
      </c>
      <c r="N98" s="6">
        <f t="shared" ref="N98:U98" si="59">M98+M98*N96%</f>
        <v>1095.6740738562862</v>
      </c>
      <c r="O98" s="33">
        <f t="shared" si="59"/>
        <v>1207.4328293896274</v>
      </c>
      <c r="P98" s="6">
        <f t="shared" si="59"/>
        <v>1218.299724854134</v>
      </c>
      <c r="Q98" s="6">
        <f t="shared" si="59"/>
        <v>1228.0461226529669</v>
      </c>
      <c r="R98" s="6">
        <f t="shared" si="59"/>
        <v>1236.6424455115377</v>
      </c>
      <c r="S98" s="6">
        <f t="shared" si="59"/>
        <v>1245.2989426301185</v>
      </c>
      <c r="T98" s="6">
        <f t="shared" si="59"/>
        <v>1252.7707362858991</v>
      </c>
      <c r="U98" s="6">
        <f t="shared" si="59"/>
        <v>1259.0345899673287</v>
      </c>
      <c r="V98" s="6">
        <f>K98</f>
        <v>241.58849817711393</v>
      </c>
      <c r="W98" s="144" t="s">
        <v>533</v>
      </c>
      <c r="X98" s="144">
        <f>-50+(I98-H98)/2</f>
        <v>12.094848876866877</v>
      </c>
      <c r="Y98" s="144">
        <f>I98-(H98+X98)</f>
        <v>112.09484887686699</v>
      </c>
      <c r="Z98" s="6">
        <f>Y98*10%</f>
        <v>11.209484887686699</v>
      </c>
      <c r="AA98" s="6">
        <f>Z98*90%</f>
        <v>10.088536398918029</v>
      </c>
      <c r="AB98" s="6">
        <f>AA98*90%</f>
        <v>9.0796827590262268</v>
      </c>
      <c r="AC98" s="6">
        <f>AB98*90%</f>
        <v>8.1717144831236048</v>
      </c>
      <c r="AD98" s="6">
        <f>AC98*90%</f>
        <v>7.3545430348112442</v>
      </c>
      <c r="AE98" s="6">
        <f>AD98*90%</f>
        <v>6.6190887313301197</v>
      </c>
      <c r="AF98" s="98">
        <f>ROUND(H101,0)</f>
        <v>2152</v>
      </c>
      <c r="AG98" s="157" t="s">
        <v>546</v>
      </c>
      <c r="AH98" s="146" t="s">
        <v>546</v>
      </c>
    </row>
    <row r="99" spans="1:34" x14ac:dyDescent="0.15">
      <c r="A99" s="3"/>
      <c r="B99" s="3"/>
      <c r="C99" s="46"/>
      <c r="D99" s="3"/>
      <c r="E99" s="3"/>
      <c r="F99" s="18"/>
      <c r="G99" s="18"/>
      <c r="H99" s="53" t="s">
        <v>339</v>
      </c>
      <c r="I99" s="53" t="s">
        <v>338</v>
      </c>
      <c r="J99" s="53" t="s">
        <v>339</v>
      </c>
      <c r="K99" s="53" t="s">
        <v>338</v>
      </c>
      <c r="L99" s="27" t="s">
        <v>240</v>
      </c>
      <c r="M99" s="23">
        <v>0</v>
      </c>
      <c r="N99" s="23">
        <f t="shared" ref="N99:U99" si="60">X99</f>
        <v>-3.8</v>
      </c>
      <c r="O99" s="23">
        <f t="shared" si="60"/>
        <v>0.9</v>
      </c>
      <c r="P99" s="23">
        <f t="shared" si="60"/>
        <v>0</v>
      </c>
      <c r="Q99" s="23">
        <f t="shared" si="60"/>
        <v>0</v>
      </c>
      <c r="R99" s="23">
        <f t="shared" si="60"/>
        <v>0</v>
      </c>
      <c r="S99" s="23">
        <f t="shared" si="60"/>
        <v>0</v>
      </c>
      <c r="T99" s="23">
        <f t="shared" si="60"/>
        <v>0</v>
      </c>
      <c r="U99" s="23">
        <f t="shared" si="60"/>
        <v>0</v>
      </c>
      <c r="V99" s="23" t="str">
        <f>K99</f>
        <v>2 v med børn:</v>
      </c>
      <c r="W99" s="144" t="s">
        <v>240</v>
      </c>
      <c r="X99" s="23">
        <f t="shared" ref="X99:AE99" si="61">ROUND(X101*100/M101,1)</f>
        <v>-3.8</v>
      </c>
      <c r="Y99" s="23">
        <f t="shared" si="61"/>
        <v>0.9</v>
      </c>
      <c r="Z99" s="23">
        <f t="shared" si="61"/>
        <v>0</v>
      </c>
      <c r="AA99" s="23">
        <f t="shared" si="61"/>
        <v>0</v>
      </c>
      <c r="AB99" s="23">
        <f t="shared" si="61"/>
        <v>0</v>
      </c>
      <c r="AC99" s="23">
        <f t="shared" si="61"/>
        <v>0</v>
      </c>
      <c r="AD99" s="23">
        <f t="shared" si="61"/>
        <v>0</v>
      </c>
      <c r="AE99" s="23">
        <f t="shared" si="61"/>
        <v>0</v>
      </c>
      <c r="AF99" s="97" t="str">
        <f>M99&amp;"; "&amp;N99&amp;"; "&amp;O99&amp;"; "&amp;P99&amp;"; "&amp;Q99&amp;"; "&amp;R99&amp;"; "&amp;S99&amp;"; "&amp;T99&amp;"; "&amp;U99</f>
        <v>0; -3,8; 0,9; 0; 0; 0; 0; 0; 0</v>
      </c>
      <c r="AG99" s="157" t="s">
        <v>546</v>
      </c>
      <c r="AH99" s="146" t="s">
        <v>546</v>
      </c>
    </row>
    <row r="100" spans="1:34" x14ac:dyDescent="0.15">
      <c r="A100" s="140" t="str">
        <f>$A$9</f>
        <v>Forbrugsenheder</v>
      </c>
      <c r="B100" s="3"/>
      <c r="C100" s="46"/>
      <c r="D100" s="3"/>
      <c r="E100" s="3"/>
      <c r="F100" s="18"/>
      <c r="G100" s="289" t="str">
        <f>A100</f>
        <v>Forbrugsenheder</v>
      </c>
      <c r="H100" s="286">
        <v>1.3603434082088675</v>
      </c>
      <c r="I100" s="286">
        <v>1.3207103375279314</v>
      </c>
      <c r="J100" s="53"/>
      <c r="K100" s="53"/>
      <c r="L100" s="27"/>
      <c r="M100" s="23"/>
      <c r="N100" s="23"/>
      <c r="O100" s="23"/>
      <c r="P100" s="23"/>
      <c r="Q100" s="23"/>
      <c r="R100" s="23"/>
      <c r="S100" s="23"/>
      <c r="T100" s="23"/>
      <c r="U100" s="23"/>
      <c r="V100" s="23"/>
      <c r="W100" s="144"/>
      <c r="X100" s="23"/>
      <c r="Y100" s="23"/>
      <c r="Z100" s="23"/>
      <c r="AA100" s="23"/>
      <c r="AB100" s="23"/>
      <c r="AC100" s="23"/>
      <c r="AD100" s="23"/>
      <c r="AE100" s="23"/>
      <c r="AF100" s="97"/>
      <c r="AG100" s="157"/>
      <c r="AH100" s="146"/>
    </row>
    <row r="101" spans="1:34" x14ac:dyDescent="0.15">
      <c r="A101" s="3" t="s">
        <v>388</v>
      </c>
      <c r="B101" s="9">
        <f>(H101/1.5)*0.5</f>
        <v>717.35442392880941</v>
      </c>
      <c r="C101" s="46" t="s">
        <v>235</v>
      </c>
      <c r="D101" s="3" t="s">
        <v>340</v>
      </c>
      <c r="E101" s="9">
        <f>IF(Data!$E$4=1,0,IF(Data!$E$4=2,F101,F101+B101*Data!G4))</f>
        <v>2070.2848674585439</v>
      </c>
      <c r="F101" s="9">
        <f>IF(Data!$E$5=0,M101,IF(Data!$E$5=1,N101,IF(Data!$E$5=2,O101,IF(Data!$E$5=3,P101,IF(Data!$E$5=4,Q101,IF(Data!$E$5=5,R101,IF(Data!$E$5=6,S101,IF(Data!$E$5=7,T101,U101))))))))</f>
        <v>2070.2848674585439</v>
      </c>
      <c r="G101" s="9"/>
      <c r="H101" s="6">
        <f>G103*H100</f>
        <v>2152.0632717864282</v>
      </c>
      <c r="I101" s="6">
        <f>G103*I100</f>
        <v>2089.3637539691877</v>
      </c>
      <c r="J101" s="6">
        <f>H101*$C$4/$K$3</f>
        <v>430.41265435728565</v>
      </c>
      <c r="K101" s="6">
        <f>I101*$C$4/$M$3</f>
        <v>298.48053628131248</v>
      </c>
      <c r="L101" s="27" t="s">
        <v>241</v>
      </c>
      <c r="M101" s="6">
        <f>H101</f>
        <v>2152.0632717864282</v>
      </c>
      <c r="N101" s="6">
        <f t="shared" ref="N101:U101" si="62">M101+M101*N99%</f>
        <v>2070.2848674585439</v>
      </c>
      <c r="O101" s="33">
        <f t="shared" si="62"/>
        <v>2088.917431265671</v>
      </c>
      <c r="P101" s="6">
        <f t="shared" si="62"/>
        <v>2088.917431265671</v>
      </c>
      <c r="Q101" s="6">
        <f t="shared" si="62"/>
        <v>2088.917431265671</v>
      </c>
      <c r="R101" s="6">
        <f t="shared" si="62"/>
        <v>2088.917431265671</v>
      </c>
      <c r="S101" s="6">
        <f t="shared" si="62"/>
        <v>2088.917431265671</v>
      </c>
      <c r="T101" s="6">
        <f t="shared" si="62"/>
        <v>2088.917431265671</v>
      </c>
      <c r="U101" s="6">
        <f t="shared" si="62"/>
        <v>2088.917431265671</v>
      </c>
      <c r="V101" s="6">
        <f>K101</f>
        <v>298.48053628131248</v>
      </c>
      <c r="W101" s="144" t="s">
        <v>533</v>
      </c>
      <c r="X101" s="144">
        <f>-50+(I101-H101)/2</f>
        <v>-81.349758908620288</v>
      </c>
      <c r="Y101" s="144">
        <f>I101-(H101+X101)</f>
        <v>18.650241091379485</v>
      </c>
      <c r="Z101" s="6">
        <f>Y101*-5%</f>
        <v>-0.93251205456897424</v>
      </c>
      <c r="AA101" s="6">
        <f>Z101*90%</f>
        <v>-0.83926084911207688</v>
      </c>
      <c r="AB101" s="6">
        <f>AA101*90%</f>
        <v>-0.7553347642008692</v>
      </c>
      <c r="AC101" s="6">
        <f>AB101*90%</f>
        <v>-0.6798012877807823</v>
      </c>
      <c r="AD101" s="6">
        <f>AC101*90%</f>
        <v>-0.61182115900270406</v>
      </c>
      <c r="AE101" s="6">
        <f>AD101*90%</f>
        <v>-0.55063904310243372</v>
      </c>
      <c r="AF101" s="97">
        <f>ROUND(B101,0)</f>
        <v>717</v>
      </c>
      <c r="AG101" s="157" t="s">
        <v>546</v>
      </c>
      <c r="AH101" s="146" t="s">
        <v>546</v>
      </c>
    </row>
    <row r="102" spans="1:34" ht="14" thickBot="1" x14ac:dyDescent="0.2">
      <c r="A102" s="3"/>
      <c r="B102" s="3"/>
      <c r="C102" s="3"/>
      <c r="D102" s="37" t="s">
        <v>225</v>
      </c>
      <c r="E102" s="28">
        <f>IF(Data!$E$4=0,0,IF(Data!$E$4=1,E98,IF(Data!$E$4=2,E101,E101)))</f>
        <v>2070.2848674585439</v>
      </c>
      <c r="F102" s="29"/>
      <c r="G102" s="291">
        <f>'DS-tal-valgte'!D75</f>
        <v>2373</v>
      </c>
      <c r="H102" s="284" t="str">
        <f>$H$14</f>
        <v>Forbrugsenheder aktuelt:</v>
      </c>
      <c r="I102" s="284" t="str">
        <f>$I$14</f>
        <v>I alt efter forbrugsenheder:</v>
      </c>
      <c r="J102" s="30"/>
      <c r="K102" s="30"/>
      <c r="L102" s="24"/>
      <c r="M102" s="6"/>
      <c r="N102" s="6"/>
      <c r="O102" s="6"/>
      <c r="P102" s="6"/>
      <c r="Q102" s="6"/>
      <c r="R102" s="6"/>
      <c r="S102" s="6"/>
      <c r="T102" s="6"/>
      <c r="U102" s="6"/>
      <c r="V102" s="6"/>
      <c r="W102" s="144"/>
      <c r="X102" s="6"/>
      <c r="Y102" s="3"/>
      <c r="Z102" s="3"/>
      <c r="AA102" s="3"/>
      <c r="AB102" s="3"/>
      <c r="AC102" s="3"/>
      <c r="AD102" s="3"/>
      <c r="AE102" s="3"/>
      <c r="AF102" s="97"/>
      <c r="AG102" s="157" t="s">
        <v>546</v>
      </c>
      <c r="AH102" s="146" t="s">
        <v>546</v>
      </c>
    </row>
    <row r="103" spans="1:34" x14ac:dyDescent="0.15">
      <c r="A103" s="3"/>
      <c r="B103" s="3"/>
      <c r="C103" s="149"/>
      <c r="D103" s="150" t="s">
        <v>560</v>
      </c>
      <c r="E103" s="151">
        <f>E102/$AJ$11</f>
        <v>1150.1582596991909</v>
      </c>
      <c r="F103" s="152"/>
      <c r="G103" s="292">
        <f>G102/$M$4</f>
        <v>1582</v>
      </c>
      <c r="H103" s="286">
        <f>$AJ$11</f>
        <v>1.8</v>
      </c>
      <c r="I103" s="284">
        <f>H103*G103</f>
        <v>2847.6</v>
      </c>
      <c r="J103" s="153"/>
      <c r="K103" s="153"/>
      <c r="L103" s="154"/>
      <c r="M103" s="153"/>
      <c r="N103" s="153"/>
      <c r="O103" s="153"/>
      <c r="P103" s="153"/>
      <c r="Q103" s="153"/>
      <c r="R103" s="153"/>
      <c r="S103" s="153"/>
      <c r="T103" s="153"/>
      <c r="U103" s="153"/>
      <c r="V103" s="153"/>
      <c r="W103" s="155"/>
      <c r="X103" s="153"/>
      <c r="Y103" s="156"/>
      <c r="Z103" s="156"/>
      <c r="AA103" s="156"/>
      <c r="AB103" s="156"/>
      <c r="AC103" s="156"/>
      <c r="AD103" s="156"/>
      <c r="AE103" s="156"/>
      <c r="AF103" s="160"/>
      <c r="AG103" s="157" t="s">
        <v>546</v>
      </c>
      <c r="AH103" s="146"/>
    </row>
    <row r="104" spans="1:34" ht="14" thickBot="1" x14ac:dyDescent="0.2">
      <c r="A104" s="250"/>
      <c r="B104" s="250"/>
      <c r="C104" s="250"/>
      <c r="D104" s="248" t="s">
        <v>737</v>
      </c>
      <c r="E104" s="249">
        <f>E102/12</f>
        <v>172.52373895487867</v>
      </c>
      <c r="F104" s="9"/>
      <c r="G104" s="32"/>
      <c r="H104" s="6"/>
      <c r="I104" s="6"/>
      <c r="J104" s="6"/>
      <c r="K104" s="6"/>
      <c r="L104" s="27"/>
      <c r="M104" s="6"/>
      <c r="N104" s="6"/>
      <c r="O104" s="6"/>
      <c r="P104" s="6"/>
      <c r="Q104" s="6"/>
      <c r="R104" s="6"/>
      <c r="S104" s="6"/>
      <c r="T104" s="6"/>
      <c r="U104" s="6"/>
      <c r="V104" s="6"/>
      <c r="W104" s="144"/>
      <c r="X104" s="6"/>
      <c r="Y104" s="3"/>
      <c r="Z104" s="3"/>
      <c r="AA104" s="3"/>
      <c r="AB104" s="3"/>
      <c r="AC104" s="3"/>
      <c r="AD104" s="3"/>
      <c r="AE104" s="3"/>
      <c r="AF104" s="97"/>
      <c r="AG104" s="157" t="s">
        <v>546</v>
      </c>
      <c r="AH104" s="146" t="s">
        <v>546</v>
      </c>
    </row>
    <row r="105" spans="1:34" x14ac:dyDescent="0.15">
      <c r="A105" s="3"/>
      <c r="B105" s="3"/>
      <c r="C105" s="3"/>
      <c r="D105" s="43"/>
      <c r="E105" s="32"/>
      <c r="F105" s="9"/>
      <c r="G105" s="32"/>
      <c r="H105" s="6"/>
      <c r="I105" s="6"/>
      <c r="J105" s="6"/>
      <c r="K105" s="6"/>
      <c r="L105" s="27"/>
      <c r="M105" s="6"/>
      <c r="N105" s="6"/>
      <c r="O105" s="6"/>
      <c r="P105" s="6"/>
      <c r="Q105" s="6"/>
      <c r="R105" s="6"/>
      <c r="S105" s="6"/>
      <c r="T105" s="6"/>
      <c r="U105" s="6"/>
      <c r="V105" s="6"/>
      <c r="W105" s="144"/>
      <c r="X105" s="6"/>
      <c r="Y105" s="3"/>
      <c r="Z105" s="3"/>
      <c r="AA105" s="3"/>
      <c r="AB105" s="3"/>
      <c r="AC105" s="3"/>
      <c r="AD105" s="3"/>
      <c r="AE105" s="3"/>
      <c r="AF105" s="97"/>
      <c r="AG105" s="157"/>
      <c r="AH105" s="146"/>
    </row>
    <row r="106" spans="1:34" ht="14" thickBot="1" x14ac:dyDescent="0.2">
      <c r="A106" s="3"/>
      <c r="B106" s="3"/>
      <c r="C106" s="3"/>
      <c r="D106" s="43"/>
      <c r="E106" s="32"/>
      <c r="F106" s="9"/>
      <c r="G106" s="32"/>
      <c r="H106" s="145" t="s">
        <v>396</v>
      </c>
      <c r="I106" s="145" t="s">
        <v>397</v>
      </c>
      <c r="J106" s="141" t="s">
        <v>543</v>
      </c>
      <c r="K106" s="68"/>
      <c r="L106" s="24" t="s">
        <v>239</v>
      </c>
      <c r="M106" s="25">
        <v>0</v>
      </c>
      <c r="N106" s="25">
        <f t="shared" ref="N106:U106" si="63">M106+1</f>
        <v>1</v>
      </c>
      <c r="O106" s="26">
        <f t="shared" si="63"/>
        <v>2</v>
      </c>
      <c r="P106" s="25">
        <f t="shared" si="63"/>
        <v>3</v>
      </c>
      <c r="Q106" s="25">
        <f t="shared" si="63"/>
        <v>4</v>
      </c>
      <c r="R106" s="25">
        <f t="shared" si="63"/>
        <v>5</v>
      </c>
      <c r="S106" s="25">
        <f t="shared" si="63"/>
        <v>6</v>
      </c>
      <c r="T106" s="25">
        <f t="shared" si="63"/>
        <v>7</v>
      </c>
      <c r="U106" s="25">
        <f t="shared" si="63"/>
        <v>8</v>
      </c>
      <c r="V106" s="141" t="s">
        <v>542</v>
      </c>
      <c r="W106" s="144" t="s">
        <v>545</v>
      </c>
      <c r="X106" s="96" t="s">
        <v>480</v>
      </c>
      <c r="Y106" s="96" t="s">
        <v>481</v>
      </c>
      <c r="Z106" s="96" t="s">
        <v>482</v>
      </c>
      <c r="AA106" s="96" t="s">
        <v>483</v>
      </c>
      <c r="AB106" s="96" t="s">
        <v>484</v>
      </c>
      <c r="AC106" s="96" t="s">
        <v>485</v>
      </c>
      <c r="AD106" s="96" t="s">
        <v>487</v>
      </c>
      <c r="AE106" s="96" t="s">
        <v>486</v>
      </c>
      <c r="AF106" s="97">
        <f>ROUND(H109,0)</f>
        <v>2600</v>
      </c>
      <c r="AG106" s="157" t="s">
        <v>546</v>
      </c>
      <c r="AH106" s="146" t="s">
        <v>546</v>
      </c>
    </row>
    <row r="107" spans="1:34" x14ac:dyDescent="0.15">
      <c r="A107" s="14" t="s">
        <v>1076</v>
      </c>
      <c r="B107" s="3"/>
      <c r="C107" s="132" t="str">
        <f>$C$8</f>
        <v>2018 ok</v>
      </c>
      <c r="D107" s="43"/>
      <c r="E107" s="4"/>
      <c r="F107" s="9"/>
      <c r="G107" s="32" t="s">
        <v>243</v>
      </c>
      <c r="H107" s="53" t="s">
        <v>266</v>
      </c>
      <c r="I107" s="53" t="s">
        <v>267</v>
      </c>
      <c r="J107" s="53" t="s">
        <v>266</v>
      </c>
      <c r="K107" s="53" t="s">
        <v>267</v>
      </c>
      <c r="L107" s="27" t="s">
        <v>240</v>
      </c>
      <c r="M107" s="23">
        <v>0</v>
      </c>
      <c r="N107" s="23">
        <f t="shared" ref="N107:U107" si="64">X107</f>
        <v>42.1</v>
      </c>
      <c r="O107" s="22">
        <f t="shared" si="64"/>
        <v>29.6</v>
      </c>
      <c r="P107" s="23">
        <f t="shared" si="64"/>
        <v>20.6</v>
      </c>
      <c r="Q107" s="23">
        <f t="shared" si="64"/>
        <v>11.9</v>
      </c>
      <c r="R107" s="23">
        <f t="shared" si="64"/>
        <v>9.6</v>
      </c>
      <c r="S107" s="23">
        <f t="shared" si="64"/>
        <v>7.9</v>
      </c>
      <c r="T107" s="23">
        <f t="shared" si="64"/>
        <v>6.6</v>
      </c>
      <c r="U107" s="23">
        <f t="shared" si="64"/>
        <v>5.6</v>
      </c>
      <c r="V107" s="23" t="str">
        <f>K107</f>
        <v>Enlig med børn:</v>
      </c>
      <c r="W107" s="144" t="s">
        <v>240</v>
      </c>
      <c r="X107" s="23">
        <f t="shared" ref="X107:AE107" si="65">ROUND(X109*100/M109,1)</f>
        <v>42.1</v>
      </c>
      <c r="Y107" s="23">
        <f t="shared" si="65"/>
        <v>29.6</v>
      </c>
      <c r="Z107" s="23">
        <f t="shared" si="65"/>
        <v>20.6</v>
      </c>
      <c r="AA107" s="23">
        <f t="shared" si="65"/>
        <v>11.9</v>
      </c>
      <c r="AB107" s="23">
        <f t="shared" si="65"/>
        <v>9.6</v>
      </c>
      <c r="AC107" s="23">
        <f t="shared" si="65"/>
        <v>7.9</v>
      </c>
      <c r="AD107" s="23">
        <f t="shared" si="65"/>
        <v>6.6</v>
      </c>
      <c r="AE107" s="23">
        <f t="shared" si="65"/>
        <v>5.6</v>
      </c>
      <c r="AF107" s="97" t="str">
        <f>M107&amp;"; "&amp;N107&amp;"; "&amp;O107&amp;"; "&amp;P107&amp;"; "&amp;Q107&amp;"; "&amp;R107&amp;"; "&amp;S107&amp;"; "&amp;T107&amp;"; "&amp;U107</f>
        <v>0; 42,1; 29,6; 20,6; 11,9; 9,6; 7,9; 6,6; 5,6</v>
      </c>
      <c r="AG107" s="157" t="s">
        <v>546</v>
      </c>
      <c r="AH107" s="146" t="s">
        <v>546</v>
      </c>
    </row>
    <row r="108" spans="1:34" x14ac:dyDescent="0.15">
      <c r="A108" s="140" t="str">
        <f>$A$9</f>
        <v>Forbrugsenheder</v>
      </c>
      <c r="B108" s="3"/>
      <c r="C108" s="132"/>
      <c r="D108" s="43"/>
      <c r="E108" s="4"/>
      <c r="F108" s="9"/>
      <c r="G108" s="289" t="str">
        <f>A108</f>
        <v>Forbrugsenheder</v>
      </c>
      <c r="H108" s="286">
        <v>0.9644399348734044</v>
      </c>
      <c r="I108" s="286">
        <v>1.7764340829184266</v>
      </c>
      <c r="J108" s="53"/>
      <c r="K108" s="53"/>
      <c r="L108" s="27"/>
      <c r="M108" s="23"/>
      <c r="N108" s="23"/>
      <c r="O108" s="22"/>
      <c r="P108" s="23"/>
      <c r="Q108" s="23"/>
      <c r="R108" s="23"/>
      <c r="S108" s="23"/>
      <c r="T108" s="23"/>
      <c r="U108" s="23"/>
      <c r="V108" s="23"/>
      <c r="W108" s="144"/>
      <c r="X108" s="23"/>
      <c r="Y108" s="23"/>
      <c r="Z108" s="23"/>
      <c r="AA108" s="23"/>
      <c r="AB108" s="23"/>
      <c r="AC108" s="23"/>
      <c r="AD108" s="23"/>
      <c r="AE108" s="23"/>
      <c r="AF108" s="97"/>
      <c r="AG108" s="157"/>
      <c r="AH108" s="146"/>
    </row>
    <row r="109" spans="1:34" x14ac:dyDescent="0.15">
      <c r="A109" s="3"/>
      <c r="B109" s="3"/>
      <c r="C109" s="46" t="s">
        <v>234</v>
      </c>
      <c r="D109" s="3" t="s">
        <v>384</v>
      </c>
      <c r="E109" s="9">
        <f>IF(Data!$E$4=1,F109,IF(Data!$E$4=2,0,0))</f>
        <v>0</v>
      </c>
      <c r="F109" s="9">
        <f>IF(Data!$E$5=0,M109,IF(Data!$E$5=1,N109,IF(Data!$E$5=2,O109,IF(Data!$E$5=3,P109,IF(Data!$E$5=4,Q109,IF(Data!$E$5=5,R109,IF(Data!$E$5=6,S109,IF(Data!$E$5=7,T109,U109))))))))</f>
        <v>3694.7848215389704</v>
      </c>
      <c r="G109" s="9"/>
      <c r="H109" s="6">
        <f>G114*H108</f>
        <v>2600.1300644186981</v>
      </c>
      <c r="I109" s="6">
        <f>G114*I108</f>
        <v>4789.2662875480783</v>
      </c>
      <c r="J109" s="6">
        <f>H109*$C$4/$K$2</f>
        <v>780.03901932560939</v>
      </c>
      <c r="K109" s="6">
        <f>I109*$C$4/$M$2</f>
        <v>957.85325750961556</v>
      </c>
      <c r="L109" s="27" t="s">
        <v>241</v>
      </c>
      <c r="M109" s="6">
        <f>H109</f>
        <v>2600.1300644186981</v>
      </c>
      <c r="N109" s="6">
        <f t="shared" ref="N109:U109" si="66">M109+M109*N107%</f>
        <v>3694.7848215389704</v>
      </c>
      <c r="O109" s="33">
        <f t="shared" si="66"/>
        <v>4788.4411287145058</v>
      </c>
      <c r="P109" s="6">
        <f t="shared" si="66"/>
        <v>5774.8600012296938</v>
      </c>
      <c r="Q109" s="6">
        <f t="shared" si="66"/>
        <v>6462.0683413760271</v>
      </c>
      <c r="R109" s="6">
        <f t="shared" si="66"/>
        <v>7082.4269021481259</v>
      </c>
      <c r="S109" s="6">
        <f t="shared" si="66"/>
        <v>7641.9386274178278</v>
      </c>
      <c r="T109" s="6">
        <f t="shared" si="66"/>
        <v>8146.3065768274046</v>
      </c>
      <c r="U109" s="6">
        <f t="shared" si="66"/>
        <v>8602.4997451297386</v>
      </c>
      <c r="V109" s="6">
        <f>K109</f>
        <v>957.85325750961556</v>
      </c>
      <c r="W109" s="144" t="s">
        <v>533</v>
      </c>
      <c r="X109" s="144">
        <f>(I109-H109)/2</f>
        <v>1094.5681115646901</v>
      </c>
      <c r="Y109" s="144">
        <f>I109-(H109+X109)</f>
        <v>1094.5681115646903</v>
      </c>
      <c r="Z109" s="6">
        <f>Y109*90%</f>
        <v>985.11130040822127</v>
      </c>
      <c r="AA109" s="6">
        <f>Z109*70%</f>
        <v>689.5779102857548</v>
      </c>
      <c r="AB109" s="6">
        <f>AA109*90%</f>
        <v>620.62011925717934</v>
      </c>
      <c r="AC109" s="6">
        <f>AB109*90%</f>
        <v>558.55810733146143</v>
      </c>
      <c r="AD109" s="6">
        <f>AC109*90%</f>
        <v>502.70229659831529</v>
      </c>
      <c r="AE109" s="6">
        <f>AD109*90%</f>
        <v>452.43206693848379</v>
      </c>
      <c r="AF109" s="98">
        <f>ROUND(H112,0)</f>
        <v>4592</v>
      </c>
      <c r="AG109" s="157" t="s">
        <v>546</v>
      </c>
      <c r="AH109" s="146" t="s">
        <v>546</v>
      </c>
    </row>
    <row r="110" spans="1:34" x14ac:dyDescent="0.15">
      <c r="A110" s="3"/>
      <c r="B110" s="3"/>
      <c r="C110" s="46"/>
      <c r="D110" s="3"/>
      <c r="E110" s="3"/>
      <c r="F110" s="18"/>
      <c r="G110" s="18"/>
      <c r="H110" s="53" t="s">
        <v>339</v>
      </c>
      <c r="I110" s="53" t="s">
        <v>338</v>
      </c>
      <c r="J110" s="53" t="s">
        <v>339</v>
      </c>
      <c r="K110" s="53" t="s">
        <v>338</v>
      </c>
      <c r="L110" s="27" t="s">
        <v>240</v>
      </c>
      <c r="M110" s="23">
        <v>0</v>
      </c>
      <c r="N110" s="23">
        <f t="shared" ref="N110:U110" si="67">X110</f>
        <v>19.7</v>
      </c>
      <c r="O110" s="23">
        <f t="shared" si="67"/>
        <v>16.399999999999999</v>
      </c>
      <c r="P110" s="23">
        <f t="shared" si="67"/>
        <v>12.7</v>
      </c>
      <c r="Q110" s="23">
        <f t="shared" si="67"/>
        <v>7.9</v>
      </c>
      <c r="R110" s="23">
        <f t="shared" si="67"/>
        <v>6.6</v>
      </c>
      <c r="S110" s="23">
        <f t="shared" si="67"/>
        <v>5.6</v>
      </c>
      <c r="T110" s="23">
        <f t="shared" si="67"/>
        <v>4.7</v>
      </c>
      <c r="U110" s="23">
        <f t="shared" si="67"/>
        <v>4.0999999999999996</v>
      </c>
      <c r="V110" s="23" t="str">
        <f>K110</f>
        <v>2 v med børn:</v>
      </c>
      <c r="W110" s="144" t="s">
        <v>240</v>
      </c>
      <c r="X110" s="23">
        <f t="shared" ref="X110:AE110" si="68">ROUND(X112*100/M112,1)</f>
        <v>19.7</v>
      </c>
      <c r="Y110" s="23">
        <f t="shared" si="68"/>
        <v>16.399999999999999</v>
      </c>
      <c r="Z110" s="23">
        <f t="shared" si="68"/>
        <v>12.7</v>
      </c>
      <c r="AA110" s="23">
        <f t="shared" si="68"/>
        <v>7.9</v>
      </c>
      <c r="AB110" s="23">
        <f t="shared" si="68"/>
        <v>6.6</v>
      </c>
      <c r="AC110" s="23">
        <f t="shared" si="68"/>
        <v>5.6</v>
      </c>
      <c r="AD110" s="23">
        <f t="shared" si="68"/>
        <v>4.7</v>
      </c>
      <c r="AE110" s="23">
        <f t="shared" si="68"/>
        <v>4.0999999999999996</v>
      </c>
      <c r="AF110" s="97" t="str">
        <f>M110&amp;"; "&amp;N110&amp;"; "&amp;O110&amp;"; "&amp;P110&amp;"; "&amp;Q110&amp;"; "&amp;R110&amp;"; "&amp;S110&amp;"; "&amp;T110&amp;"; "&amp;U110</f>
        <v>0; 19,7; 16,4; 12,7; 7,9; 6,6; 5,6; 4,7; 4,1</v>
      </c>
      <c r="AG110" s="157" t="s">
        <v>546</v>
      </c>
      <c r="AH110" s="146" t="s">
        <v>546</v>
      </c>
    </row>
    <row r="111" spans="1:34" x14ac:dyDescent="0.15">
      <c r="A111" s="140" t="str">
        <f>$A$9</f>
        <v>Forbrugsenheder</v>
      </c>
      <c r="B111" s="3"/>
      <c r="C111" s="46"/>
      <c r="D111" s="3"/>
      <c r="E111" s="3"/>
      <c r="F111" s="18"/>
      <c r="G111" s="289" t="str">
        <f>A111</f>
        <v>Forbrugsenheder</v>
      </c>
      <c r="H111" s="286">
        <v>1.7032374525118572</v>
      </c>
      <c r="I111" s="286">
        <v>2.3736520446447535</v>
      </c>
      <c r="J111" s="53"/>
      <c r="K111" s="53"/>
      <c r="L111" s="27"/>
      <c r="M111" s="23"/>
      <c r="N111" s="23"/>
      <c r="O111" s="23"/>
      <c r="P111" s="23"/>
      <c r="Q111" s="23"/>
      <c r="R111" s="23"/>
      <c r="S111" s="23"/>
      <c r="T111" s="23"/>
      <c r="U111" s="23"/>
      <c r="V111" s="23"/>
      <c r="W111" s="144"/>
      <c r="X111" s="23"/>
      <c r="Y111" s="23"/>
      <c r="Z111" s="23"/>
      <c r="AA111" s="23"/>
      <c r="AB111" s="23"/>
      <c r="AC111" s="23"/>
      <c r="AD111" s="23"/>
      <c r="AE111" s="23"/>
      <c r="AF111" s="97"/>
      <c r="AG111" s="157"/>
      <c r="AH111" s="146"/>
    </row>
    <row r="112" spans="1:34" x14ac:dyDescent="0.15">
      <c r="A112" s="3" t="s">
        <v>388</v>
      </c>
      <c r="B112" s="9">
        <f>H112/2</f>
        <v>2295.9640859859837</v>
      </c>
      <c r="C112" s="46" t="s">
        <v>235</v>
      </c>
      <c r="D112" s="3" t="s">
        <v>385</v>
      </c>
      <c r="E112" s="9">
        <f>IF(Data!$E$4=1,0,IF(Data!$E$4=2,F112,F112+B112*Data!G4))</f>
        <v>5496.5380218504451</v>
      </c>
      <c r="F112" s="9">
        <f>IF(Data!$E$5=0,M112,IF(Data!$E$5=1,N112,IF(Data!$E$5=2,O112,IF(Data!$E$5=3,P112,IF(Data!$E$5=4,Q112,IF(Data!$E$5=5,R112,IF(Data!$E$5=6,S112,IF(Data!$E$5=7,T112,U112))))))))</f>
        <v>5496.5380218504451</v>
      </c>
      <c r="G112" s="9"/>
      <c r="H112" s="6">
        <f>G114*H111</f>
        <v>4591.9281719719675</v>
      </c>
      <c r="I112" s="6">
        <f>G114*I111</f>
        <v>6399.3659123622556</v>
      </c>
      <c r="J112" s="6">
        <f>H112*$C$4/$K$3</f>
        <v>918.38563439439349</v>
      </c>
      <c r="K112" s="6">
        <f>I112*$C$4/$M$3</f>
        <v>914.195130337465</v>
      </c>
      <c r="L112" s="27" t="s">
        <v>241</v>
      </c>
      <c r="M112" s="6">
        <f>H112</f>
        <v>4591.9281719719675</v>
      </c>
      <c r="N112" s="6">
        <f t="shared" ref="N112:U112" si="69">M112+M112*N110%</f>
        <v>5496.5380218504451</v>
      </c>
      <c r="O112" s="33">
        <f t="shared" si="69"/>
        <v>6397.9702574339181</v>
      </c>
      <c r="P112" s="6">
        <f t="shared" si="69"/>
        <v>7210.5124801280253</v>
      </c>
      <c r="Q112" s="6">
        <f t="shared" si="69"/>
        <v>7780.1429660581398</v>
      </c>
      <c r="R112" s="6">
        <f t="shared" si="69"/>
        <v>8293.6324018179766</v>
      </c>
      <c r="S112" s="6">
        <f t="shared" si="69"/>
        <v>8758.0758163197825</v>
      </c>
      <c r="T112" s="6">
        <f t="shared" si="69"/>
        <v>9169.7053796868131</v>
      </c>
      <c r="U112" s="6">
        <f t="shared" si="69"/>
        <v>9545.6633002539729</v>
      </c>
      <c r="V112" s="6">
        <f>K112</f>
        <v>914.195130337465</v>
      </c>
      <c r="W112" s="144" t="s">
        <v>533</v>
      </c>
      <c r="X112" s="144">
        <f>(I112-H112)/2</f>
        <v>903.71887019514406</v>
      </c>
      <c r="Y112" s="144">
        <f>I112-(H112+X112)</f>
        <v>903.71887019514452</v>
      </c>
      <c r="Z112" s="6">
        <f>Y112*90%</f>
        <v>813.34698317563004</v>
      </c>
      <c r="AA112" s="6">
        <f>Z112*70%</f>
        <v>569.34288822294104</v>
      </c>
      <c r="AB112" s="6">
        <f>AA112*90%</f>
        <v>512.40859940064695</v>
      </c>
      <c r="AC112" s="6">
        <f>AB112*90%</f>
        <v>461.16773946058225</v>
      </c>
      <c r="AD112" s="6">
        <f>AC112*90%</f>
        <v>415.05096551452402</v>
      </c>
      <c r="AE112" s="6">
        <f>AD112*90%</f>
        <v>373.54586896307165</v>
      </c>
      <c r="AF112" s="97">
        <f>ROUND(B112,0)</f>
        <v>2296</v>
      </c>
      <c r="AG112" s="157" t="s">
        <v>546</v>
      </c>
      <c r="AH112" s="146" t="s">
        <v>546</v>
      </c>
    </row>
    <row r="113" spans="1:34" ht="14" thickBot="1" x14ac:dyDescent="0.2">
      <c r="A113" s="3"/>
      <c r="B113" s="3"/>
      <c r="C113" s="3"/>
      <c r="D113" s="37" t="s">
        <v>225</v>
      </c>
      <c r="E113" s="28">
        <f>IF(Data!$E$4=0,0,IF(Data!$E$4=1,E109,IF(Data!$E$4=2,E112,E112)))</f>
        <v>5496.5380218504451</v>
      </c>
      <c r="F113" s="29"/>
      <c r="G113" s="291">
        <f>'DS-tal-valgte'!D83</f>
        <v>4044</v>
      </c>
      <c r="H113" s="284" t="str">
        <f>$H$14</f>
        <v>Forbrugsenheder aktuelt:</v>
      </c>
      <c r="I113" s="284" t="str">
        <f>$I$14</f>
        <v>I alt efter forbrugsenheder:</v>
      </c>
      <c r="J113" s="30"/>
      <c r="K113" s="30"/>
      <c r="L113" s="24"/>
      <c r="M113" s="6"/>
      <c r="N113" s="6"/>
      <c r="O113" s="6"/>
      <c r="P113" s="6"/>
      <c r="Q113" s="6"/>
      <c r="R113" s="6"/>
      <c r="S113" s="6"/>
      <c r="T113" s="6"/>
      <c r="U113" s="6"/>
      <c r="V113" s="6"/>
      <c r="W113" s="144"/>
      <c r="X113" s="6"/>
      <c r="Y113" s="3"/>
      <c r="Z113" s="3"/>
      <c r="AA113" s="3"/>
      <c r="AB113" s="3"/>
      <c r="AC113" s="3"/>
      <c r="AD113" s="3"/>
      <c r="AE113" s="3"/>
      <c r="AF113" s="97"/>
      <c r="AG113" s="157" t="s">
        <v>546</v>
      </c>
      <c r="AH113" s="146" t="s">
        <v>546</v>
      </c>
    </row>
    <row r="114" spans="1:34" x14ac:dyDescent="0.15">
      <c r="A114" s="3"/>
      <c r="B114" s="3"/>
      <c r="C114" s="149"/>
      <c r="D114" s="150" t="s">
        <v>560</v>
      </c>
      <c r="E114" s="151">
        <f>E113/$AJ$11</f>
        <v>3053.6322343613583</v>
      </c>
      <c r="F114" s="152"/>
      <c r="G114" s="292">
        <f>G113/$M$4</f>
        <v>2696</v>
      </c>
      <c r="H114" s="286">
        <f>$AJ$11</f>
        <v>1.8</v>
      </c>
      <c r="I114" s="284">
        <f>H114*G114</f>
        <v>4852.8</v>
      </c>
      <c r="J114" s="153"/>
      <c r="K114" s="153"/>
      <c r="L114" s="154"/>
      <c r="M114" s="153"/>
      <c r="N114" s="153"/>
      <c r="O114" s="153"/>
      <c r="P114" s="153"/>
      <c r="Q114" s="153"/>
      <c r="R114" s="153"/>
      <c r="S114" s="153"/>
      <c r="T114" s="153"/>
      <c r="U114" s="153"/>
      <c r="V114" s="153"/>
      <c r="W114" s="155"/>
      <c r="X114" s="153"/>
      <c r="Y114" s="156"/>
      <c r="Z114" s="156"/>
      <c r="AA114" s="156"/>
      <c r="AB114" s="156"/>
      <c r="AC114" s="156"/>
      <c r="AD114" s="156"/>
      <c r="AE114" s="156"/>
      <c r="AF114" s="160"/>
      <c r="AG114" s="157" t="s">
        <v>546</v>
      </c>
      <c r="AH114" s="146"/>
    </row>
    <row r="115" spans="1:34" ht="14" thickBot="1" x14ac:dyDescent="0.2">
      <c r="A115" s="250"/>
      <c r="B115" s="250"/>
      <c r="C115" s="250"/>
      <c r="D115" s="248" t="s">
        <v>737</v>
      </c>
      <c r="E115" s="249">
        <f>E113/12</f>
        <v>458.04483515420378</v>
      </c>
      <c r="F115" s="9"/>
      <c r="G115" s="32"/>
      <c r="H115" s="6"/>
      <c r="I115" s="6"/>
      <c r="J115" s="6"/>
      <c r="K115" s="6"/>
      <c r="L115" s="27"/>
      <c r="M115" s="6"/>
      <c r="N115" s="6"/>
      <c r="O115" s="6"/>
      <c r="P115" s="6"/>
      <c r="Q115" s="6"/>
      <c r="R115" s="6"/>
      <c r="S115" s="6"/>
      <c r="T115" s="6"/>
      <c r="U115" s="6"/>
      <c r="V115" s="6"/>
      <c r="W115" s="144"/>
      <c r="X115" s="6"/>
      <c r="Y115" s="3"/>
      <c r="Z115" s="3"/>
      <c r="AA115" s="3"/>
      <c r="AB115" s="3"/>
      <c r="AC115" s="3"/>
      <c r="AD115" s="3"/>
      <c r="AE115" s="3"/>
      <c r="AF115" s="97"/>
      <c r="AG115" s="157" t="s">
        <v>546</v>
      </c>
      <c r="AH115" s="146" t="s">
        <v>546</v>
      </c>
    </row>
    <row r="116" spans="1:34" x14ac:dyDescent="0.15">
      <c r="A116" s="3"/>
      <c r="B116" s="3"/>
      <c r="C116" s="3"/>
      <c r="D116" s="43"/>
      <c r="E116" s="32"/>
      <c r="F116" s="9"/>
      <c r="G116" s="32"/>
      <c r="H116" s="6"/>
      <c r="I116" s="6"/>
      <c r="J116" s="6"/>
      <c r="K116" s="6"/>
      <c r="L116" s="27"/>
      <c r="M116" s="6"/>
      <c r="N116" s="6"/>
      <c r="O116" s="6"/>
      <c r="P116" s="6"/>
      <c r="Q116" s="6"/>
      <c r="R116" s="6"/>
      <c r="S116" s="6"/>
      <c r="T116" s="6"/>
      <c r="U116" s="6"/>
      <c r="V116" s="6"/>
      <c r="W116" s="144"/>
      <c r="X116" s="6"/>
      <c r="Y116" s="3"/>
      <c r="Z116" s="3"/>
      <c r="AA116" s="3"/>
      <c r="AB116" s="3"/>
      <c r="AC116" s="3"/>
      <c r="AD116" s="3"/>
      <c r="AE116" s="3"/>
      <c r="AF116" s="97"/>
      <c r="AG116" s="157"/>
      <c r="AH116" s="146"/>
    </row>
    <row r="117" spans="1:34" ht="14" thickBot="1" x14ac:dyDescent="0.2">
      <c r="A117" s="3"/>
      <c r="B117" s="3"/>
      <c r="C117" s="3"/>
      <c r="D117" s="43"/>
      <c r="E117" s="32"/>
      <c r="F117" s="9"/>
      <c r="G117" s="32"/>
      <c r="H117" s="145" t="s">
        <v>396</v>
      </c>
      <c r="I117" s="145" t="s">
        <v>397</v>
      </c>
      <c r="J117" s="141" t="s">
        <v>543</v>
      </c>
      <c r="K117" s="68"/>
      <c r="L117" s="24" t="s">
        <v>239</v>
      </c>
      <c r="M117" s="25">
        <v>0</v>
      </c>
      <c r="N117" s="25">
        <f t="shared" ref="N117" si="70">M117+1</f>
        <v>1</v>
      </c>
      <c r="O117" s="26">
        <f t="shared" ref="O117" si="71">N117+1</f>
        <v>2</v>
      </c>
      <c r="P117" s="25">
        <f t="shared" ref="P117" si="72">O117+1</f>
        <v>3</v>
      </c>
      <c r="Q117" s="25">
        <f t="shared" ref="Q117" si="73">P117+1</f>
        <v>4</v>
      </c>
      <c r="R117" s="25">
        <f t="shared" ref="R117" si="74">Q117+1</f>
        <v>5</v>
      </c>
      <c r="S117" s="25">
        <f t="shared" ref="S117" si="75">R117+1</f>
        <v>6</v>
      </c>
      <c r="T117" s="25">
        <f t="shared" ref="T117" si="76">S117+1</f>
        <v>7</v>
      </c>
      <c r="U117" s="25">
        <f t="shared" ref="U117" si="77">T117+1</f>
        <v>8</v>
      </c>
      <c r="V117" s="141" t="s">
        <v>542</v>
      </c>
      <c r="W117" s="144" t="s">
        <v>545</v>
      </c>
      <c r="X117" s="96" t="s">
        <v>480</v>
      </c>
      <c r="Y117" s="96" t="s">
        <v>481</v>
      </c>
      <c r="Z117" s="96" t="s">
        <v>482</v>
      </c>
      <c r="AA117" s="96" t="s">
        <v>483</v>
      </c>
      <c r="AB117" s="96" t="s">
        <v>484</v>
      </c>
      <c r="AC117" s="96" t="s">
        <v>485</v>
      </c>
      <c r="AD117" s="96" t="s">
        <v>487</v>
      </c>
      <c r="AE117" s="96" t="s">
        <v>486</v>
      </c>
      <c r="AF117" s="97">
        <f>ROUND(H120,0)</f>
        <v>3103</v>
      </c>
      <c r="AG117" s="157" t="s">
        <v>546</v>
      </c>
      <c r="AH117" s="146" t="s">
        <v>546</v>
      </c>
    </row>
    <row r="118" spans="1:34" x14ac:dyDescent="0.15">
      <c r="A118" s="14" t="s">
        <v>259</v>
      </c>
      <c r="B118" s="3"/>
      <c r="C118" s="132"/>
      <c r="D118" s="43"/>
      <c r="E118" s="4"/>
      <c r="F118" s="9"/>
      <c r="G118" s="32" t="s">
        <v>243</v>
      </c>
      <c r="H118" s="53" t="s">
        <v>266</v>
      </c>
      <c r="I118" s="53" t="s">
        <v>267</v>
      </c>
      <c r="J118" s="53" t="s">
        <v>266</v>
      </c>
      <c r="K118" s="53" t="s">
        <v>267</v>
      </c>
      <c r="L118" s="27" t="s">
        <v>240</v>
      </c>
      <c r="M118" s="23">
        <v>0</v>
      </c>
      <c r="N118" s="23">
        <f t="shared" ref="N118" si="78">X118</f>
        <v>6.4</v>
      </c>
      <c r="O118" s="22">
        <f t="shared" ref="O118" si="79">Y118</f>
        <v>6</v>
      </c>
      <c r="P118" s="23">
        <f t="shared" ref="P118" si="80">Z118</f>
        <v>0</v>
      </c>
      <c r="Q118" s="23">
        <f t="shared" ref="Q118" si="81">AA118</f>
        <v>0</v>
      </c>
      <c r="R118" s="23">
        <f t="shared" ref="R118" si="82">AB118</f>
        <v>0</v>
      </c>
      <c r="S118" s="23">
        <f t="shared" ref="S118" si="83">AC118</f>
        <v>0</v>
      </c>
      <c r="T118" s="23">
        <f t="shared" ref="T118" si="84">AD118</f>
        <v>0</v>
      </c>
      <c r="U118" s="23">
        <f t="shared" ref="U118" si="85">AE118</f>
        <v>0</v>
      </c>
      <c r="V118" s="23" t="str">
        <f>K118</f>
        <v>Enlig med børn:</v>
      </c>
      <c r="W118" s="144" t="s">
        <v>240</v>
      </c>
      <c r="X118" s="23">
        <f t="shared" ref="X118" si="86">ROUND(X120*100/M120,1)</f>
        <v>6.4</v>
      </c>
      <c r="Y118" s="23">
        <f t="shared" ref="Y118" si="87">ROUND(Y120*100/N120,1)</f>
        <v>6</v>
      </c>
      <c r="Z118" s="23">
        <f t="shared" ref="Z118" si="88">ROUND(Z120*100/O120,1)</f>
        <v>0</v>
      </c>
      <c r="AA118" s="23">
        <f t="shared" ref="AA118" si="89">ROUND(AA120*100/P120,1)</f>
        <v>0</v>
      </c>
      <c r="AB118" s="23">
        <f t="shared" ref="AB118" si="90">ROUND(AB120*100/Q120,1)</f>
        <v>0</v>
      </c>
      <c r="AC118" s="23">
        <f t="shared" ref="AC118" si="91">ROUND(AC120*100/R120,1)</f>
        <v>0</v>
      </c>
      <c r="AD118" s="23">
        <f t="shared" ref="AD118" si="92">ROUND(AD120*100/S120,1)</f>
        <v>0</v>
      </c>
      <c r="AE118" s="23">
        <f t="shared" ref="AE118" si="93">ROUND(AE120*100/T120,1)</f>
        <v>0</v>
      </c>
      <c r="AF118" s="97" t="str">
        <f>M118&amp;"; "&amp;N118&amp;"; "&amp;O118&amp;"; "&amp;P118&amp;"; "&amp;Q118&amp;"; "&amp;R118&amp;"; "&amp;S118&amp;"; "&amp;T118&amp;"; "&amp;U118</f>
        <v>0; 6,4; 6; 0; 0; 0; 0; 0; 0</v>
      </c>
      <c r="AG118" s="157" t="s">
        <v>546</v>
      </c>
      <c r="AH118" s="146" t="s">
        <v>546</v>
      </c>
    </row>
    <row r="119" spans="1:34" x14ac:dyDescent="0.15">
      <c r="A119" s="140" t="str">
        <f>$A$9</f>
        <v>Forbrugsenheder</v>
      </c>
      <c r="B119" s="3"/>
      <c r="C119" s="132"/>
      <c r="D119" s="43"/>
      <c r="E119" s="4"/>
      <c r="F119" s="9"/>
      <c r="G119" s="289" t="str">
        <f>A119</f>
        <v>Forbrugsenheder</v>
      </c>
      <c r="H119" s="286">
        <v>1.3298571428571428</v>
      </c>
      <c r="I119" s="286">
        <v>1.5</v>
      </c>
      <c r="J119" s="53"/>
      <c r="K119" s="53"/>
      <c r="L119" s="27"/>
      <c r="M119" s="23"/>
      <c r="N119" s="23"/>
      <c r="O119" s="22"/>
      <c r="P119" s="23"/>
      <c r="Q119" s="23"/>
      <c r="R119" s="23"/>
      <c r="S119" s="23"/>
      <c r="T119" s="23"/>
      <c r="U119" s="23"/>
      <c r="V119" s="23"/>
      <c r="W119" s="144"/>
      <c r="X119" s="23"/>
      <c r="Y119" s="23"/>
      <c r="Z119" s="23"/>
      <c r="AA119" s="23"/>
      <c r="AB119" s="23"/>
      <c r="AC119" s="23"/>
      <c r="AD119" s="23"/>
      <c r="AE119" s="23"/>
      <c r="AF119" s="97"/>
      <c r="AG119" s="157"/>
      <c r="AH119" s="146"/>
    </row>
    <row r="120" spans="1:34" x14ac:dyDescent="0.15">
      <c r="A120" s="3"/>
      <c r="B120" s="3"/>
      <c r="C120" s="46" t="s">
        <v>234</v>
      </c>
      <c r="D120" s="3" t="s">
        <v>1078</v>
      </c>
      <c r="E120" s="9">
        <f>IF(Data!$E$4=1,F120,IF(Data!$E$4=2,0,0))</f>
        <v>0</v>
      </c>
      <c r="F120" s="9">
        <f>IF(Data!$E$5=0,M120,IF(Data!$E$5=1,N120,IF(Data!$E$5=2,O120,IF(Data!$E$5=3,P120,IF(Data!$E$5=4,Q120,IF(Data!$E$5=5,R120,IF(Data!$E$5=6,S120,IF(Data!$E$5=7,T120,U120))))))))</f>
        <v>3301.5920000000001</v>
      </c>
      <c r="G120" s="9"/>
      <c r="H120" s="6">
        <f>G125*H119</f>
        <v>3103</v>
      </c>
      <c r="I120" s="6">
        <f>G125*I119</f>
        <v>3500</v>
      </c>
      <c r="J120" s="6">
        <f>H120*$C$4/$K$2</f>
        <v>930.9</v>
      </c>
      <c r="K120" s="6">
        <f>I120*$C$4/$M$2</f>
        <v>700</v>
      </c>
      <c r="L120" s="27" t="s">
        <v>241</v>
      </c>
      <c r="M120" s="6">
        <f>H120</f>
        <v>3103</v>
      </c>
      <c r="N120" s="6">
        <f t="shared" ref="N120" si="94">M120+M120*N118%</f>
        <v>3301.5920000000001</v>
      </c>
      <c r="O120" s="33">
        <f t="shared" ref="O120" si="95">N120+N120*O118%</f>
        <v>3499.6875199999999</v>
      </c>
      <c r="P120" s="6">
        <f t="shared" ref="P120" si="96">O120+O120*P118%</f>
        <v>3499.6875199999999</v>
      </c>
      <c r="Q120" s="6">
        <f t="shared" ref="Q120" si="97">P120+P120*Q118%</f>
        <v>3499.6875199999999</v>
      </c>
      <c r="R120" s="6">
        <f t="shared" ref="R120" si="98">Q120+Q120*R118%</f>
        <v>3499.6875199999999</v>
      </c>
      <c r="S120" s="6">
        <f t="shared" ref="S120" si="99">R120+R120*S118%</f>
        <v>3499.6875199999999</v>
      </c>
      <c r="T120" s="6">
        <f t="shared" ref="T120" si="100">S120+S120*T118%</f>
        <v>3499.6875199999999</v>
      </c>
      <c r="U120" s="6">
        <f t="shared" ref="U120" si="101">T120+T120*U118%</f>
        <v>3499.6875199999999</v>
      </c>
      <c r="V120" s="6">
        <f>K120</f>
        <v>700</v>
      </c>
      <c r="W120" s="144" t="s">
        <v>533</v>
      </c>
      <c r="X120" s="144">
        <f>(I120-H120)/2</f>
        <v>198.5</v>
      </c>
      <c r="Y120" s="144">
        <f>I120-(H120+X120)</f>
        <v>198.5</v>
      </c>
      <c r="Z120" s="6">
        <v>0</v>
      </c>
      <c r="AA120" s="6">
        <f>Z120*70%</f>
        <v>0</v>
      </c>
      <c r="AB120" s="6">
        <f>AA120*90%</f>
        <v>0</v>
      </c>
      <c r="AC120" s="6">
        <f>AB120*90%</f>
        <v>0</v>
      </c>
      <c r="AD120" s="6">
        <f>AC120*90%</f>
        <v>0</v>
      </c>
      <c r="AE120" s="6">
        <f>AD120*90%</f>
        <v>0</v>
      </c>
      <c r="AF120" s="98">
        <f>ROUND(H123,0)</f>
        <v>4083</v>
      </c>
      <c r="AG120" s="157" t="s">
        <v>546</v>
      </c>
      <c r="AH120" s="146" t="s">
        <v>546</v>
      </c>
    </row>
    <row r="121" spans="1:34" x14ac:dyDescent="0.15">
      <c r="A121" s="3"/>
      <c r="B121" s="3"/>
      <c r="C121" s="46"/>
      <c r="D121" s="3"/>
      <c r="E121" s="3"/>
      <c r="F121" s="18"/>
      <c r="G121" s="18"/>
      <c r="H121" s="53" t="s">
        <v>339</v>
      </c>
      <c r="I121" s="53" t="s">
        <v>338</v>
      </c>
      <c r="J121" s="53" t="s">
        <v>339</v>
      </c>
      <c r="K121" s="53" t="s">
        <v>338</v>
      </c>
      <c r="L121" s="27" t="s">
        <v>240</v>
      </c>
      <c r="M121" s="23">
        <v>0</v>
      </c>
      <c r="N121" s="23">
        <f t="shared" ref="N121" si="102">X121</f>
        <v>0</v>
      </c>
      <c r="O121" s="23">
        <f t="shared" ref="O121" si="103">Y121</f>
        <v>0</v>
      </c>
      <c r="P121" s="23">
        <f t="shared" ref="P121" si="104">Z121</f>
        <v>0</v>
      </c>
      <c r="Q121" s="23">
        <f t="shared" ref="Q121" si="105">AA121</f>
        <v>0</v>
      </c>
      <c r="R121" s="23">
        <f t="shared" ref="R121" si="106">AB121</f>
        <v>0</v>
      </c>
      <c r="S121" s="23">
        <f t="shared" ref="S121" si="107">AC121</f>
        <v>0</v>
      </c>
      <c r="T121" s="23">
        <f t="shared" ref="T121" si="108">AD121</f>
        <v>0</v>
      </c>
      <c r="U121" s="23">
        <f t="shared" ref="U121" si="109">AE121</f>
        <v>0</v>
      </c>
      <c r="V121" s="23" t="str">
        <f>K121</f>
        <v>2 v med børn:</v>
      </c>
      <c r="W121" s="144" t="s">
        <v>240</v>
      </c>
      <c r="X121" s="23">
        <v>0</v>
      </c>
      <c r="Y121" s="23">
        <v>0</v>
      </c>
      <c r="Z121" s="23">
        <f t="shared" ref="Z121" si="110">ROUND(Z123*100/O123,1)</f>
        <v>0</v>
      </c>
      <c r="AA121" s="23">
        <f t="shared" ref="AA121" si="111">ROUND(AA123*100/P123,1)</f>
        <v>0</v>
      </c>
      <c r="AB121" s="23">
        <f t="shared" ref="AB121" si="112">ROUND(AB123*100/Q123,1)</f>
        <v>0</v>
      </c>
      <c r="AC121" s="23">
        <f t="shared" ref="AC121" si="113">ROUND(AC123*100/R123,1)</f>
        <v>0</v>
      </c>
      <c r="AD121" s="23">
        <f t="shared" ref="AD121" si="114">ROUND(AD123*100/S123,1)</f>
        <v>0</v>
      </c>
      <c r="AE121" s="23">
        <f t="shared" ref="AE121" si="115">ROUND(AE123*100/T123,1)</f>
        <v>0</v>
      </c>
      <c r="AF121" s="97" t="str">
        <f>M121&amp;"; "&amp;N121&amp;"; "&amp;O121&amp;"; "&amp;P121&amp;"; "&amp;Q121&amp;"; "&amp;R121&amp;"; "&amp;S121&amp;"; "&amp;T121&amp;"; "&amp;U121</f>
        <v>0; 0; 0; 0; 0; 0; 0; 0; 0</v>
      </c>
      <c r="AG121" s="157" t="s">
        <v>546</v>
      </c>
      <c r="AH121" s="146" t="s">
        <v>546</v>
      </c>
    </row>
    <row r="122" spans="1:34" x14ac:dyDescent="0.15">
      <c r="A122" s="140" t="str">
        <f>$A$9</f>
        <v>Forbrugsenheder</v>
      </c>
      <c r="B122" s="3"/>
      <c r="C122" s="46"/>
      <c r="D122" s="3"/>
      <c r="E122" s="3"/>
      <c r="F122" s="18"/>
      <c r="G122" s="289" t="str">
        <f>A122</f>
        <v>Forbrugsenheder</v>
      </c>
      <c r="H122" s="286">
        <v>1.75</v>
      </c>
      <c r="I122" s="286">
        <v>1.75</v>
      </c>
      <c r="J122" s="53"/>
      <c r="K122" s="53"/>
      <c r="L122" s="27"/>
      <c r="M122" s="23"/>
      <c r="N122" s="23"/>
      <c r="O122" s="23"/>
      <c r="P122" s="23"/>
      <c r="Q122" s="23"/>
      <c r="R122" s="23"/>
      <c r="S122" s="23"/>
      <c r="T122" s="23"/>
      <c r="U122" s="23"/>
      <c r="V122" s="23"/>
      <c r="W122" s="144"/>
      <c r="X122" s="23"/>
      <c r="Y122" s="23"/>
      <c r="Z122" s="23"/>
      <c r="AA122" s="23"/>
      <c r="AB122" s="23"/>
      <c r="AC122" s="23"/>
      <c r="AD122" s="23"/>
      <c r="AE122" s="23"/>
      <c r="AF122" s="97"/>
      <c r="AG122" s="157"/>
      <c r="AH122" s="146"/>
    </row>
    <row r="123" spans="1:34" x14ac:dyDescent="0.15">
      <c r="A123" s="3" t="s">
        <v>388</v>
      </c>
      <c r="B123" s="9">
        <f>(H123/2)</f>
        <v>2041.6666666666667</v>
      </c>
      <c r="C123" s="46" t="s">
        <v>235</v>
      </c>
      <c r="D123" s="3" t="s">
        <v>1079</v>
      </c>
      <c r="E123" s="9">
        <f>IF(Data!$E$4=1,0,IF(Data!$E$4=2,F123,F123+B123*Data!G4))</f>
        <v>4083.3333333333335</v>
      </c>
      <c r="F123" s="9">
        <f>IF(Data!$E$5=0,M123,IF(Data!$E$5=1,N123,IF(Data!$E$5=2,O123,IF(Data!$E$5=3,P123,IF(Data!$E$5=4,Q123,IF(Data!$E$5=5,R123,IF(Data!$E$5=6,S123,IF(Data!$E$5=7,T123,U123))))))))</f>
        <v>4083.3333333333335</v>
      </c>
      <c r="G123" s="9"/>
      <c r="H123" s="6">
        <f>G125*H122</f>
        <v>4083.3333333333335</v>
      </c>
      <c r="I123" s="6">
        <f>G125*I122</f>
        <v>4083.3333333333335</v>
      </c>
      <c r="J123" s="6">
        <f>H123*$C$4/$K$3</f>
        <v>816.66666666666663</v>
      </c>
      <c r="K123" s="6">
        <f>I123*$C$4/$M$3</f>
        <v>583.33333333333326</v>
      </c>
      <c r="L123" s="27" t="s">
        <v>241</v>
      </c>
      <c r="M123" s="6">
        <f>H123</f>
        <v>4083.3333333333335</v>
      </c>
      <c r="N123" s="6">
        <f t="shared" ref="N123" si="116">M123+M123*N121%</f>
        <v>4083.3333333333335</v>
      </c>
      <c r="O123" s="33">
        <f t="shared" ref="O123" si="117">N123+N123*O121%</f>
        <v>4083.3333333333335</v>
      </c>
      <c r="P123" s="6">
        <f t="shared" ref="P123" si="118">O123+O123*P121%</f>
        <v>4083.3333333333335</v>
      </c>
      <c r="Q123" s="6">
        <f t="shared" ref="Q123" si="119">P123+P123*Q121%</f>
        <v>4083.3333333333335</v>
      </c>
      <c r="R123" s="6">
        <f t="shared" ref="R123" si="120">Q123+Q123*R121%</f>
        <v>4083.3333333333335</v>
      </c>
      <c r="S123" s="6">
        <f t="shared" ref="S123" si="121">R123+R123*S121%</f>
        <v>4083.3333333333335</v>
      </c>
      <c r="T123" s="6">
        <f t="shared" ref="T123" si="122">S123+S123*T121%</f>
        <v>4083.3333333333335</v>
      </c>
      <c r="U123" s="6">
        <f t="shared" ref="U123" si="123">T123+T123*U121%</f>
        <v>4083.3333333333335</v>
      </c>
      <c r="V123" s="6">
        <f>K123</f>
        <v>583.33333333333326</v>
      </c>
      <c r="W123" s="144" t="s">
        <v>533</v>
      </c>
      <c r="X123" s="144">
        <f>(I123-H123)/2</f>
        <v>0</v>
      </c>
      <c r="Y123" s="144">
        <f>I123-(H123+X123)</f>
        <v>0</v>
      </c>
      <c r="Z123" s="6">
        <v>0</v>
      </c>
      <c r="AA123" s="6">
        <f>Z123*70%</f>
        <v>0</v>
      </c>
      <c r="AB123" s="6">
        <f>AA123*90%</f>
        <v>0</v>
      </c>
      <c r="AC123" s="6">
        <f>AB123*90%</f>
        <v>0</v>
      </c>
      <c r="AD123" s="6">
        <f>AC123*90%</f>
        <v>0</v>
      </c>
      <c r="AE123" s="6">
        <f>AD123*90%</f>
        <v>0</v>
      </c>
      <c r="AF123" s="97">
        <f>ROUND(B123,0)</f>
        <v>2042</v>
      </c>
      <c r="AG123" s="157" t="s">
        <v>546</v>
      </c>
      <c r="AH123" s="146" t="s">
        <v>546</v>
      </c>
    </row>
    <row r="124" spans="1:34" ht="14" thickBot="1" x14ac:dyDescent="0.2">
      <c r="A124" s="3"/>
      <c r="B124" s="3"/>
      <c r="C124" s="3"/>
      <c r="D124" s="37" t="s">
        <v>225</v>
      </c>
      <c r="E124" s="28">
        <f>IF(Data!$E$4=0,0,IF(Data!$E$4=1,E120,IF(Data!$E$4=2,E123,E123)))</f>
        <v>4083.3333333333335</v>
      </c>
      <c r="F124" s="29"/>
      <c r="G124" s="291">
        <v>3500</v>
      </c>
      <c r="H124" s="284" t="str">
        <f>$H$14</f>
        <v>Forbrugsenheder aktuelt:</v>
      </c>
      <c r="I124" s="284" t="str">
        <f>$I$14</f>
        <v>I alt efter forbrugsenheder:</v>
      </c>
      <c r="J124" s="30"/>
      <c r="K124" s="30"/>
      <c r="L124" s="24"/>
      <c r="M124" s="6"/>
      <c r="N124" s="6"/>
      <c r="O124" s="6"/>
      <c r="P124" s="6"/>
      <c r="Q124" s="6"/>
      <c r="R124" s="6"/>
      <c r="S124" s="6"/>
      <c r="T124" s="6"/>
      <c r="U124" s="6"/>
      <c r="V124" s="6"/>
      <c r="W124" s="144"/>
      <c r="X124" s="6"/>
      <c r="Y124" s="3"/>
      <c r="Z124" s="3"/>
      <c r="AA124" s="3"/>
      <c r="AB124" s="3"/>
      <c r="AC124" s="3"/>
      <c r="AD124" s="3"/>
      <c r="AE124" s="3"/>
      <c r="AF124" s="97"/>
      <c r="AG124" s="157" t="s">
        <v>546</v>
      </c>
      <c r="AH124" s="146" t="s">
        <v>546</v>
      </c>
    </row>
    <row r="125" spans="1:34" x14ac:dyDescent="0.15">
      <c r="A125" s="3"/>
      <c r="B125" s="3"/>
      <c r="C125" s="149"/>
      <c r="D125" s="150" t="s">
        <v>560</v>
      </c>
      <c r="E125" s="151">
        <f>E124/$AJ$11</f>
        <v>2268.5185185185187</v>
      </c>
      <c r="F125" s="152"/>
      <c r="G125" s="292">
        <f>G124/$M$4</f>
        <v>2333.3333333333335</v>
      </c>
      <c r="H125" s="286">
        <f>$AJ$11</f>
        <v>1.8</v>
      </c>
      <c r="I125" s="284">
        <f>H125*G125</f>
        <v>4200</v>
      </c>
      <c r="J125" s="153"/>
      <c r="K125" s="153"/>
      <c r="L125" s="154"/>
      <c r="M125" s="153"/>
      <c r="N125" s="153"/>
      <c r="O125" s="153"/>
      <c r="P125" s="153"/>
      <c r="Q125" s="153"/>
      <c r="R125" s="153"/>
      <c r="S125" s="153"/>
      <c r="T125" s="153"/>
      <c r="U125" s="153"/>
      <c r="V125" s="153"/>
      <c r="W125" s="155"/>
      <c r="X125" s="153"/>
      <c r="Y125" s="156"/>
      <c r="Z125" s="156"/>
      <c r="AA125" s="156"/>
      <c r="AB125" s="156"/>
      <c r="AC125" s="156"/>
      <c r="AD125" s="156"/>
      <c r="AE125" s="156"/>
      <c r="AF125" s="160"/>
      <c r="AG125" s="157" t="s">
        <v>546</v>
      </c>
      <c r="AH125" s="146"/>
    </row>
    <row r="126" spans="1:34" ht="14" thickBot="1" x14ac:dyDescent="0.2">
      <c r="A126" s="250"/>
      <c r="B126" s="250"/>
      <c r="C126" s="250"/>
      <c r="D126" s="248" t="s">
        <v>737</v>
      </c>
      <c r="E126" s="249">
        <f>E124/12</f>
        <v>340.27777777777777</v>
      </c>
      <c r="F126" s="9"/>
      <c r="G126" s="32"/>
      <c r="H126" s="6"/>
      <c r="I126" s="6"/>
      <c r="J126" s="6"/>
      <c r="K126" s="6"/>
      <c r="L126" s="27"/>
      <c r="M126" s="6"/>
      <c r="N126" s="6"/>
      <c r="O126" s="6"/>
      <c r="P126" s="6"/>
      <c r="Q126" s="6"/>
      <c r="R126" s="6"/>
      <c r="S126" s="6"/>
      <c r="T126" s="6"/>
      <c r="U126" s="6"/>
      <c r="V126" s="6"/>
      <c r="W126" s="144"/>
      <c r="X126" s="6"/>
      <c r="Y126" s="3"/>
      <c r="Z126" s="3"/>
      <c r="AA126" s="3"/>
      <c r="AB126" s="3"/>
      <c r="AC126" s="3"/>
      <c r="AD126" s="3"/>
      <c r="AE126" s="3"/>
      <c r="AF126" s="97"/>
      <c r="AG126" s="157" t="s">
        <v>546</v>
      </c>
      <c r="AH126" s="146" t="s">
        <v>546</v>
      </c>
    </row>
    <row r="127" spans="1:34" x14ac:dyDescent="0.15">
      <c r="A127" s="3"/>
      <c r="B127" s="3"/>
      <c r="C127" s="3"/>
      <c r="D127" s="3"/>
      <c r="E127" s="32"/>
      <c r="F127" s="9"/>
      <c r="G127" s="32"/>
      <c r="H127" s="6"/>
      <c r="I127" s="6"/>
      <c r="J127" s="6"/>
      <c r="K127" s="6"/>
      <c r="L127" s="27"/>
      <c r="M127" s="6"/>
      <c r="N127" s="6"/>
      <c r="O127" s="6"/>
      <c r="P127" s="6"/>
      <c r="Q127" s="6"/>
      <c r="R127" s="6"/>
      <c r="S127" s="6"/>
      <c r="T127" s="6"/>
      <c r="U127" s="6"/>
      <c r="V127" s="6"/>
      <c r="W127" s="144"/>
      <c r="X127" s="6"/>
      <c r="Y127" s="3"/>
      <c r="Z127" s="3"/>
      <c r="AA127" s="3"/>
      <c r="AB127" s="3"/>
      <c r="AC127" s="3"/>
      <c r="AD127" s="3"/>
      <c r="AE127" s="3"/>
      <c r="AF127" s="97"/>
      <c r="AG127" s="157"/>
      <c r="AH127" s="146"/>
    </row>
    <row r="128" spans="1:34" ht="14" thickBot="1" x14ac:dyDescent="0.2">
      <c r="A128" s="3"/>
      <c r="B128" s="3"/>
      <c r="C128" s="3"/>
      <c r="D128" s="43"/>
      <c r="E128" s="32"/>
      <c r="F128" s="9"/>
      <c r="G128" s="32"/>
      <c r="H128" s="145" t="s">
        <v>396</v>
      </c>
      <c r="I128" s="145" t="s">
        <v>397</v>
      </c>
      <c r="J128" s="141" t="s">
        <v>543</v>
      </c>
      <c r="K128" s="68"/>
      <c r="L128" s="24" t="s">
        <v>239</v>
      </c>
      <c r="M128" s="25">
        <v>0</v>
      </c>
      <c r="N128" s="25">
        <f t="shared" ref="N128" si="124">M128+1</f>
        <v>1</v>
      </c>
      <c r="O128" s="26">
        <f t="shared" ref="O128" si="125">N128+1</f>
        <v>2</v>
      </c>
      <c r="P128" s="25">
        <f t="shared" ref="P128" si="126">O128+1</f>
        <v>3</v>
      </c>
      <c r="Q128" s="25">
        <f t="shared" ref="Q128" si="127">P128+1</f>
        <v>4</v>
      </c>
      <c r="R128" s="25">
        <f t="shared" ref="R128" si="128">Q128+1</f>
        <v>5</v>
      </c>
      <c r="S128" s="25">
        <f t="shared" ref="S128" si="129">R128+1</f>
        <v>6</v>
      </c>
      <c r="T128" s="25">
        <f t="shared" ref="T128" si="130">S128+1</f>
        <v>7</v>
      </c>
      <c r="U128" s="25">
        <f t="shared" ref="U128" si="131">T128+1</f>
        <v>8</v>
      </c>
      <c r="V128" s="141" t="s">
        <v>542</v>
      </c>
      <c r="W128" s="144" t="s">
        <v>545</v>
      </c>
      <c r="X128" s="96" t="s">
        <v>480</v>
      </c>
      <c r="Y128" s="96" t="s">
        <v>481</v>
      </c>
      <c r="Z128" s="96" t="s">
        <v>482</v>
      </c>
      <c r="AA128" s="96" t="s">
        <v>483</v>
      </c>
      <c r="AB128" s="96" t="s">
        <v>484</v>
      </c>
      <c r="AC128" s="96" t="s">
        <v>485</v>
      </c>
      <c r="AD128" s="96" t="s">
        <v>487</v>
      </c>
      <c r="AE128" s="96" t="s">
        <v>486</v>
      </c>
      <c r="AF128" s="97">
        <f>ROUND(H131,0)</f>
        <v>5655</v>
      </c>
      <c r="AH128" s="146" t="s">
        <v>546</v>
      </c>
    </row>
    <row r="129" spans="1:34" x14ac:dyDescent="0.15">
      <c r="A129" s="14" t="s">
        <v>1120</v>
      </c>
      <c r="B129" s="3"/>
      <c r="C129" s="132" t="str">
        <f>$C$8</f>
        <v>2018 ok</v>
      </c>
      <c r="D129" s="3"/>
      <c r="E129" s="4"/>
      <c r="F129" s="18"/>
      <c r="G129" s="32" t="s">
        <v>243</v>
      </c>
      <c r="H129" s="53" t="s">
        <v>266</v>
      </c>
      <c r="I129" s="53" t="s">
        <v>267</v>
      </c>
      <c r="J129" s="53" t="s">
        <v>266</v>
      </c>
      <c r="K129" s="53" t="s">
        <v>267</v>
      </c>
      <c r="L129" s="27" t="s">
        <v>240</v>
      </c>
      <c r="M129" s="23">
        <v>0</v>
      </c>
      <c r="N129" s="23">
        <f t="shared" ref="N129" si="132">X129</f>
        <v>0</v>
      </c>
      <c r="O129" s="22">
        <f t="shared" ref="O129" si="133">Y129</f>
        <v>0</v>
      </c>
      <c r="P129" s="23">
        <f t="shared" ref="P129" si="134">Z129</f>
        <v>0</v>
      </c>
      <c r="Q129" s="23">
        <f t="shared" ref="Q129" si="135">AA129</f>
        <v>0</v>
      </c>
      <c r="R129" s="23">
        <f t="shared" ref="R129" si="136">AB129</f>
        <v>0</v>
      </c>
      <c r="S129" s="23">
        <f t="shared" ref="S129" si="137">AC129</f>
        <v>0</v>
      </c>
      <c r="T129" s="23">
        <f t="shared" ref="T129" si="138">AD129</f>
        <v>0</v>
      </c>
      <c r="U129" s="23">
        <f t="shared" ref="U129" si="139">AE129</f>
        <v>0</v>
      </c>
      <c r="V129" s="23" t="str">
        <f>K129</f>
        <v>Enlig med børn:</v>
      </c>
      <c r="W129" s="144" t="s">
        <v>240</v>
      </c>
      <c r="X129" s="23">
        <f t="shared" ref="X129" si="140">ROUND(X131*100/M131,1)</f>
        <v>0</v>
      </c>
      <c r="Y129" s="23">
        <f t="shared" ref="Y129" si="141">ROUND(Y131*100/N131,1)</f>
        <v>0</v>
      </c>
      <c r="Z129" s="23">
        <f t="shared" ref="Z129" si="142">ROUND(Z131*100/O131,1)</f>
        <v>0</v>
      </c>
      <c r="AA129" s="23">
        <f t="shared" ref="AA129" si="143">ROUND(AA131*100/P131,1)</f>
        <v>0</v>
      </c>
      <c r="AB129" s="23">
        <f t="shared" ref="AB129" si="144">ROUND(AB131*100/Q131,1)</f>
        <v>0</v>
      </c>
      <c r="AC129" s="23">
        <f t="shared" ref="AC129" si="145">ROUND(AC131*100/R131,1)</f>
        <v>0</v>
      </c>
      <c r="AD129" s="23">
        <f t="shared" ref="AD129" si="146">ROUND(AD131*100/S131,1)</f>
        <v>0</v>
      </c>
      <c r="AE129" s="23">
        <f t="shared" ref="AE129" si="147">ROUND(AE131*100/T131,1)</f>
        <v>0</v>
      </c>
      <c r="AF129" s="97" t="str">
        <f>M129&amp;"; "&amp;N129&amp;"; "&amp;O129&amp;"; "&amp;P129&amp;"; "&amp;Q129&amp;"; "&amp;R129&amp;"; "&amp;S129&amp;"; "&amp;T129&amp;"; "&amp;U129</f>
        <v>0; 0; 0; 0; 0; 0; 0; 0; 0</v>
      </c>
      <c r="AH129" s="146" t="s">
        <v>546</v>
      </c>
    </row>
    <row r="130" spans="1:34" x14ac:dyDescent="0.15">
      <c r="A130" s="140" t="str">
        <f>$A$9</f>
        <v>Forbrugsenheder</v>
      </c>
      <c r="B130" s="3"/>
      <c r="C130" s="132"/>
      <c r="D130" s="3"/>
      <c r="E130" s="4"/>
      <c r="F130" s="18"/>
      <c r="G130" s="289" t="str">
        <f>A130</f>
        <v>Forbrugsenheder</v>
      </c>
      <c r="H130" s="286">
        <v>1.609992064869691</v>
      </c>
      <c r="I130" s="286">
        <v>1.6089431398318748</v>
      </c>
      <c r="J130" s="53"/>
      <c r="K130" s="53"/>
      <c r="L130" s="27"/>
      <c r="M130" s="23"/>
      <c r="N130" s="23"/>
      <c r="O130" s="22"/>
      <c r="P130" s="23"/>
      <c r="Q130" s="23"/>
      <c r="R130" s="23"/>
      <c r="S130" s="23"/>
      <c r="T130" s="23"/>
      <c r="U130" s="23"/>
      <c r="V130" s="23"/>
      <c r="W130" s="144"/>
      <c r="X130" s="23"/>
      <c r="Y130" s="23"/>
      <c r="Z130" s="23"/>
      <c r="AA130" s="23"/>
      <c r="AB130" s="23"/>
      <c r="AC130" s="23"/>
      <c r="AD130" s="23"/>
      <c r="AE130" s="23"/>
      <c r="AF130" s="97"/>
      <c r="AH130" s="146"/>
    </row>
    <row r="131" spans="1:34" x14ac:dyDescent="0.15">
      <c r="A131" s="3" t="s">
        <v>1121</v>
      </c>
      <c r="B131" s="3"/>
      <c r="C131" s="46" t="s">
        <v>234</v>
      </c>
      <c r="D131" s="3" t="s">
        <v>489</v>
      </c>
      <c r="E131" s="9">
        <f>IF(Data!$E$4=1,F131,IF(Data!$E$4=2,0,0))</f>
        <v>0</v>
      </c>
      <c r="F131" s="9">
        <f>IF(Data!$E$5=0,M131,IF(Data!$E$5=1,N131,IF(Data!$E$5=2,O131,IF(Data!$E$5=3,P131,IF(Data!$E$5=4,Q131,IF(Data!$E$5=5,R131,IF(Data!$E$5=6,S131,IF(Data!$E$5=7,T131,U131))))))))</f>
        <v>5655.3654598656012</v>
      </c>
      <c r="G131" s="9"/>
      <c r="H131" s="6">
        <f>G136*H130</f>
        <v>5655.3654598656012</v>
      </c>
      <c r="I131" s="6">
        <f>G136*I130</f>
        <v>5651.680935849432</v>
      </c>
      <c r="J131" s="6">
        <f>H131*$C$4/$K$2</f>
        <v>1696.6096379596804</v>
      </c>
      <c r="K131" s="6">
        <f>I131*$C$4/$M$2</f>
        <v>1130.3361871698864</v>
      </c>
      <c r="L131" s="27" t="s">
        <v>241</v>
      </c>
      <c r="M131" s="6">
        <f>H131</f>
        <v>5655.3654598656012</v>
      </c>
      <c r="N131" s="6">
        <f t="shared" ref="N131" si="148">M131+M131*N129%</f>
        <v>5655.3654598656012</v>
      </c>
      <c r="O131" s="33">
        <f t="shared" ref="O131" si="149">N131+N131*O129%</f>
        <v>5655.3654598656012</v>
      </c>
      <c r="P131" s="6">
        <f t="shared" ref="P131" si="150">O131+O131*P129%</f>
        <v>5655.3654598656012</v>
      </c>
      <c r="Q131" s="6">
        <f t="shared" ref="Q131" si="151">P131+P131*Q129%</f>
        <v>5655.3654598656012</v>
      </c>
      <c r="R131" s="6">
        <f t="shared" ref="R131" si="152">Q131+Q131*R129%</f>
        <v>5655.3654598656012</v>
      </c>
      <c r="S131" s="6">
        <f t="shared" ref="S131" si="153">R131+R131*S129%</f>
        <v>5655.3654598656012</v>
      </c>
      <c r="T131" s="6">
        <f>S131+S131*T129%</f>
        <v>5655.3654598656012</v>
      </c>
      <c r="U131" s="6">
        <f t="shared" ref="U131" si="154">T131+T131*U129%</f>
        <v>5655.3654598656012</v>
      </c>
      <c r="V131" s="6">
        <f>K131</f>
        <v>1130.3361871698864</v>
      </c>
      <c r="W131" s="144" t="s">
        <v>533</v>
      </c>
      <c r="X131" s="144">
        <f>(I131-H131)/2</f>
        <v>-1.8422620080846173</v>
      </c>
      <c r="Y131" s="144">
        <f>I131-(H131+X131)</f>
        <v>-1.8422620080846173</v>
      </c>
      <c r="Z131" s="6">
        <f>Y131</f>
        <v>-1.8422620080846173</v>
      </c>
      <c r="AA131" s="6">
        <v>0</v>
      </c>
      <c r="AB131" s="6">
        <f t="shared" ref="AB131" si="155">AA131*70%</f>
        <v>0</v>
      </c>
      <c r="AC131" s="6">
        <f t="shared" ref="AC131" si="156">AB131*70%</f>
        <v>0</v>
      </c>
      <c r="AD131" s="6">
        <f t="shared" ref="AD131" si="157">AC131*70%</f>
        <v>0</v>
      </c>
      <c r="AE131" s="6">
        <f t="shared" ref="AE131" si="158">AD131*70%</f>
        <v>0</v>
      </c>
      <c r="AF131" s="98">
        <f>ROUND(H134,0)</f>
        <v>8127</v>
      </c>
      <c r="AH131" s="146" t="s">
        <v>546</v>
      </c>
    </row>
    <row r="132" spans="1:34" x14ac:dyDescent="0.15">
      <c r="A132" s="3"/>
      <c r="B132" s="3"/>
      <c r="C132" s="46"/>
      <c r="D132" s="3"/>
      <c r="E132" s="14"/>
      <c r="F132" s="18"/>
      <c r="G132" s="3"/>
      <c r="H132" s="53" t="s">
        <v>339</v>
      </c>
      <c r="I132" s="243" t="s">
        <v>338</v>
      </c>
      <c r="J132" s="53" t="s">
        <v>339</v>
      </c>
      <c r="K132" s="53" t="s">
        <v>338</v>
      </c>
      <c r="L132" s="27" t="s">
        <v>240</v>
      </c>
      <c r="M132" s="23">
        <v>0</v>
      </c>
      <c r="N132" s="23">
        <f t="shared" ref="N132" si="159">X132</f>
        <v>4.5</v>
      </c>
      <c r="O132" s="23">
        <f t="shared" ref="O132" si="160">Y132</f>
        <v>4.3</v>
      </c>
      <c r="P132" s="23">
        <f t="shared" ref="P132" si="161">Z132</f>
        <v>0</v>
      </c>
      <c r="Q132" s="23">
        <f t="shared" ref="Q132" si="162">AA132</f>
        <v>0</v>
      </c>
      <c r="R132" s="23">
        <f t="shared" ref="R132" si="163">AB132</f>
        <v>0</v>
      </c>
      <c r="S132" s="23">
        <f t="shared" ref="S132" si="164">AC132</f>
        <v>0</v>
      </c>
      <c r="T132" s="23">
        <f t="shared" ref="T132" si="165">AD132</f>
        <v>0</v>
      </c>
      <c r="U132" s="23">
        <f t="shared" ref="U132" si="166">AE132</f>
        <v>0</v>
      </c>
      <c r="V132" s="23" t="str">
        <f>K132</f>
        <v>2 v med børn:</v>
      </c>
      <c r="W132" s="144" t="s">
        <v>240</v>
      </c>
      <c r="X132" s="23">
        <f t="shared" ref="X132" si="167">ROUND(X134*100/M134,1)</f>
        <v>4.5</v>
      </c>
      <c r="Y132" s="23">
        <f t="shared" ref="Y132" si="168">ROUND(Y134*100/N134,1)</f>
        <v>4.3</v>
      </c>
      <c r="Z132" s="23">
        <f t="shared" ref="Z132" si="169">ROUND(Z134*100/O134,1)</f>
        <v>0</v>
      </c>
      <c r="AA132" s="23">
        <f t="shared" ref="AA132" si="170">ROUND(AA134*100/P134,1)</f>
        <v>0</v>
      </c>
      <c r="AB132" s="23">
        <f t="shared" ref="AB132" si="171">ROUND(AB134*100/Q134,1)</f>
        <v>0</v>
      </c>
      <c r="AC132" s="23">
        <f t="shared" ref="AC132" si="172">ROUND(AC134*100/R134,1)</f>
        <v>0</v>
      </c>
      <c r="AD132" s="23">
        <f t="shared" ref="AD132" si="173">ROUND(AD134*100/S134,1)</f>
        <v>0</v>
      </c>
      <c r="AE132" s="23">
        <f t="shared" ref="AE132" si="174">ROUND(AE134*100/T134,1)</f>
        <v>0</v>
      </c>
      <c r="AF132" s="97" t="str">
        <f>M132&amp;"; "&amp;N132&amp;"; "&amp;O132&amp;"; "&amp;P132&amp;"; "&amp;Q132&amp;"; "&amp;R132&amp;"; "&amp;S132&amp;"; "&amp;T132&amp;"; "&amp;U132</f>
        <v>0; 4,5; 4,3; 0; 0; 0; 0; 0; 0</v>
      </c>
    </row>
    <row r="133" spans="1:34" x14ac:dyDescent="0.15">
      <c r="A133" s="140" t="str">
        <f>$A$9</f>
        <v>Forbrugsenheder</v>
      </c>
      <c r="B133" s="3"/>
      <c r="C133" s="46"/>
      <c r="D133" s="3"/>
      <c r="E133" s="14"/>
      <c r="F133" s="18"/>
      <c r="G133" s="289" t="str">
        <f>A133</f>
        <v>Forbrugsenheder</v>
      </c>
      <c r="H133" s="286">
        <v>2.313631221719457</v>
      </c>
      <c r="I133" s="286">
        <v>2.5227272727272729</v>
      </c>
      <c r="J133" s="53"/>
      <c r="K133" s="53"/>
      <c r="L133" s="27"/>
      <c r="M133" s="23"/>
      <c r="N133" s="23"/>
      <c r="O133" s="23"/>
      <c r="P133" s="23"/>
      <c r="Q133" s="23"/>
      <c r="R133" s="23"/>
      <c r="S133" s="23"/>
      <c r="T133" s="23"/>
      <c r="U133" s="23"/>
      <c r="V133" s="23"/>
      <c r="W133" s="144"/>
      <c r="X133" s="23"/>
      <c r="Y133" s="23"/>
      <c r="Z133" s="23"/>
      <c r="AA133" s="23"/>
      <c r="AB133" s="23"/>
      <c r="AC133" s="23"/>
      <c r="AD133" s="23"/>
      <c r="AE133" s="23"/>
      <c r="AF133" s="97"/>
    </row>
    <row r="134" spans="1:34" x14ac:dyDescent="0.15">
      <c r="A134" s="3" t="s">
        <v>388</v>
      </c>
      <c r="B134" s="9">
        <f>(H134/4)</f>
        <v>2031.753817873303</v>
      </c>
      <c r="C134" s="46" t="s">
        <v>235</v>
      </c>
      <c r="D134" s="3" t="s">
        <v>490</v>
      </c>
      <c r="E134" s="9">
        <f>IF(Data!$E$4=1,0,IF(Data!$E$4=2,F134,F134+B134*Data!G13))</f>
        <v>8492.7309587104064</v>
      </c>
      <c r="F134" s="9">
        <f>IF(Data!$E$5=0,M134,IF(Data!$E$5=1,N134,IF(Data!$E$5=2,O134,IF(Data!$E$5=3,P134,IF(Data!$E$5=4,Q134,IF(Data!$E$5=5,R134,IF(Data!$E$5=6,S134,IF(Data!$E$5=7,T134,U134))))))))</f>
        <v>8492.7309587104064</v>
      </c>
      <c r="G134" s="9"/>
      <c r="H134" s="6">
        <f>G136*H133</f>
        <v>8127.0152714932119</v>
      </c>
      <c r="I134" s="6">
        <f>G136*I133</f>
        <v>8861.5</v>
      </c>
      <c r="J134" s="6">
        <f>H134*$C$4/$K$3</f>
        <v>1625.4030542986422</v>
      </c>
      <c r="K134" s="6">
        <f>I134*$C$4/$M$3</f>
        <v>1265.9285714285713</v>
      </c>
      <c r="L134" s="27" t="s">
        <v>241</v>
      </c>
      <c r="M134" s="6">
        <f>H134</f>
        <v>8127.0152714932119</v>
      </c>
      <c r="N134" s="6">
        <f t="shared" ref="N134" si="175">M134+M134*N132%</f>
        <v>8492.7309587104064</v>
      </c>
      <c r="O134" s="33">
        <f t="shared" ref="O134" si="176">N134+N134*O132%</f>
        <v>8857.9183899349537</v>
      </c>
      <c r="P134" s="6">
        <f t="shared" ref="P134" si="177">O134+O134*P132%</f>
        <v>8857.9183899349537</v>
      </c>
      <c r="Q134" s="6">
        <f t="shared" ref="Q134" si="178">P134+P134*Q132%</f>
        <v>8857.9183899349537</v>
      </c>
      <c r="R134" s="6">
        <f t="shared" ref="R134" si="179">Q134+Q134*R132%</f>
        <v>8857.9183899349537</v>
      </c>
      <c r="S134" s="6">
        <f t="shared" ref="S134" si="180">R134+R134*S132%</f>
        <v>8857.9183899349537</v>
      </c>
      <c r="T134" s="6">
        <f t="shared" ref="T134" si="181">S134+S134*T132%</f>
        <v>8857.9183899349537</v>
      </c>
      <c r="U134" s="6">
        <f t="shared" ref="U134" si="182">T134+T134*U132%</f>
        <v>8857.9183899349537</v>
      </c>
      <c r="V134" s="6">
        <f>K134</f>
        <v>1265.9285714285713</v>
      </c>
      <c r="W134" s="144" t="s">
        <v>533</v>
      </c>
      <c r="X134" s="144">
        <f>(I134-H134)/2</f>
        <v>367.24236425339404</v>
      </c>
      <c r="Y134" s="144">
        <f>I134-(H134+X134)</f>
        <v>367.24236425339404</v>
      </c>
      <c r="Z134" s="6">
        <v>0</v>
      </c>
      <c r="AA134" s="6">
        <f t="shared" ref="AA134" si="183">Z134*30%</f>
        <v>0</v>
      </c>
      <c r="AB134" s="6">
        <f t="shared" ref="AB134" si="184">AA134*30%</f>
        <v>0</v>
      </c>
      <c r="AC134" s="6">
        <f t="shared" ref="AC134" si="185">AB134*30%</f>
        <v>0</v>
      </c>
      <c r="AD134" s="6">
        <f t="shared" ref="AD134" si="186">AC134*30%</f>
        <v>0</v>
      </c>
      <c r="AE134" s="6">
        <f t="shared" ref="AE134" si="187">AD134*30%</f>
        <v>0</v>
      </c>
      <c r="AF134" s="97">
        <f>ROUND(B134,0)</f>
        <v>2032</v>
      </c>
    </row>
    <row r="135" spans="1:34" ht="14" thickBot="1" x14ac:dyDescent="0.2">
      <c r="A135" s="3"/>
      <c r="B135" s="3"/>
      <c r="C135" s="3"/>
      <c r="D135" s="37" t="s">
        <v>225</v>
      </c>
      <c r="E135" s="28">
        <f>IF(Data!$E$4=0,0,IF(Data!$E$4=1,E131,IF(Data!$E$4=2,E134,E134)))</f>
        <v>8492.7309587104064</v>
      </c>
      <c r="F135" s="29"/>
      <c r="G135" s="291">
        <f>'DS-tal-valgte'!D42</f>
        <v>5269</v>
      </c>
      <c r="H135" s="284" t="str">
        <f>$H$14</f>
        <v>Forbrugsenheder aktuelt:</v>
      </c>
      <c r="I135" s="284" t="str">
        <f>$I$14</f>
        <v>I alt efter forbrugsenheder:</v>
      </c>
      <c r="J135" s="34"/>
      <c r="K135" s="34"/>
      <c r="L135" s="24"/>
      <c r="M135" s="6"/>
      <c r="N135" s="6"/>
      <c r="O135" s="6"/>
      <c r="P135" s="6"/>
      <c r="Q135" s="6"/>
      <c r="R135" s="6"/>
      <c r="S135" s="6"/>
      <c r="T135" s="6"/>
      <c r="U135" s="6"/>
      <c r="V135" s="6"/>
      <c r="W135" s="6"/>
      <c r="X135" s="6"/>
      <c r="Y135" s="3"/>
      <c r="Z135" s="3"/>
      <c r="AA135" s="3"/>
      <c r="AB135" s="3"/>
      <c r="AC135" s="3"/>
      <c r="AD135" s="3"/>
      <c r="AE135" s="3"/>
      <c r="AF135" s="3"/>
    </row>
    <row r="136" spans="1:34" x14ac:dyDescent="0.15">
      <c r="A136" s="3"/>
      <c r="B136" s="3"/>
      <c r="C136" s="149"/>
      <c r="D136" s="150" t="s">
        <v>560</v>
      </c>
      <c r="E136" s="151">
        <f>E135/$AJ$11</f>
        <v>4718.1838659502255</v>
      </c>
      <c r="F136" s="152"/>
      <c r="G136" s="292">
        <f>G135/$M$4</f>
        <v>3512.6666666666665</v>
      </c>
      <c r="H136" s="286">
        <f>$AJ$11</f>
        <v>1.8</v>
      </c>
      <c r="I136" s="284">
        <f>H136*G136</f>
        <v>6322.8</v>
      </c>
      <c r="J136" s="153"/>
      <c r="K136" s="153"/>
      <c r="L136" s="154"/>
      <c r="M136" s="153"/>
      <c r="N136" s="153"/>
      <c r="O136" s="153"/>
      <c r="P136" s="153"/>
      <c r="Q136" s="153"/>
      <c r="R136" s="153"/>
      <c r="S136" s="153"/>
      <c r="T136" s="153"/>
      <c r="U136" s="153"/>
      <c r="V136" s="153"/>
      <c r="W136" s="158"/>
      <c r="X136" s="153"/>
      <c r="Y136" s="156"/>
      <c r="Z136" s="156"/>
      <c r="AA136" s="156"/>
      <c r="AB136" s="156"/>
      <c r="AC136" s="156"/>
      <c r="AD136" s="156"/>
      <c r="AE136" s="156"/>
      <c r="AF136" s="156"/>
    </row>
    <row r="137" spans="1:34" ht="14" thickBot="1" x14ac:dyDescent="0.2">
      <c r="A137" s="250"/>
      <c r="B137" s="250"/>
      <c r="C137" s="250"/>
      <c r="D137" s="248" t="s">
        <v>737</v>
      </c>
      <c r="E137" s="249">
        <f>E135/12</f>
        <v>707.72757989253387</v>
      </c>
    </row>
    <row r="138" spans="1:34" x14ac:dyDescent="0.15">
      <c r="A138" s="3"/>
      <c r="B138" s="3"/>
      <c r="C138" s="3"/>
      <c r="D138" s="14"/>
      <c r="E138" s="32"/>
    </row>
    <row r="139" spans="1:34" ht="14" thickBot="1" x14ac:dyDescent="0.2">
      <c r="A139" s="3"/>
      <c r="B139" s="3"/>
      <c r="C139" s="3"/>
      <c r="D139" s="43"/>
      <c r="E139" s="32"/>
      <c r="F139" s="9"/>
      <c r="G139" s="32"/>
      <c r="H139" s="145" t="s">
        <v>396</v>
      </c>
      <c r="I139" s="145" t="s">
        <v>397</v>
      </c>
      <c r="J139" s="141" t="s">
        <v>543</v>
      </c>
      <c r="K139" s="68"/>
      <c r="L139" s="24" t="s">
        <v>239</v>
      </c>
      <c r="M139" s="25">
        <v>0</v>
      </c>
      <c r="N139" s="25">
        <f t="shared" ref="N139:U139" si="188">M139+1</f>
        <v>1</v>
      </c>
      <c r="O139" s="26">
        <f t="shared" si="188"/>
        <v>2</v>
      </c>
      <c r="P139" s="25">
        <f t="shared" si="188"/>
        <v>3</v>
      </c>
      <c r="Q139" s="25">
        <f t="shared" si="188"/>
        <v>4</v>
      </c>
      <c r="R139" s="25">
        <f t="shared" si="188"/>
        <v>5</v>
      </c>
      <c r="S139" s="25">
        <f t="shared" si="188"/>
        <v>6</v>
      </c>
      <c r="T139" s="25">
        <f t="shared" si="188"/>
        <v>7</v>
      </c>
      <c r="U139" s="25">
        <f t="shared" si="188"/>
        <v>8</v>
      </c>
      <c r="V139" s="141" t="s">
        <v>542</v>
      </c>
      <c r="W139" s="144" t="s">
        <v>545</v>
      </c>
      <c r="X139" s="96" t="s">
        <v>480</v>
      </c>
      <c r="Y139" s="96" t="s">
        <v>481</v>
      </c>
      <c r="Z139" s="96" t="s">
        <v>482</v>
      </c>
      <c r="AA139" s="96" t="s">
        <v>483</v>
      </c>
      <c r="AB139" s="96" t="s">
        <v>484</v>
      </c>
      <c r="AC139" s="96" t="s">
        <v>485</v>
      </c>
      <c r="AD139" s="96" t="s">
        <v>487</v>
      </c>
      <c r="AE139" s="96" t="s">
        <v>486</v>
      </c>
      <c r="AF139" s="97">
        <f>ROUND(H142,0)</f>
        <v>2777</v>
      </c>
      <c r="AG139" s="157" t="s">
        <v>546</v>
      </c>
      <c r="AH139" s="146" t="s">
        <v>546</v>
      </c>
    </row>
    <row r="140" spans="1:34" x14ac:dyDescent="0.15">
      <c r="A140" s="14" t="s">
        <v>265</v>
      </c>
      <c r="B140" s="3"/>
      <c r="C140" s="132" t="str">
        <f>$C$8</f>
        <v>2018 ok</v>
      </c>
      <c r="D140" s="3"/>
      <c r="E140" s="4"/>
      <c r="F140" s="18"/>
      <c r="G140" s="32" t="s">
        <v>243</v>
      </c>
      <c r="H140" s="53" t="s">
        <v>266</v>
      </c>
      <c r="I140" s="53" t="s">
        <v>267</v>
      </c>
      <c r="J140" s="53" t="s">
        <v>266</v>
      </c>
      <c r="K140" s="53" t="s">
        <v>267</v>
      </c>
      <c r="L140" s="27" t="s">
        <v>240</v>
      </c>
      <c r="M140" s="23">
        <v>0</v>
      </c>
      <c r="N140" s="23">
        <f t="shared" ref="N140:U140" si="189">X140</f>
        <v>-10.5</v>
      </c>
      <c r="O140" s="22">
        <f t="shared" si="189"/>
        <v>-11.8</v>
      </c>
      <c r="P140" s="23">
        <f t="shared" si="189"/>
        <v>0</v>
      </c>
      <c r="Q140" s="23">
        <f t="shared" si="189"/>
        <v>0</v>
      </c>
      <c r="R140" s="23">
        <f t="shared" si="189"/>
        <v>0</v>
      </c>
      <c r="S140" s="23">
        <f t="shared" si="189"/>
        <v>0</v>
      </c>
      <c r="T140" s="23">
        <f t="shared" si="189"/>
        <v>0</v>
      </c>
      <c r="U140" s="23">
        <f t="shared" si="189"/>
        <v>0</v>
      </c>
      <c r="V140" s="23" t="str">
        <f>K140</f>
        <v>Enlig med børn:</v>
      </c>
      <c r="W140" s="144" t="s">
        <v>240</v>
      </c>
      <c r="X140" s="23">
        <f t="shared" ref="X140:AE140" si="190">ROUND(X142*100/M142,1)</f>
        <v>-10.5</v>
      </c>
      <c r="Y140" s="23">
        <f t="shared" si="190"/>
        <v>-11.8</v>
      </c>
      <c r="Z140" s="23">
        <f t="shared" si="190"/>
        <v>0</v>
      </c>
      <c r="AA140" s="23">
        <f t="shared" si="190"/>
        <v>0</v>
      </c>
      <c r="AB140" s="23">
        <f t="shared" si="190"/>
        <v>0</v>
      </c>
      <c r="AC140" s="23">
        <f t="shared" si="190"/>
        <v>0</v>
      </c>
      <c r="AD140" s="23">
        <f t="shared" si="190"/>
        <v>0</v>
      </c>
      <c r="AE140" s="23">
        <f t="shared" si="190"/>
        <v>0</v>
      </c>
      <c r="AF140" s="97" t="str">
        <f>M140&amp;"; "&amp;N140&amp;"; "&amp;O140&amp;"; "&amp;P140&amp;"; "&amp;Q140&amp;"; "&amp;R140&amp;"; "&amp;S140&amp;"; "&amp;T140&amp;"; "&amp;U140</f>
        <v>0; -10,5; -11,8; 0; 0; 0; 0; 0; 0</v>
      </c>
      <c r="AG140" s="157" t="s">
        <v>546</v>
      </c>
      <c r="AH140" s="146" t="s">
        <v>546</v>
      </c>
    </row>
    <row r="141" spans="1:34" x14ac:dyDescent="0.15">
      <c r="A141" s="140" t="str">
        <f>$A$9</f>
        <v>Forbrugsenheder</v>
      </c>
      <c r="B141" s="3"/>
      <c r="C141" s="132"/>
      <c r="D141" s="3"/>
      <c r="E141" s="4"/>
      <c r="F141" s="18"/>
      <c r="G141" s="289" t="str">
        <f>A141</f>
        <v>Forbrugsenheder</v>
      </c>
      <c r="H141" s="286">
        <v>1.3030075187969925</v>
      </c>
      <c r="I141" s="286">
        <v>1.0289131920710868</v>
      </c>
      <c r="J141" s="53"/>
      <c r="K141" s="53"/>
      <c r="L141" s="27"/>
      <c r="M141" s="23"/>
      <c r="N141" s="23"/>
      <c r="O141" s="22"/>
      <c r="P141" s="23"/>
      <c r="Q141" s="23"/>
      <c r="R141" s="23"/>
      <c r="S141" s="23"/>
      <c r="T141" s="23"/>
      <c r="U141" s="23"/>
      <c r="V141" s="23"/>
      <c r="W141" s="144"/>
      <c r="X141" s="23"/>
      <c r="Y141" s="23"/>
      <c r="Z141" s="23"/>
      <c r="AA141" s="23"/>
      <c r="AB141" s="23"/>
      <c r="AC141" s="23"/>
      <c r="AD141" s="23"/>
      <c r="AE141" s="23"/>
      <c r="AF141" s="97"/>
      <c r="AG141" s="157"/>
      <c r="AH141" s="146"/>
    </row>
    <row r="142" spans="1:34" x14ac:dyDescent="0.15">
      <c r="A142" s="3"/>
      <c r="B142" s="3"/>
      <c r="C142" s="46" t="s">
        <v>234</v>
      </c>
      <c r="D142" s="3" t="s">
        <v>250</v>
      </c>
      <c r="E142" s="9">
        <f>IF(Data!$E$4=1,F142,IF(Data!$E$4=2,0,0))</f>
        <v>0</v>
      </c>
      <c r="F142" s="9">
        <f>IF(Data!$E$5=0,M142,IF(Data!$E$5=1,N142,IF(Data!$E$5=2,O142,IF(Data!$E$5=3,P142,IF(Data!$E$5=4,Q142,IF(Data!$E$5=5,R142,IF(Data!$E$5=6,S142,IF(Data!$E$5=7,T142,U142))))))))</f>
        <v>2485.5433057644113</v>
      </c>
      <c r="G142" s="9"/>
      <c r="H142" s="6">
        <f>G147*H141</f>
        <v>2777.1433583959902</v>
      </c>
      <c r="I142" s="6">
        <f>G147*I141</f>
        <v>2192.9569833675096</v>
      </c>
      <c r="J142" s="6">
        <f>H142*$C$4/$K$2</f>
        <v>833.14300751879705</v>
      </c>
      <c r="K142" s="6">
        <f>I142*$C$4/$M$2</f>
        <v>438.59139667350195</v>
      </c>
      <c r="L142" s="27" t="s">
        <v>241</v>
      </c>
      <c r="M142" s="6">
        <f>H142</f>
        <v>2777.1433583959902</v>
      </c>
      <c r="N142" s="6">
        <f t="shared" ref="N142:U142" si="191">M142+M142*N140%</f>
        <v>2485.5433057644113</v>
      </c>
      <c r="O142" s="33">
        <f t="shared" si="191"/>
        <v>2192.2491956842109</v>
      </c>
      <c r="P142" s="6">
        <f t="shared" si="191"/>
        <v>2192.2491956842109</v>
      </c>
      <c r="Q142" s="6">
        <f t="shared" si="191"/>
        <v>2192.2491956842109</v>
      </c>
      <c r="R142" s="6">
        <f t="shared" si="191"/>
        <v>2192.2491956842109</v>
      </c>
      <c r="S142" s="6">
        <f t="shared" si="191"/>
        <v>2192.2491956842109</v>
      </c>
      <c r="T142" s="6">
        <f t="shared" si="191"/>
        <v>2192.2491956842109</v>
      </c>
      <c r="U142" s="6">
        <f t="shared" si="191"/>
        <v>2192.2491956842109</v>
      </c>
      <c r="V142" s="6">
        <f>K142</f>
        <v>438.59139667350195</v>
      </c>
      <c r="W142" s="144" t="s">
        <v>533</v>
      </c>
      <c r="X142" s="144">
        <f>(I142-H142)/2</f>
        <v>-292.0931875142403</v>
      </c>
      <c r="Y142" s="144">
        <f>I142-(H142+X142)</f>
        <v>-292.09318751424053</v>
      </c>
      <c r="Z142" s="6">
        <f>Y142*0%</f>
        <v>0</v>
      </c>
      <c r="AA142" s="6">
        <f>Z142*70%</f>
        <v>0</v>
      </c>
      <c r="AB142" s="6">
        <f>AA142*90%</f>
        <v>0</v>
      </c>
      <c r="AC142" s="6">
        <f>AB142*90%</f>
        <v>0</v>
      </c>
      <c r="AD142" s="6">
        <f>AC142*90%</f>
        <v>0</v>
      </c>
      <c r="AE142" s="6">
        <f>AD142*90%</f>
        <v>0</v>
      </c>
      <c r="AF142" s="98">
        <f>ROUND(H145,0)</f>
        <v>4470</v>
      </c>
      <c r="AG142" s="157" t="s">
        <v>546</v>
      </c>
      <c r="AH142" s="146" t="s">
        <v>546</v>
      </c>
    </row>
    <row r="143" spans="1:34" x14ac:dyDescent="0.15">
      <c r="A143" s="3"/>
      <c r="B143" s="3"/>
      <c r="C143" s="46"/>
      <c r="D143" s="3"/>
      <c r="E143" s="14"/>
      <c r="F143" s="18"/>
      <c r="G143" s="3"/>
      <c r="H143" s="53" t="s">
        <v>339</v>
      </c>
      <c r="I143" s="53" t="s">
        <v>338</v>
      </c>
      <c r="J143" s="53" t="s">
        <v>339</v>
      </c>
      <c r="K143" s="53" t="s">
        <v>338</v>
      </c>
      <c r="L143" s="27" t="s">
        <v>240</v>
      </c>
      <c r="M143" s="23">
        <v>0</v>
      </c>
      <c r="N143" s="23">
        <f t="shared" ref="N143:U143" si="192">X143</f>
        <v>-0.9</v>
      </c>
      <c r="O143" s="23">
        <f t="shared" si="192"/>
        <v>-0.9</v>
      </c>
      <c r="P143" s="23">
        <f t="shared" si="192"/>
        <v>0</v>
      </c>
      <c r="Q143" s="23">
        <f t="shared" si="192"/>
        <v>0</v>
      </c>
      <c r="R143" s="23">
        <f t="shared" si="192"/>
        <v>0</v>
      </c>
      <c r="S143" s="23">
        <f t="shared" si="192"/>
        <v>0</v>
      </c>
      <c r="T143" s="23">
        <f t="shared" si="192"/>
        <v>0</v>
      </c>
      <c r="U143" s="23">
        <f t="shared" si="192"/>
        <v>0</v>
      </c>
      <c r="V143" s="23" t="str">
        <f>K143</f>
        <v>2 v med børn:</v>
      </c>
      <c r="W143" s="144" t="s">
        <v>240</v>
      </c>
      <c r="X143" s="23">
        <f t="shared" ref="X143:AE143" si="193">ROUND(X145*100/M145,1)</f>
        <v>-0.9</v>
      </c>
      <c r="Y143" s="23">
        <f t="shared" si="193"/>
        <v>-0.9</v>
      </c>
      <c r="Z143" s="23">
        <f t="shared" si="193"/>
        <v>0</v>
      </c>
      <c r="AA143" s="23">
        <f t="shared" si="193"/>
        <v>0</v>
      </c>
      <c r="AB143" s="23">
        <f t="shared" si="193"/>
        <v>0</v>
      </c>
      <c r="AC143" s="23">
        <f t="shared" si="193"/>
        <v>0</v>
      </c>
      <c r="AD143" s="23">
        <f t="shared" si="193"/>
        <v>0</v>
      </c>
      <c r="AE143" s="23">
        <f t="shared" si="193"/>
        <v>0</v>
      </c>
      <c r="AF143" s="97" t="str">
        <f>M143&amp;"; "&amp;N143&amp;"; "&amp;O143&amp;"; "&amp;P143&amp;"; "&amp;Q143&amp;"; "&amp;R143&amp;"; "&amp;S143&amp;"; "&amp;T143&amp;"; "&amp;U143</f>
        <v>0; -0,9; -0,9; 0; 0; 0; 0; 0; 0</v>
      </c>
      <c r="AG143" s="157" t="s">
        <v>546</v>
      </c>
      <c r="AH143" s="146" t="s">
        <v>546</v>
      </c>
    </row>
    <row r="144" spans="1:34" x14ac:dyDescent="0.15">
      <c r="A144" s="140" t="str">
        <f>$A$9</f>
        <v>Forbrugsenheder</v>
      </c>
      <c r="B144" s="3"/>
      <c r="C144" s="46"/>
      <c r="D144" s="3"/>
      <c r="E144" s="14"/>
      <c r="F144" s="18"/>
      <c r="G144" s="289" t="str">
        <f>A144</f>
        <v>Forbrugsenheder</v>
      </c>
      <c r="H144" s="286">
        <v>2.0971633629528368</v>
      </c>
      <c r="I144" s="286">
        <v>2.0606971975393029</v>
      </c>
      <c r="J144" s="53"/>
      <c r="K144" s="53"/>
      <c r="L144" s="27"/>
      <c r="M144" s="23"/>
      <c r="N144" s="23"/>
      <c r="O144" s="23"/>
      <c r="P144" s="23"/>
      <c r="Q144" s="23"/>
      <c r="R144" s="23"/>
      <c r="S144" s="23"/>
      <c r="T144" s="23"/>
      <c r="U144" s="23"/>
      <c r="V144" s="23"/>
      <c r="W144" s="144"/>
      <c r="X144" s="23"/>
      <c r="Y144" s="23"/>
      <c r="Z144" s="23"/>
      <c r="AA144" s="23"/>
      <c r="AB144" s="23"/>
      <c r="AC144" s="23"/>
      <c r="AD144" s="23"/>
      <c r="AE144" s="23"/>
      <c r="AF144" s="97"/>
      <c r="AG144" s="157"/>
      <c r="AH144" s="146"/>
    </row>
    <row r="145" spans="1:34" x14ac:dyDescent="0.15">
      <c r="A145" s="3" t="s">
        <v>388</v>
      </c>
      <c r="B145" s="9">
        <f>(H145/1.5)*0.5</f>
        <v>1489.9180603022712</v>
      </c>
      <c r="C145" s="46" t="s">
        <v>235</v>
      </c>
      <c r="D145" s="3" t="s">
        <v>248</v>
      </c>
      <c r="E145" s="9">
        <f>IF(Data!$E$4=1,0,IF(Data!$E$4=2,F145,F145+B145*Data!G4))</f>
        <v>4429.526393278652</v>
      </c>
      <c r="F145" s="9">
        <f>IF(Data!$E$5=0,M145,IF(Data!$E$5=1,N145,IF(Data!$E$5=2,O145,IF(Data!$E$5=3,P145,IF(Data!$E$5=4,Q145,IF(Data!$E$5=5,R145,IF(Data!$E$5=6,S145,IF(Data!$E$5=7,T145,U145))))))))</f>
        <v>4429.526393278652</v>
      </c>
      <c r="G145" s="9"/>
      <c r="H145" s="6">
        <f>G147*H144</f>
        <v>4469.7541809068134</v>
      </c>
      <c r="I145" s="6">
        <f>G147*I144</f>
        <v>4392.0326270221012</v>
      </c>
      <c r="J145" s="6">
        <f>H145*$C$4/$K$3</f>
        <v>893.95083618136266</v>
      </c>
      <c r="K145" s="6">
        <f>I145*$C$4/$M$3</f>
        <v>627.4332324317287</v>
      </c>
      <c r="L145" s="27" t="s">
        <v>241</v>
      </c>
      <c r="M145" s="6">
        <f>H145</f>
        <v>4469.7541809068134</v>
      </c>
      <c r="N145" s="6">
        <f t="shared" ref="N145:U145" si="194">M145+M145*N143%</f>
        <v>4429.526393278652</v>
      </c>
      <c r="O145" s="33">
        <f t="shared" si="194"/>
        <v>4389.6606557391442</v>
      </c>
      <c r="P145" s="6">
        <f t="shared" si="194"/>
        <v>4389.6606557391442</v>
      </c>
      <c r="Q145" s="6">
        <f t="shared" si="194"/>
        <v>4389.6606557391442</v>
      </c>
      <c r="R145" s="6">
        <f t="shared" si="194"/>
        <v>4389.6606557391442</v>
      </c>
      <c r="S145" s="6">
        <f t="shared" si="194"/>
        <v>4389.6606557391442</v>
      </c>
      <c r="T145" s="6">
        <f t="shared" si="194"/>
        <v>4389.6606557391442</v>
      </c>
      <c r="U145" s="6">
        <f t="shared" si="194"/>
        <v>4389.6606557391442</v>
      </c>
      <c r="V145" s="6">
        <f>K145</f>
        <v>627.4332324317287</v>
      </c>
      <c r="W145" s="144" t="s">
        <v>533</v>
      </c>
      <c r="X145" s="144">
        <f>(I145-H145)/2</f>
        <v>-38.860776942356097</v>
      </c>
      <c r="Y145" s="144">
        <f>I145-(H145+X145)</f>
        <v>-38.860776942356097</v>
      </c>
      <c r="Z145" s="6">
        <f>Y145*0%</f>
        <v>0</v>
      </c>
      <c r="AA145" s="6">
        <f>Z145*70%</f>
        <v>0</v>
      </c>
      <c r="AB145" s="6">
        <f>AA145*90%</f>
        <v>0</v>
      </c>
      <c r="AC145" s="6">
        <f>AB145*90%</f>
        <v>0</v>
      </c>
      <c r="AD145" s="6">
        <f>AC145*90%</f>
        <v>0</v>
      </c>
      <c r="AE145" s="6">
        <f>AD145*90%</f>
        <v>0</v>
      </c>
      <c r="AF145" s="97">
        <f>ROUND(B145,0)</f>
        <v>1490</v>
      </c>
      <c r="AG145" s="157" t="s">
        <v>546</v>
      </c>
      <c r="AH145" s="146" t="s">
        <v>546</v>
      </c>
    </row>
    <row r="146" spans="1:34" ht="14" thickBot="1" x14ac:dyDescent="0.2">
      <c r="A146" s="3"/>
      <c r="B146" s="3"/>
      <c r="C146" s="3"/>
      <c r="D146" s="37" t="s">
        <v>225</v>
      </c>
      <c r="E146" s="28">
        <f>IF(Data!$E$4=0,0,IF(Data!$E$4=1,E142,IF(Data!$E$4=2,E145,E145)))</f>
        <v>4429.526393278652</v>
      </c>
      <c r="F146" s="29"/>
      <c r="G146" s="291">
        <f>'DS-tal-valgte'!D99</f>
        <v>3197</v>
      </c>
      <c r="H146" s="284" t="str">
        <f>$H$14</f>
        <v>Forbrugsenheder aktuelt:</v>
      </c>
      <c r="I146" s="284" t="str">
        <f>$I$14</f>
        <v>I alt efter forbrugsenheder:</v>
      </c>
      <c r="J146" s="34"/>
      <c r="K146" s="34"/>
      <c r="L146" s="24"/>
      <c r="M146" s="6"/>
      <c r="N146" s="6"/>
      <c r="O146" s="6"/>
      <c r="P146" s="6"/>
      <c r="Q146" s="6"/>
      <c r="R146" s="6"/>
      <c r="S146" s="6"/>
      <c r="T146" s="6"/>
      <c r="U146" s="6"/>
      <c r="V146" s="6"/>
      <c r="W146" s="144"/>
      <c r="X146" s="6"/>
      <c r="Y146" s="3"/>
      <c r="Z146" s="3"/>
      <c r="AA146" s="3"/>
      <c r="AB146" s="3"/>
      <c r="AC146" s="3"/>
      <c r="AD146" s="3"/>
      <c r="AE146" s="3"/>
      <c r="AF146" s="9"/>
      <c r="AG146" s="157" t="s">
        <v>546</v>
      </c>
      <c r="AH146" s="146" t="s">
        <v>546</v>
      </c>
    </row>
    <row r="147" spans="1:34" x14ac:dyDescent="0.15">
      <c r="A147" s="3"/>
      <c r="B147" s="3"/>
      <c r="C147" s="149"/>
      <c r="D147" s="150" t="s">
        <v>560</v>
      </c>
      <c r="E147" s="151">
        <f>E146/$AJ$11</f>
        <v>2460.8479962659176</v>
      </c>
      <c r="F147" s="152"/>
      <c r="G147" s="292">
        <f>G146/$M$4</f>
        <v>2131.3333333333335</v>
      </c>
      <c r="H147" s="286">
        <f>$AJ$11</f>
        <v>1.8</v>
      </c>
      <c r="I147" s="284">
        <f>H147*G147</f>
        <v>3836.4000000000005</v>
      </c>
      <c r="J147" s="153"/>
      <c r="K147" s="153"/>
      <c r="L147" s="154"/>
      <c r="M147" s="153"/>
      <c r="N147" s="153"/>
      <c r="O147" s="153"/>
      <c r="P147" s="153"/>
      <c r="Q147" s="153"/>
      <c r="R147" s="153"/>
      <c r="S147" s="153"/>
      <c r="T147" s="153"/>
      <c r="U147" s="153"/>
      <c r="V147" s="153"/>
      <c r="W147" s="155"/>
      <c r="X147" s="153"/>
      <c r="Y147" s="156"/>
      <c r="Z147" s="156"/>
      <c r="AA147" s="156"/>
      <c r="AB147" s="156"/>
      <c r="AC147" s="156"/>
      <c r="AD147" s="156"/>
      <c r="AE147" s="156"/>
      <c r="AF147" s="160"/>
      <c r="AG147" s="157" t="s">
        <v>546</v>
      </c>
      <c r="AH147" s="146"/>
    </row>
    <row r="148" spans="1:34" ht="14" thickBot="1" x14ac:dyDescent="0.2">
      <c r="A148" s="250"/>
      <c r="B148" s="250"/>
      <c r="C148" s="250"/>
      <c r="D148" s="248" t="s">
        <v>737</v>
      </c>
      <c r="E148" s="249">
        <f>E146/12</f>
        <v>369.12719943988765</v>
      </c>
      <c r="F148" s="9"/>
      <c r="G148" s="32"/>
      <c r="H148" s="23"/>
      <c r="I148" s="23"/>
      <c r="J148" s="23"/>
      <c r="K148" s="23"/>
      <c r="L148" s="27"/>
      <c r="M148" s="6"/>
      <c r="N148" s="6"/>
      <c r="O148" s="6"/>
      <c r="P148" s="6"/>
      <c r="Q148" s="6"/>
      <c r="R148" s="6"/>
      <c r="S148" s="6"/>
      <c r="T148" s="6"/>
      <c r="U148" s="6"/>
      <c r="V148" s="6"/>
      <c r="W148" s="144"/>
      <c r="X148" s="6"/>
      <c r="Y148" s="3"/>
      <c r="Z148" s="3"/>
      <c r="AA148" s="3"/>
      <c r="AB148" s="3"/>
      <c r="AC148" s="3"/>
      <c r="AD148" s="3"/>
      <c r="AE148" s="3"/>
      <c r="AF148" s="9"/>
      <c r="AG148" s="157" t="s">
        <v>546</v>
      </c>
      <c r="AH148" s="146" t="s">
        <v>546</v>
      </c>
    </row>
    <row r="149" spans="1:34" x14ac:dyDescent="0.15">
      <c r="A149" s="3"/>
      <c r="B149" s="3"/>
      <c r="C149" s="3"/>
      <c r="D149" s="3"/>
      <c r="E149" s="32"/>
      <c r="F149" s="9"/>
      <c r="G149" s="32"/>
      <c r="H149" s="6"/>
      <c r="I149" s="6"/>
      <c r="J149" s="6"/>
      <c r="K149" s="6"/>
      <c r="L149" s="27"/>
      <c r="M149" s="6"/>
      <c r="N149" s="6"/>
      <c r="O149" s="6"/>
      <c r="P149" s="6"/>
      <c r="Q149" s="6"/>
      <c r="R149" s="6"/>
      <c r="S149" s="6"/>
      <c r="T149" s="6"/>
      <c r="U149" s="6"/>
      <c r="V149" s="6"/>
      <c r="W149" s="144"/>
      <c r="X149" s="6"/>
      <c r="Y149" s="3"/>
      <c r="Z149" s="3"/>
      <c r="AA149" s="3"/>
      <c r="AB149" s="3"/>
      <c r="AC149" s="3"/>
      <c r="AD149" s="3"/>
      <c r="AE149" s="3"/>
      <c r="AF149" s="97"/>
      <c r="AG149" s="157"/>
      <c r="AH149" s="146"/>
    </row>
    <row r="150" spans="1:34" ht="14" thickBot="1" x14ac:dyDescent="0.2">
      <c r="A150" s="3"/>
      <c r="B150" s="3"/>
      <c r="C150" s="3"/>
      <c r="D150" s="43"/>
      <c r="E150" s="32"/>
      <c r="F150" s="9"/>
      <c r="G150" s="32"/>
      <c r="H150" s="145" t="s">
        <v>396</v>
      </c>
      <c r="I150" s="145" t="s">
        <v>397</v>
      </c>
      <c r="J150" s="141" t="s">
        <v>543</v>
      </c>
      <c r="K150" s="68"/>
      <c r="L150" s="24" t="s">
        <v>239</v>
      </c>
      <c r="M150" s="25">
        <v>0</v>
      </c>
      <c r="N150" s="25">
        <f t="shared" ref="N150" si="195">M150+1</f>
        <v>1</v>
      </c>
      <c r="O150" s="26">
        <f t="shared" ref="O150" si="196">N150+1</f>
        <v>2</v>
      </c>
      <c r="P150" s="25">
        <f t="shared" ref="P150" si="197">O150+1</f>
        <v>3</v>
      </c>
      <c r="Q150" s="25">
        <f t="shared" ref="Q150" si="198">P150+1</f>
        <v>4</v>
      </c>
      <c r="R150" s="25">
        <f t="shared" ref="R150" si="199">Q150+1</f>
        <v>5</v>
      </c>
      <c r="S150" s="25">
        <f t="shared" ref="S150" si="200">R150+1</f>
        <v>6</v>
      </c>
      <c r="T150" s="25">
        <f t="shared" ref="T150" si="201">S150+1</f>
        <v>7</v>
      </c>
      <c r="U150" s="25">
        <f t="shared" ref="U150" si="202">T150+1</f>
        <v>8</v>
      </c>
      <c r="V150" s="141" t="s">
        <v>542</v>
      </c>
      <c r="W150" s="144" t="s">
        <v>545</v>
      </c>
      <c r="X150" s="96" t="s">
        <v>480</v>
      </c>
      <c r="Y150" s="96" t="s">
        <v>481</v>
      </c>
      <c r="Z150" s="96" t="s">
        <v>482</v>
      </c>
      <c r="AA150" s="96" t="s">
        <v>483</v>
      </c>
      <c r="AB150" s="96" t="s">
        <v>484</v>
      </c>
      <c r="AC150" s="96" t="s">
        <v>485</v>
      </c>
      <c r="AD150" s="96" t="s">
        <v>487</v>
      </c>
      <c r="AE150" s="96" t="s">
        <v>486</v>
      </c>
      <c r="AF150" s="97">
        <f>ROUND(H153,0)</f>
        <v>3014</v>
      </c>
      <c r="AG150" s="157" t="s">
        <v>546</v>
      </c>
      <c r="AH150" s="146" t="s">
        <v>546</v>
      </c>
    </row>
    <row r="151" spans="1:34" x14ac:dyDescent="0.15">
      <c r="A151" s="14" t="s">
        <v>264</v>
      </c>
      <c r="B151" s="3"/>
      <c r="C151" s="132" t="str">
        <f>$C$8</f>
        <v>2018 ok</v>
      </c>
      <c r="D151" s="3"/>
      <c r="E151" s="4"/>
      <c r="F151" s="18"/>
      <c r="G151" s="32" t="s">
        <v>243</v>
      </c>
      <c r="H151" s="53" t="s">
        <v>266</v>
      </c>
      <c r="I151" s="53" t="s">
        <v>267</v>
      </c>
      <c r="J151" s="53" t="s">
        <v>266</v>
      </c>
      <c r="K151" s="53" t="s">
        <v>267</v>
      </c>
      <c r="L151" s="27" t="s">
        <v>240</v>
      </c>
      <c r="M151" s="23">
        <v>0</v>
      </c>
      <c r="N151" s="23">
        <f t="shared" ref="N151" si="203">X151</f>
        <v>-11.3</v>
      </c>
      <c r="O151" s="22">
        <f t="shared" ref="O151" si="204">Y151</f>
        <v>-12.7</v>
      </c>
      <c r="P151" s="23">
        <f t="shared" ref="P151" si="205">Z151</f>
        <v>0</v>
      </c>
      <c r="Q151" s="23">
        <f t="shared" ref="Q151" si="206">AA151</f>
        <v>0</v>
      </c>
      <c r="R151" s="23">
        <f t="shared" ref="R151" si="207">AB151</f>
        <v>0</v>
      </c>
      <c r="S151" s="23">
        <f t="shared" ref="S151" si="208">AC151</f>
        <v>0</v>
      </c>
      <c r="T151" s="23">
        <f t="shared" ref="T151" si="209">AD151</f>
        <v>0</v>
      </c>
      <c r="U151" s="23">
        <f t="shared" ref="U151" si="210">AE151</f>
        <v>0</v>
      </c>
      <c r="V151" s="23" t="str">
        <f>K151</f>
        <v>Enlig med børn:</v>
      </c>
      <c r="W151" s="144" t="s">
        <v>240</v>
      </c>
      <c r="X151" s="23">
        <f t="shared" ref="X151" si="211">ROUND(X153*100/M153,1)</f>
        <v>-11.3</v>
      </c>
      <c r="Y151" s="23">
        <f t="shared" ref="Y151" si="212">ROUND(Y153*100/N153,1)</f>
        <v>-12.7</v>
      </c>
      <c r="Z151" s="23">
        <f t="shared" ref="Z151" si="213">ROUND(Z153*100/O153,1)</f>
        <v>0</v>
      </c>
      <c r="AA151" s="23">
        <f t="shared" ref="AA151" si="214">ROUND(AA153*100/P153,1)</f>
        <v>0</v>
      </c>
      <c r="AB151" s="23">
        <f t="shared" ref="AB151" si="215">ROUND(AB153*100/Q153,1)</f>
        <v>0</v>
      </c>
      <c r="AC151" s="23">
        <f t="shared" ref="AC151" si="216">ROUND(AC153*100/R153,1)</f>
        <v>0</v>
      </c>
      <c r="AD151" s="23">
        <f t="shared" ref="AD151" si="217">ROUND(AD153*100/S153,1)</f>
        <v>0</v>
      </c>
      <c r="AE151" s="23">
        <f t="shared" ref="AE151" si="218">ROUND(AE153*100/T153,1)</f>
        <v>0</v>
      </c>
      <c r="AF151" s="97" t="str">
        <f>M151&amp;"; "&amp;N151&amp;"; "&amp;O151&amp;"; "&amp;P151&amp;"; "&amp;Q151&amp;"; "&amp;R151&amp;"; "&amp;S151&amp;"; "&amp;T151&amp;"; "&amp;U151</f>
        <v>0; -11,3; -12,7; 0; 0; 0; 0; 0; 0</v>
      </c>
      <c r="AG151" s="157" t="s">
        <v>546</v>
      </c>
      <c r="AH151" s="146" t="s">
        <v>546</v>
      </c>
    </row>
    <row r="152" spans="1:34" x14ac:dyDescent="0.15">
      <c r="A152" s="140" t="str">
        <f>$A$9</f>
        <v>Forbrugsenheder</v>
      </c>
      <c r="B152" s="3"/>
      <c r="C152" s="132"/>
      <c r="D152" s="3"/>
      <c r="E152" s="4"/>
      <c r="F152" s="18"/>
      <c r="G152" s="289" t="str">
        <f>A152</f>
        <v>Forbrugsenheder</v>
      </c>
      <c r="H152" s="286">
        <v>0.75339999999999996</v>
      </c>
      <c r="I152" s="286">
        <v>0.58367499999999994</v>
      </c>
      <c r="J152" s="53"/>
      <c r="K152" s="53"/>
      <c r="L152" s="27"/>
      <c r="M152" s="23"/>
      <c r="N152" s="23"/>
      <c r="O152" s="22"/>
      <c r="P152" s="23"/>
      <c r="Q152" s="23"/>
      <c r="R152" s="23"/>
      <c r="S152" s="23"/>
      <c r="T152" s="23"/>
      <c r="U152" s="23"/>
      <c r="V152" s="23"/>
      <c r="W152" s="144"/>
      <c r="X152" s="23"/>
      <c r="Y152" s="23"/>
      <c r="Z152" s="23"/>
      <c r="AA152" s="23"/>
      <c r="AB152" s="23"/>
      <c r="AC152" s="23"/>
      <c r="AD152" s="23"/>
      <c r="AE152" s="23"/>
      <c r="AF152" s="97"/>
      <c r="AG152" s="157"/>
      <c r="AH152" s="146"/>
    </row>
    <row r="153" spans="1:34" x14ac:dyDescent="0.15">
      <c r="A153" s="3"/>
      <c r="B153" s="3"/>
      <c r="C153" s="46" t="s">
        <v>234</v>
      </c>
      <c r="D153" s="3" t="s">
        <v>1080</v>
      </c>
      <c r="E153" s="9">
        <f>IF(Data!$E$4=1,F153,IF(Data!$E$4=2,0,0))</f>
        <v>0</v>
      </c>
      <c r="F153" s="9">
        <f>IF(Data!$E$5=0,M153,IF(Data!$E$5=1,N153,IF(Data!$E$5=2,O153,IF(Data!$E$5=3,P153,IF(Data!$E$5=4,Q153,IF(Data!$E$5=5,R153,IF(Data!$E$5=6,S153,IF(Data!$E$5=7,T153,U153))))))))</f>
        <v>2673.0632000000001</v>
      </c>
      <c r="G153" s="9"/>
      <c r="H153" s="6">
        <f>G158*H152</f>
        <v>3013.6</v>
      </c>
      <c r="I153" s="6">
        <f>G158*I152</f>
        <v>2334.6999999999998</v>
      </c>
      <c r="J153" s="6">
        <f>H153*$C$4/$K$2</f>
        <v>904.07999999999993</v>
      </c>
      <c r="K153" s="6">
        <f>I153*$C$4/$M$2</f>
        <v>466.94</v>
      </c>
      <c r="L153" s="27" t="s">
        <v>241</v>
      </c>
      <c r="M153" s="6">
        <f>H153</f>
        <v>3013.6</v>
      </c>
      <c r="N153" s="6">
        <f t="shared" ref="N153" si="219">M153+M153*N151%</f>
        <v>2673.0632000000001</v>
      </c>
      <c r="O153" s="33">
        <f t="shared" ref="O153" si="220">N153+N153*O151%</f>
        <v>2333.5841736000002</v>
      </c>
      <c r="P153" s="6">
        <f t="shared" ref="P153" si="221">O153+O153*P151%</f>
        <v>2333.5841736000002</v>
      </c>
      <c r="Q153" s="6">
        <f t="shared" ref="Q153" si="222">P153+P153*Q151%</f>
        <v>2333.5841736000002</v>
      </c>
      <c r="R153" s="6">
        <f t="shared" ref="R153" si="223">Q153+Q153*R151%</f>
        <v>2333.5841736000002</v>
      </c>
      <c r="S153" s="6">
        <f t="shared" ref="S153" si="224">R153+R153*S151%</f>
        <v>2333.5841736000002</v>
      </c>
      <c r="T153" s="6">
        <f t="shared" ref="T153" si="225">S153+S153*T151%</f>
        <v>2333.5841736000002</v>
      </c>
      <c r="U153" s="6">
        <f t="shared" ref="U153" si="226">T153+T153*U151%</f>
        <v>2333.5841736000002</v>
      </c>
      <c r="V153" s="6">
        <f>K153</f>
        <v>466.94</v>
      </c>
      <c r="W153" s="144" t="s">
        <v>533</v>
      </c>
      <c r="X153" s="144">
        <f>(I153-H153)/2</f>
        <v>-339.45000000000005</v>
      </c>
      <c r="Y153" s="144">
        <f>I153-(H153+X153)</f>
        <v>-339.44999999999982</v>
      </c>
      <c r="Z153" s="6">
        <f>Y153*0%</f>
        <v>0</v>
      </c>
      <c r="AA153" s="6">
        <f>Z153*70%</f>
        <v>0</v>
      </c>
      <c r="AB153" s="6">
        <f>AA153*90%</f>
        <v>0</v>
      </c>
      <c r="AC153" s="6">
        <f>AB153*90%</f>
        <v>0</v>
      </c>
      <c r="AD153" s="6">
        <f>AC153*90%</f>
        <v>0</v>
      </c>
      <c r="AE153" s="6">
        <f>AD153*90%</f>
        <v>0</v>
      </c>
      <c r="AF153" s="98">
        <f>ROUND(H156,0)</f>
        <v>4792</v>
      </c>
      <c r="AG153" s="157" t="s">
        <v>546</v>
      </c>
      <c r="AH153" s="146" t="s">
        <v>546</v>
      </c>
    </row>
    <row r="154" spans="1:34" x14ac:dyDescent="0.15">
      <c r="A154" s="3"/>
      <c r="B154" s="3"/>
      <c r="C154" s="46"/>
      <c r="D154" s="3"/>
      <c r="E154" s="14"/>
      <c r="F154" s="18"/>
      <c r="G154" s="3"/>
      <c r="H154" s="53" t="s">
        <v>339</v>
      </c>
      <c r="I154" s="53" t="s">
        <v>338</v>
      </c>
      <c r="J154" s="53" t="s">
        <v>339</v>
      </c>
      <c r="K154" s="53" t="s">
        <v>338</v>
      </c>
      <c r="L154" s="27" t="s">
        <v>240</v>
      </c>
      <c r="M154" s="23">
        <v>0</v>
      </c>
      <c r="N154" s="23">
        <f t="shared" ref="N154" si="227">X154</f>
        <v>26.3</v>
      </c>
      <c r="O154" s="23">
        <f t="shared" ref="O154" si="228">Y154</f>
        <v>20.8</v>
      </c>
      <c r="P154" s="23">
        <f t="shared" ref="P154" si="229">Z154</f>
        <v>0</v>
      </c>
      <c r="Q154" s="23">
        <f t="shared" ref="Q154" si="230">AA154</f>
        <v>0</v>
      </c>
      <c r="R154" s="23">
        <f t="shared" ref="R154" si="231">AB154</f>
        <v>0</v>
      </c>
      <c r="S154" s="23">
        <f t="shared" ref="S154" si="232">AC154</f>
        <v>0</v>
      </c>
      <c r="T154" s="23">
        <f t="shared" ref="T154" si="233">AD154</f>
        <v>0</v>
      </c>
      <c r="U154" s="23">
        <f t="shared" ref="U154" si="234">AE154</f>
        <v>0</v>
      </c>
      <c r="V154" s="23" t="str">
        <f>K154</f>
        <v>2 v med børn:</v>
      </c>
      <c r="W154" s="144" t="s">
        <v>240</v>
      </c>
      <c r="X154" s="23">
        <f t="shared" ref="X154" si="235">ROUND(X156*100/M156,1)</f>
        <v>26.3</v>
      </c>
      <c r="Y154" s="23">
        <f t="shared" ref="Y154" si="236">ROUND(Y156*100/N156,1)</f>
        <v>20.8</v>
      </c>
      <c r="Z154" s="23">
        <f t="shared" ref="Z154" si="237">ROUND(Z156*100/O156,1)</f>
        <v>0</v>
      </c>
      <c r="AA154" s="23">
        <f t="shared" ref="AA154" si="238">ROUND(AA156*100/P156,1)</f>
        <v>0</v>
      </c>
      <c r="AB154" s="23">
        <f t="shared" ref="AB154" si="239">ROUND(AB156*100/Q156,1)</f>
        <v>0</v>
      </c>
      <c r="AC154" s="23">
        <f t="shared" ref="AC154" si="240">ROUND(AC156*100/R156,1)</f>
        <v>0</v>
      </c>
      <c r="AD154" s="23">
        <f t="shared" ref="AD154" si="241">ROUND(AD156*100/S156,1)</f>
        <v>0</v>
      </c>
      <c r="AE154" s="23">
        <f t="shared" ref="AE154" si="242">ROUND(AE156*100/T156,1)</f>
        <v>0</v>
      </c>
      <c r="AF154" s="97" t="str">
        <f>M154&amp;"; "&amp;N154&amp;"; "&amp;O154&amp;"; "&amp;P154&amp;"; "&amp;Q154&amp;"; "&amp;R154&amp;"; "&amp;S154&amp;"; "&amp;T154&amp;"; "&amp;U154</f>
        <v>0; 26,3; 20,8; 0; 0; 0; 0; 0; 0</v>
      </c>
      <c r="AG154" s="157" t="s">
        <v>546</v>
      </c>
      <c r="AH154" s="146" t="s">
        <v>546</v>
      </c>
    </row>
    <row r="155" spans="1:34" x14ac:dyDescent="0.15">
      <c r="A155" s="140" t="str">
        <f>$A$9</f>
        <v>Forbrugsenheder</v>
      </c>
      <c r="B155" s="3"/>
      <c r="C155" s="46"/>
      <c r="D155" s="3"/>
      <c r="E155" s="14"/>
      <c r="F155" s="18"/>
      <c r="G155" s="289" t="str">
        <f>A155</f>
        <v>Forbrugsenheder</v>
      </c>
      <c r="H155" s="286">
        <v>1.197875</v>
      </c>
      <c r="I155" s="286">
        <v>1.82725</v>
      </c>
      <c r="J155" s="53"/>
      <c r="K155" s="53"/>
      <c r="L155" s="27"/>
      <c r="M155" s="23"/>
      <c r="N155" s="23"/>
      <c r="O155" s="23"/>
      <c r="P155" s="23"/>
      <c r="Q155" s="23"/>
      <c r="R155" s="23"/>
      <c r="S155" s="23"/>
      <c r="T155" s="23"/>
      <c r="U155" s="23"/>
      <c r="V155" s="23"/>
      <c r="W155" s="144"/>
      <c r="X155" s="23"/>
      <c r="Y155" s="23"/>
      <c r="Z155" s="23"/>
      <c r="AA155" s="23"/>
      <c r="AB155" s="23"/>
      <c r="AC155" s="23"/>
      <c r="AD155" s="23"/>
      <c r="AE155" s="23"/>
      <c r="AF155" s="97"/>
      <c r="AG155" s="157"/>
      <c r="AH155" s="146"/>
    </row>
    <row r="156" spans="1:34" x14ac:dyDescent="0.15">
      <c r="A156" s="3" t="s">
        <v>388</v>
      </c>
      <c r="B156" s="9">
        <f>(H156/1.5)*0.5</f>
        <v>1597.1666666666667</v>
      </c>
      <c r="C156" s="46" t="s">
        <v>235</v>
      </c>
      <c r="D156" s="3" t="s">
        <v>1081</v>
      </c>
      <c r="E156" s="9">
        <f>IF(Data!$E$4=1,0,IF(Data!$E$4=2,F156,F156+B156*Data!G4))</f>
        <v>6051.6644999999999</v>
      </c>
      <c r="F156" s="9">
        <f>IF(Data!$E$5=0,M156,IF(Data!$E$5=1,N156,IF(Data!$E$5=2,O156,IF(Data!$E$5=3,P156,IF(Data!$E$5=4,Q156,IF(Data!$E$5=5,R156,IF(Data!$E$5=6,S156,IF(Data!$E$5=7,T156,U156))))))))</f>
        <v>6051.6644999999999</v>
      </c>
      <c r="G156" s="9"/>
      <c r="H156" s="6">
        <f>G158*H155</f>
        <v>4791.5</v>
      </c>
      <c r="I156" s="6">
        <f>G158*I155</f>
        <v>7309</v>
      </c>
      <c r="J156" s="6">
        <f>H156*$C$4/$K$3</f>
        <v>958.30000000000007</v>
      </c>
      <c r="K156" s="6">
        <f>I156*$C$4/$M$3</f>
        <v>1044.1428571428571</v>
      </c>
      <c r="L156" s="27" t="s">
        <v>241</v>
      </c>
      <c r="M156" s="6">
        <f>H156</f>
        <v>4791.5</v>
      </c>
      <c r="N156" s="6">
        <f t="shared" ref="N156" si="243">M156+M156*N154%</f>
        <v>6051.6644999999999</v>
      </c>
      <c r="O156" s="33">
        <f t="shared" ref="O156" si="244">N156+N156*O154%</f>
        <v>7310.4107160000003</v>
      </c>
      <c r="P156" s="6">
        <f t="shared" ref="P156" si="245">O156+O156*P154%</f>
        <v>7310.4107160000003</v>
      </c>
      <c r="Q156" s="6">
        <f t="shared" ref="Q156" si="246">P156+P156*Q154%</f>
        <v>7310.4107160000003</v>
      </c>
      <c r="R156" s="6">
        <f t="shared" ref="R156" si="247">Q156+Q156*R154%</f>
        <v>7310.4107160000003</v>
      </c>
      <c r="S156" s="6">
        <f t="shared" ref="S156" si="248">R156+R156*S154%</f>
        <v>7310.4107160000003</v>
      </c>
      <c r="T156" s="6">
        <f t="shared" ref="T156" si="249">S156+S156*T154%</f>
        <v>7310.4107160000003</v>
      </c>
      <c r="U156" s="6">
        <f t="shared" ref="U156" si="250">T156+T156*U154%</f>
        <v>7310.4107160000003</v>
      </c>
      <c r="V156" s="6">
        <f>K156</f>
        <v>1044.1428571428571</v>
      </c>
      <c r="W156" s="144" t="s">
        <v>533</v>
      </c>
      <c r="X156" s="144">
        <f>(I156-H156)/2</f>
        <v>1258.75</v>
      </c>
      <c r="Y156" s="144">
        <f>I156-(H156+X156)</f>
        <v>1258.75</v>
      </c>
      <c r="Z156" s="6">
        <f>Y156*0%</f>
        <v>0</v>
      </c>
      <c r="AA156" s="6">
        <f>Z156*70%</f>
        <v>0</v>
      </c>
      <c r="AB156" s="6">
        <f>AA156*90%</f>
        <v>0</v>
      </c>
      <c r="AC156" s="6">
        <f>AB156*90%</f>
        <v>0</v>
      </c>
      <c r="AD156" s="6">
        <f>AC156*90%</f>
        <v>0</v>
      </c>
      <c r="AE156" s="6">
        <f>AD156*90%</f>
        <v>0</v>
      </c>
      <c r="AF156" s="97">
        <f>ROUND(B156,0)</f>
        <v>1597</v>
      </c>
      <c r="AG156" s="157" t="s">
        <v>546</v>
      </c>
      <c r="AH156" s="146" t="s">
        <v>546</v>
      </c>
    </row>
    <row r="157" spans="1:34" ht="14" thickBot="1" x14ac:dyDescent="0.2">
      <c r="A157" s="3"/>
      <c r="B157" s="3"/>
      <c r="C157" s="3"/>
      <c r="D157" s="37" t="s">
        <v>225</v>
      </c>
      <c r="E157" s="28">
        <f>IF(Data!$E$4=0,0,IF(Data!$E$4=1,E153,IF(Data!$E$4=2,E156,E156)))</f>
        <v>6051.6644999999999</v>
      </c>
      <c r="F157" s="29"/>
      <c r="G157" s="291">
        <v>6000</v>
      </c>
      <c r="H157" s="284" t="str">
        <f>$H$14</f>
        <v>Forbrugsenheder aktuelt:</v>
      </c>
      <c r="I157" s="284" t="str">
        <f>$I$14</f>
        <v>I alt efter forbrugsenheder:</v>
      </c>
      <c r="J157" s="34"/>
      <c r="K157" s="34"/>
      <c r="L157" s="24"/>
      <c r="M157" s="6"/>
      <c r="N157" s="6"/>
      <c r="O157" s="6"/>
      <c r="P157" s="6"/>
      <c r="Q157" s="6"/>
      <c r="R157" s="6"/>
      <c r="S157" s="6"/>
      <c r="T157" s="6"/>
      <c r="U157" s="6"/>
      <c r="V157" s="6"/>
      <c r="W157" s="144"/>
      <c r="X157" s="6"/>
      <c r="Y157" s="3"/>
      <c r="Z157" s="3"/>
      <c r="AA157" s="3"/>
      <c r="AB157" s="3"/>
      <c r="AC157" s="3"/>
      <c r="AD157" s="3"/>
      <c r="AE157" s="3"/>
      <c r="AF157" s="9"/>
      <c r="AG157" s="157" t="s">
        <v>546</v>
      </c>
      <c r="AH157" s="146" t="s">
        <v>546</v>
      </c>
    </row>
    <row r="158" spans="1:34" x14ac:dyDescent="0.15">
      <c r="A158" s="3"/>
      <c r="B158" s="3"/>
      <c r="C158" s="149"/>
      <c r="D158" s="150" t="s">
        <v>560</v>
      </c>
      <c r="E158" s="151">
        <f>E157/$AJ$11</f>
        <v>3362.0358333333334</v>
      </c>
      <c r="F158" s="152"/>
      <c r="G158" s="292">
        <f>G157/$M$4</f>
        <v>4000</v>
      </c>
      <c r="H158" s="286">
        <f>$AJ$11</f>
        <v>1.8</v>
      </c>
      <c r="I158" s="284">
        <f>H158*G158</f>
        <v>7200</v>
      </c>
      <c r="J158" s="153"/>
      <c r="K158" s="153"/>
      <c r="L158" s="154"/>
      <c r="M158" s="153"/>
      <c r="N158" s="153"/>
      <c r="O158" s="153"/>
      <c r="P158" s="153"/>
      <c r="Q158" s="153"/>
      <c r="R158" s="153"/>
      <c r="S158" s="153"/>
      <c r="T158" s="153"/>
      <c r="U158" s="153"/>
      <c r="V158" s="153"/>
      <c r="W158" s="155"/>
      <c r="X158" s="153"/>
      <c r="Y158" s="156"/>
      <c r="Z158" s="156"/>
      <c r="AA158" s="156"/>
      <c r="AB158" s="156"/>
      <c r="AC158" s="156"/>
      <c r="AD158" s="156"/>
      <c r="AE158" s="156"/>
      <c r="AF158" s="160"/>
      <c r="AG158" s="157" t="s">
        <v>546</v>
      </c>
      <c r="AH158" s="146"/>
    </row>
    <row r="159" spans="1:34" ht="14" thickBot="1" x14ac:dyDescent="0.2">
      <c r="A159" s="260"/>
      <c r="B159" s="260"/>
      <c r="C159" s="260"/>
      <c r="D159" s="248" t="s">
        <v>737</v>
      </c>
      <c r="E159" s="249">
        <f>E157/12</f>
        <v>504.30537499999997</v>
      </c>
      <c r="F159" s="9"/>
      <c r="G159" s="32"/>
      <c r="H159" s="23"/>
      <c r="I159" s="23"/>
      <c r="J159" s="23"/>
      <c r="K159" s="23"/>
      <c r="L159" s="27"/>
      <c r="M159" s="6"/>
      <c r="N159" s="6"/>
      <c r="O159" s="6"/>
      <c r="P159" s="6"/>
      <c r="Q159" s="6"/>
      <c r="R159" s="6"/>
      <c r="S159" s="6"/>
      <c r="T159" s="6"/>
      <c r="U159" s="6"/>
      <c r="V159" s="6"/>
      <c r="W159" s="144"/>
      <c r="X159" s="6"/>
      <c r="Y159" s="3"/>
      <c r="Z159" s="3"/>
      <c r="AA159" s="3"/>
      <c r="AB159" s="3"/>
      <c r="AC159" s="3"/>
      <c r="AD159" s="3"/>
      <c r="AE159" s="3"/>
      <c r="AF159" s="9"/>
      <c r="AG159" s="157" t="s">
        <v>546</v>
      </c>
      <c r="AH159" s="146" t="s">
        <v>546</v>
      </c>
    </row>
    <row r="160" spans="1:34" x14ac:dyDescent="0.15">
      <c r="A160" s="3"/>
      <c r="B160" s="3"/>
      <c r="C160" s="3"/>
      <c r="D160" s="14"/>
      <c r="E160" s="32"/>
      <c r="F160" s="9"/>
      <c r="G160" s="32"/>
      <c r="H160" s="23"/>
      <c r="I160" s="23"/>
      <c r="J160" s="23"/>
      <c r="K160" s="23"/>
      <c r="L160" s="27"/>
      <c r="M160" s="6"/>
      <c r="N160" s="6"/>
      <c r="O160" s="6"/>
      <c r="P160" s="6"/>
      <c r="Q160" s="6"/>
      <c r="R160" s="6"/>
      <c r="S160" s="6"/>
      <c r="T160" s="6"/>
      <c r="U160" s="6"/>
      <c r="V160" s="6"/>
      <c r="W160" s="144"/>
      <c r="X160" s="6"/>
      <c r="Y160" s="3"/>
      <c r="Z160" s="3"/>
      <c r="AA160" s="3"/>
      <c r="AB160" s="3"/>
      <c r="AC160" s="3"/>
      <c r="AD160" s="3"/>
      <c r="AE160" s="3"/>
      <c r="AF160" s="9"/>
      <c r="AG160" s="157"/>
      <c r="AH160" s="146"/>
    </row>
    <row r="161" spans="1:34" ht="14" thickBot="1" x14ac:dyDescent="0.2">
      <c r="A161" s="3"/>
      <c r="B161" s="3"/>
      <c r="C161" s="3"/>
      <c r="D161" s="43"/>
      <c r="E161" s="32"/>
      <c r="F161" s="9"/>
      <c r="G161" s="32"/>
      <c r="H161" s="145" t="s">
        <v>396</v>
      </c>
      <c r="I161" s="145" t="s">
        <v>397</v>
      </c>
      <c r="J161" s="141" t="s">
        <v>543</v>
      </c>
      <c r="K161" s="68"/>
      <c r="L161" s="24" t="s">
        <v>239</v>
      </c>
      <c r="M161" s="25">
        <v>0</v>
      </c>
      <c r="N161" s="25">
        <f t="shared" ref="N161:U161" si="251">M161+1</f>
        <v>1</v>
      </c>
      <c r="O161" s="26">
        <f t="shared" si="251"/>
        <v>2</v>
      </c>
      <c r="P161" s="25">
        <f t="shared" si="251"/>
        <v>3</v>
      </c>
      <c r="Q161" s="25">
        <f t="shared" si="251"/>
        <v>4</v>
      </c>
      <c r="R161" s="25">
        <f t="shared" si="251"/>
        <v>5</v>
      </c>
      <c r="S161" s="25">
        <f t="shared" si="251"/>
        <v>6</v>
      </c>
      <c r="T161" s="25">
        <f t="shared" si="251"/>
        <v>7</v>
      </c>
      <c r="U161" s="25">
        <f t="shared" si="251"/>
        <v>8</v>
      </c>
      <c r="V161" s="141" t="s">
        <v>542</v>
      </c>
      <c r="W161" s="144" t="s">
        <v>545</v>
      </c>
      <c r="X161" s="96" t="s">
        <v>480</v>
      </c>
      <c r="Y161" s="96" t="s">
        <v>481</v>
      </c>
      <c r="Z161" s="96" t="s">
        <v>482</v>
      </c>
      <c r="AA161" s="96" t="s">
        <v>483</v>
      </c>
      <c r="AB161" s="96" t="s">
        <v>484</v>
      </c>
      <c r="AC161" s="96" t="s">
        <v>485</v>
      </c>
      <c r="AD161" s="96" t="s">
        <v>487</v>
      </c>
      <c r="AE161" s="96" t="s">
        <v>486</v>
      </c>
      <c r="AF161" s="97">
        <f>ROUND(H164,0)</f>
        <v>1000</v>
      </c>
      <c r="AG161" s="157" t="s">
        <v>546</v>
      </c>
      <c r="AH161" s="146" t="s">
        <v>546</v>
      </c>
    </row>
    <row r="162" spans="1:34" x14ac:dyDescent="0.15">
      <c r="A162" s="14" t="s">
        <v>258</v>
      </c>
      <c r="B162" s="3"/>
      <c r="C162" s="263" t="str">
        <f>$C$8</f>
        <v>2018 ok</v>
      </c>
      <c r="D162" s="3"/>
      <c r="E162" s="4"/>
      <c r="F162" s="18"/>
      <c r="G162" s="32" t="s">
        <v>243</v>
      </c>
      <c r="H162" s="53" t="s">
        <v>266</v>
      </c>
      <c r="I162" s="53" t="s">
        <v>267</v>
      </c>
      <c r="J162" s="53" t="s">
        <v>266</v>
      </c>
      <c r="K162" s="53" t="s">
        <v>267</v>
      </c>
      <c r="L162" s="27" t="s">
        <v>240</v>
      </c>
      <c r="M162" s="23">
        <v>0</v>
      </c>
      <c r="N162" s="23">
        <f t="shared" ref="N162:U162" si="252">X162</f>
        <v>25</v>
      </c>
      <c r="O162" s="22">
        <f t="shared" si="252"/>
        <v>20</v>
      </c>
      <c r="P162" s="23">
        <f t="shared" si="252"/>
        <v>15</v>
      </c>
      <c r="Q162" s="23">
        <f t="shared" si="252"/>
        <v>9.1</v>
      </c>
      <c r="R162" s="23">
        <f t="shared" si="252"/>
        <v>7.5</v>
      </c>
      <c r="S162" s="23">
        <f t="shared" si="252"/>
        <v>6.3</v>
      </c>
      <c r="T162" s="23">
        <f t="shared" si="252"/>
        <v>5.3</v>
      </c>
      <c r="U162" s="23">
        <f t="shared" si="252"/>
        <v>4.5999999999999996</v>
      </c>
      <c r="V162" s="23" t="str">
        <f>K162</f>
        <v>Enlig med børn:</v>
      </c>
      <c r="W162" s="144" t="s">
        <v>240</v>
      </c>
      <c r="X162" s="23">
        <f t="shared" ref="X162:AE162" si="253">ROUND(X164*100/M164,1)</f>
        <v>25</v>
      </c>
      <c r="Y162" s="23">
        <f t="shared" si="253"/>
        <v>20</v>
      </c>
      <c r="Z162" s="23">
        <f t="shared" si="253"/>
        <v>15</v>
      </c>
      <c r="AA162" s="23">
        <f t="shared" si="253"/>
        <v>9.1</v>
      </c>
      <c r="AB162" s="23">
        <f t="shared" si="253"/>
        <v>7.5</v>
      </c>
      <c r="AC162" s="23">
        <f t="shared" si="253"/>
        <v>6.3</v>
      </c>
      <c r="AD162" s="23">
        <f t="shared" si="253"/>
        <v>5.3</v>
      </c>
      <c r="AE162" s="23">
        <f t="shared" si="253"/>
        <v>4.5999999999999996</v>
      </c>
      <c r="AF162" s="97" t="str">
        <f>M162&amp;"; "&amp;N162&amp;"; "&amp;O162&amp;"; "&amp;P162&amp;"; "&amp;Q162&amp;"; "&amp;R162&amp;"; "&amp;S162&amp;"; "&amp;T162&amp;"; "&amp;U162</f>
        <v>0; 25; 20; 15; 9,1; 7,5; 6,3; 5,3; 4,6</v>
      </c>
      <c r="AG162" s="157" t="s">
        <v>546</v>
      </c>
      <c r="AH162" s="146" t="s">
        <v>546</v>
      </c>
    </row>
    <row r="163" spans="1:34" x14ac:dyDescent="0.15">
      <c r="A163" s="140" t="str">
        <f>$A$9</f>
        <v>Forbrugsenheder</v>
      </c>
      <c r="B163" s="3"/>
      <c r="C163" s="263"/>
      <c r="D163" s="3"/>
      <c r="E163" s="4"/>
      <c r="F163" s="18"/>
      <c r="G163" s="289" t="str">
        <f>A163</f>
        <v>Forbrugsenheder</v>
      </c>
      <c r="H163" s="286">
        <v>0.31708451359235612</v>
      </c>
      <c r="I163" s="286">
        <v>0.47562677038853418</v>
      </c>
      <c r="J163" s="53"/>
      <c r="K163" s="53"/>
      <c r="L163" s="27"/>
      <c r="M163" s="23"/>
      <c r="N163" s="23"/>
      <c r="O163" s="22"/>
      <c r="P163" s="23"/>
      <c r="Q163" s="23"/>
      <c r="R163" s="23"/>
      <c r="S163" s="23"/>
      <c r="T163" s="23"/>
      <c r="U163" s="23"/>
      <c r="V163" s="23"/>
      <c r="W163" s="144"/>
      <c r="X163" s="23"/>
      <c r="Y163" s="23"/>
      <c r="Z163" s="23"/>
      <c r="AA163" s="23"/>
      <c r="AB163" s="23"/>
      <c r="AC163" s="23"/>
      <c r="AD163" s="23"/>
      <c r="AE163" s="23"/>
      <c r="AF163" s="97"/>
      <c r="AG163" s="157"/>
      <c r="AH163" s="146"/>
    </row>
    <row r="164" spans="1:34" x14ac:dyDescent="0.15">
      <c r="A164" s="3" t="s">
        <v>738</v>
      </c>
      <c r="B164" s="3"/>
      <c r="C164" s="46" t="s">
        <v>234</v>
      </c>
      <c r="D164" s="3" t="s">
        <v>717</v>
      </c>
      <c r="E164" s="9">
        <f>IF(Data!$E$4=1,F164,IF(Data!$E$4=2,0,0))</f>
        <v>0</v>
      </c>
      <c r="F164" s="9">
        <f>IF(Data!$E$5=0,M164,IF(Data!$E$5=1,N164,IF(Data!$E$5=2,O164,IF(Data!$E$5=3,P164,IF(Data!$E$5=4,Q164,IF(Data!$E$5=5,R164,IF(Data!$E$5=6,S164,IF(Data!$E$5=7,T164,U164))))))))</f>
        <v>1250</v>
      </c>
      <c r="G164" s="9"/>
      <c r="H164" s="6">
        <f>G169*H163</f>
        <v>1000</v>
      </c>
      <c r="I164" s="6">
        <f>G169*I163</f>
        <v>1500</v>
      </c>
      <c r="J164" s="6">
        <f>H164*$C$4/$K$2</f>
        <v>300</v>
      </c>
      <c r="K164" s="6">
        <f>I164*$C$4/$M$2</f>
        <v>300</v>
      </c>
      <c r="L164" s="27" t="s">
        <v>241</v>
      </c>
      <c r="M164" s="6">
        <f>H164</f>
        <v>1000</v>
      </c>
      <c r="N164" s="6">
        <f t="shared" ref="N164:U164" si="254">M164+M164*N162%</f>
        <v>1250</v>
      </c>
      <c r="O164" s="33">
        <f t="shared" si="254"/>
        <v>1500</v>
      </c>
      <c r="P164" s="6">
        <f t="shared" si="254"/>
        <v>1725</v>
      </c>
      <c r="Q164" s="6">
        <f t="shared" si="254"/>
        <v>1881.9749999999999</v>
      </c>
      <c r="R164" s="6">
        <f t="shared" si="254"/>
        <v>2023.1231249999998</v>
      </c>
      <c r="S164" s="6">
        <f t="shared" si="254"/>
        <v>2150.579881875</v>
      </c>
      <c r="T164" s="6">
        <f t="shared" si="254"/>
        <v>2264.5606156143749</v>
      </c>
      <c r="U164" s="6">
        <f t="shared" si="254"/>
        <v>2368.7304039326364</v>
      </c>
      <c r="V164" s="6">
        <f>K164</f>
        <v>300</v>
      </c>
      <c r="W164" s="144" t="s">
        <v>533</v>
      </c>
      <c r="X164" s="144">
        <f>(I164-H164)/2</f>
        <v>250</v>
      </c>
      <c r="Y164" s="144">
        <f>I164-(H164+X164)</f>
        <v>250</v>
      </c>
      <c r="Z164" s="6">
        <f>Y164*90%</f>
        <v>225</v>
      </c>
      <c r="AA164" s="6">
        <f>Z164*70%</f>
        <v>157.5</v>
      </c>
      <c r="AB164" s="6">
        <f>AA164*90%</f>
        <v>141.75</v>
      </c>
      <c r="AC164" s="6">
        <f>AB164*90%</f>
        <v>127.575</v>
      </c>
      <c r="AD164" s="6">
        <f>AC164*90%</f>
        <v>114.81750000000001</v>
      </c>
      <c r="AE164" s="6">
        <f>AD164*90%</f>
        <v>103.33575</v>
      </c>
      <c r="AF164" s="98">
        <f>ROUND(H167,0)</f>
        <v>2000</v>
      </c>
      <c r="AG164" s="157" t="s">
        <v>546</v>
      </c>
      <c r="AH164" s="146" t="s">
        <v>546</v>
      </c>
    </row>
    <row r="165" spans="1:34" x14ac:dyDescent="0.15">
      <c r="A165" s="3"/>
      <c r="B165" s="3"/>
      <c r="C165" s="46"/>
      <c r="D165" s="3"/>
      <c r="E165" s="14"/>
      <c r="F165" s="18"/>
      <c r="G165" s="3"/>
      <c r="H165" s="53" t="s">
        <v>339</v>
      </c>
      <c r="I165" s="53" t="s">
        <v>338</v>
      </c>
      <c r="J165" s="53" t="s">
        <v>339</v>
      </c>
      <c r="K165" s="53" t="s">
        <v>338</v>
      </c>
      <c r="L165" s="27" t="s">
        <v>240</v>
      </c>
      <c r="M165" s="23">
        <v>0</v>
      </c>
      <c r="N165" s="23">
        <f t="shared" ref="N165:U165" si="255">X165</f>
        <v>25</v>
      </c>
      <c r="O165" s="23">
        <f t="shared" si="255"/>
        <v>20</v>
      </c>
      <c r="P165" s="23">
        <f t="shared" si="255"/>
        <v>15</v>
      </c>
      <c r="Q165" s="23">
        <f t="shared" si="255"/>
        <v>9.1</v>
      </c>
      <c r="R165" s="23">
        <f t="shared" si="255"/>
        <v>7.5</v>
      </c>
      <c r="S165" s="23">
        <f t="shared" si="255"/>
        <v>6.3</v>
      </c>
      <c r="T165" s="23">
        <f t="shared" si="255"/>
        <v>5.3</v>
      </c>
      <c r="U165" s="23">
        <f t="shared" si="255"/>
        <v>4.5999999999999996</v>
      </c>
      <c r="V165" s="23" t="str">
        <f>K165</f>
        <v>2 v med børn:</v>
      </c>
      <c r="W165" s="144" t="s">
        <v>240</v>
      </c>
      <c r="X165" s="23">
        <f t="shared" ref="X165:AE165" si="256">ROUND(X167*100/M167,1)</f>
        <v>25</v>
      </c>
      <c r="Y165" s="23">
        <f t="shared" si="256"/>
        <v>20</v>
      </c>
      <c r="Z165" s="23">
        <f t="shared" si="256"/>
        <v>15</v>
      </c>
      <c r="AA165" s="23">
        <f t="shared" si="256"/>
        <v>9.1</v>
      </c>
      <c r="AB165" s="23">
        <f t="shared" si="256"/>
        <v>7.5</v>
      </c>
      <c r="AC165" s="23">
        <f t="shared" si="256"/>
        <v>6.3</v>
      </c>
      <c r="AD165" s="23">
        <f t="shared" si="256"/>
        <v>5.3</v>
      </c>
      <c r="AE165" s="23">
        <f t="shared" si="256"/>
        <v>4.5999999999999996</v>
      </c>
      <c r="AF165" s="97" t="str">
        <f>M165&amp;"; "&amp;N165&amp;"; "&amp;O165&amp;"; "&amp;P165&amp;"; "&amp;Q165&amp;"; "&amp;R165&amp;"; "&amp;S165&amp;"; "&amp;T165&amp;"; "&amp;U165</f>
        <v>0; 25; 20; 15; 9,1; 7,5; 6,3; 5,3; 4,6</v>
      </c>
      <c r="AG165" s="157" t="s">
        <v>546</v>
      </c>
      <c r="AH165" s="146" t="s">
        <v>546</v>
      </c>
    </row>
    <row r="166" spans="1:34" x14ac:dyDescent="0.15">
      <c r="A166" s="140" t="str">
        <f>$A$9</f>
        <v>Forbrugsenheder</v>
      </c>
      <c r="B166" s="3"/>
      <c r="C166" s="46"/>
      <c r="D166" s="3"/>
      <c r="E166" s="14"/>
      <c r="F166" s="18"/>
      <c r="G166" s="289" t="str">
        <f>A166</f>
        <v>Forbrugsenheder</v>
      </c>
      <c r="H166" s="286">
        <v>0.63416902718471224</v>
      </c>
      <c r="I166" s="286">
        <v>0.95125354077706836</v>
      </c>
      <c r="J166" s="53"/>
      <c r="K166" s="53"/>
      <c r="L166" s="27"/>
      <c r="M166" s="23"/>
      <c r="N166" s="23"/>
      <c r="O166" s="23"/>
      <c r="P166" s="23"/>
      <c r="Q166" s="23"/>
      <c r="R166" s="23"/>
      <c r="S166" s="23"/>
      <c r="T166" s="23"/>
      <c r="U166" s="23"/>
      <c r="V166" s="23"/>
      <c r="W166" s="144"/>
      <c r="X166" s="23"/>
      <c r="Y166" s="23"/>
      <c r="Z166" s="23"/>
      <c r="AA166" s="23"/>
      <c r="AB166" s="23"/>
      <c r="AC166" s="23"/>
      <c r="AD166" s="23"/>
      <c r="AE166" s="23"/>
      <c r="AF166" s="97"/>
      <c r="AG166" s="157"/>
      <c r="AH166" s="146"/>
    </row>
    <row r="167" spans="1:34" x14ac:dyDescent="0.15">
      <c r="A167" s="3" t="s">
        <v>388</v>
      </c>
      <c r="B167" s="9">
        <f>(H167/1.5)*0.5</f>
        <v>666.66666666666663</v>
      </c>
      <c r="C167" s="46" t="s">
        <v>235</v>
      </c>
      <c r="D167" s="3" t="s">
        <v>718</v>
      </c>
      <c r="E167" s="9">
        <f>IF(Data!$E$4=1,0,IF(Data!$E$4=2,F167,F167+B167*Data!G4))</f>
        <v>2500</v>
      </c>
      <c r="F167" s="9">
        <f>IF(Data!$E$5=0,M167,IF(Data!$E$5=1,N167,IF(Data!$E$5=2,O167,IF(Data!$E$5=3,P167,IF(Data!$E$5=4,Q167,IF(Data!$E$5=5,R167,IF(Data!$E$5=6,S167,IF(Data!$E$5=7,T167,U167))))))))</f>
        <v>2500</v>
      </c>
      <c r="G167" s="9"/>
      <c r="H167" s="6">
        <f>G169*H166</f>
        <v>2000</v>
      </c>
      <c r="I167" s="6">
        <f>G169*I166</f>
        <v>3000</v>
      </c>
      <c r="J167" s="6">
        <f>H167*$C$4/$K$3</f>
        <v>400</v>
      </c>
      <c r="K167" s="6">
        <f>I167*$C$4/$M$3</f>
        <v>428.57142857142856</v>
      </c>
      <c r="L167" s="27" t="s">
        <v>241</v>
      </c>
      <c r="M167" s="6">
        <f>H167</f>
        <v>2000</v>
      </c>
      <c r="N167" s="6">
        <f t="shared" ref="N167:U167" si="257">M167+M167*N165%</f>
        <v>2500</v>
      </c>
      <c r="O167" s="33">
        <f t="shared" si="257"/>
        <v>3000</v>
      </c>
      <c r="P167" s="6">
        <f t="shared" si="257"/>
        <v>3450</v>
      </c>
      <c r="Q167" s="6">
        <f t="shared" si="257"/>
        <v>3763.95</v>
      </c>
      <c r="R167" s="6">
        <f t="shared" si="257"/>
        <v>4046.2462499999997</v>
      </c>
      <c r="S167" s="6">
        <f t="shared" si="257"/>
        <v>4301.1597637499999</v>
      </c>
      <c r="T167" s="6">
        <f t="shared" si="257"/>
        <v>4529.1212312287498</v>
      </c>
      <c r="U167" s="6">
        <f t="shared" si="257"/>
        <v>4737.4608078652727</v>
      </c>
      <c r="V167" s="6">
        <f>K167</f>
        <v>428.57142857142856</v>
      </c>
      <c r="W167" s="144" t="s">
        <v>533</v>
      </c>
      <c r="X167" s="144">
        <f>(I167-H167)/2</f>
        <v>500</v>
      </c>
      <c r="Y167" s="144">
        <f>I167-(H167+X167)</f>
        <v>500</v>
      </c>
      <c r="Z167" s="6">
        <f>Y167*90%</f>
        <v>450</v>
      </c>
      <c r="AA167" s="6">
        <f>Z167*70%</f>
        <v>315</v>
      </c>
      <c r="AB167" s="6">
        <f>AA167*90%</f>
        <v>283.5</v>
      </c>
      <c r="AC167" s="6">
        <f>AB167*90%</f>
        <v>255.15</v>
      </c>
      <c r="AD167" s="6">
        <f>AC167*90%</f>
        <v>229.63500000000002</v>
      </c>
      <c r="AE167" s="6">
        <f>AD167*90%</f>
        <v>206.67150000000001</v>
      </c>
      <c r="AF167" s="97">
        <f>ROUND(B167,0)</f>
        <v>667</v>
      </c>
      <c r="AG167" s="157" t="s">
        <v>546</v>
      </c>
      <c r="AH167" s="146" t="s">
        <v>546</v>
      </c>
    </row>
    <row r="168" spans="1:34" ht="14" thickBot="1" x14ac:dyDescent="0.2">
      <c r="A168" s="3"/>
      <c r="B168" s="3"/>
      <c r="C168" s="3"/>
      <c r="D168" s="37" t="s">
        <v>225</v>
      </c>
      <c r="E168" s="28">
        <f>IF(Data!$E$4=0,0,IF(Data!$E$4=1,E164,IF(Data!$E$4=2,E167,E167)))</f>
        <v>2500</v>
      </c>
      <c r="F168" s="29"/>
      <c r="G168" s="291">
        <v>4730.6000000000004</v>
      </c>
      <c r="H168" s="284" t="str">
        <f>$H$14</f>
        <v>Forbrugsenheder aktuelt:</v>
      </c>
      <c r="I168" s="284" t="str">
        <f>$I$14</f>
        <v>I alt efter forbrugsenheder:</v>
      </c>
      <c r="J168" s="34"/>
      <c r="K168" s="34"/>
      <c r="L168" s="24"/>
      <c r="M168" s="6"/>
      <c r="N168" s="6"/>
      <c r="O168" s="6"/>
      <c r="P168" s="6"/>
      <c r="Q168" s="6"/>
      <c r="R168" s="6"/>
      <c r="S168" s="6"/>
      <c r="T168" s="6"/>
      <c r="U168" s="6"/>
      <c r="V168" s="6"/>
      <c r="W168" s="144"/>
      <c r="X168" s="6"/>
      <c r="Y168" s="3"/>
      <c r="Z168" s="3"/>
      <c r="AA168" s="3"/>
      <c r="AB168" s="3"/>
      <c r="AC168" s="3"/>
      <c r="AD168" s="3"/>
      <c r="AE168" s="3"/>
      <c r="AF168" s="9"/>
      <c r="AG168" s="157" t="s">
        <v>546</v>
      </c>
      <c r="AH168" s="146" t="s">
        <v>546</v>
      </c>
    </row>
    <row r="169" spans="1:34" x14ac:dyDescent="0.15">
      <c r="A169" s="3"/>
      <c r="B169" s="3"/>
      <c r="C169" s="149"/>
      <c r="D169" s="150" t="s">
        <v>560</v>
      </c>
      <c r="E169" s="151">
        <f>E168/$AJ$11</f>
        <v>1388.8888888888889</v>
      </c>
      <c r="F169" s="152"/>
      <c r="G169" s="292">
        <f>G168/$M$4</f>
        <v>3153.7333333333336</v>
      </c>
      <c r="H169" s="286">
        <f>$AJ$11</f>
        <v>1.8</v>
      </c>
      <c r="I169" s="284">
        <f>H169*G169</f>
        <v>5676.72</v>
      </c>
      <c r="J169" s="153"/>
      <c r="K169" s="153"/>
      <c r="L169" s="154"/>
      <c r="M169" s="153"/>
      <c r="N169" s="153"/>
      <c r="O169" s="153"/>
      <c r="P169" s="153"/>
      <c r="Q169" s="153"/>
      <c r="R169" s="153"/>
      <c r="S169" s="153"/>
      <c r="T169" s="153"/>
      <c r="U169" s="153"/>
      <c r="V169" s="153"/>
      <c r="W169" s="155"/>
      <c r="X169" s="153"/>
      <c r="Y169" s="156"/>
      <c r="Z169" s="156"/>
      <c r="AA169" s="156"/>
      <c r="AB169" s="156"/>
      <c r="AC169" s="156"/>
      <c r="AD169" s="156"/>
      <c r="AE169" s="156"/>
      <c r="AF169" s="160"/>
      <c r="AG169" s="157" t="s">
        <v>546</v>
      </c>
      <c r="AH169" s="146"/>
    </row>
    <row r="170" spans="1:34" ht="14" thickBot="1" x14ac:dyDescent="0.2">
      <c r="A170" s="250"/>
      <c r="B170" s="250"/>
      <c r="C170" s="250"/>
      <c r="D170" s="248" t="s">
        <v>737</v>
      </c>
      <c r="E170" s="249">
        <f>E168/12</f>
        <v>208.33333333333334</v>
      </c>
      <c r="F170" s="3"/>
      <c r="G170" s="3"/>
      <c r="H170" s="3"/>
      <c r="I170" s="3"/>
      <c r="J170" s="3"/>
      <c r="K170" s="3"/>
      <c r="L170" s="3"/>
      <c r="M170" s="3"/>
      <c r="N170" s="3"/>
      <c r="O170" s="3"/>
      <c r="P170" s="3"/>
      <c r="Q170" s="3"/>
      <c r="R170" s="3"/>
      <c r="S170" s="3"/>
      <c r="T170" s="3"/>
      <c r="U170" s="3"/>
      <c r="V170" s="3"/>
      <c r="W170" s="144"/>
      <c r="X170" s="3"/>
      <c r="Y170" s="3"/>
      <c r="Z170" s="3"/>
      <c r="AA170" s="3"/>
      <c r="AB170" s="3"/>
      <c r="AC170" s="3"/>
      <c r="AD170" s="3"/>
      <c r="AE170" s="3"/>
      <c r="AF170" s="9"/>
      <c r="AG170" s="157" t="s">
        <v>546</v>
      </c>
      <c r="AH170" s="146" t="s">
        <v>546</v>
      </c>
    </row>
    <row r="171" spans="1:34" x14ac:dyDescent="0.15">
      <c r="A171" s="3"/>
      <c r="B171" s="3"/>
      <c r="C171" s="3"/>
      <c r="D171" s="3"/>
      <c r="E171" s="3"/>
      <c r="F171" s="3"/>
      <c r="G171" s="3"/>
      <c r="H171" s="3"/>
      <c r="I171" s="3"/>
      <c r="J171" s="3"/>
      <c r="K171" s="3"/>
      <c r="L171" s="3"/>
      <c r="M171" s="3"/>
      <c r="N171" s="3"/>
      <c r="O171" s="3"/>
      <c r="P171" s="3"/>
      <c r="Q171" s="3"/>
      <c r="R171" s="3"/>
      <c r="S171" s="3"/>
      <c r="T171" s="3"/>
      <c r="U171" s="3"/>
      <c r="V171" s="3"/>
      <c r="W171" s="144"/>
      <c r="X171" s="3"/>
      <c r="Y171" s="3"/>
      <c r="Z171" s="3"/>
      <c r="AA171" s="3"/>
      <c r="AB171" s="3"/>
      <c r="AC171" s="3"/>
      <c r="AD171" s="3"/>
      <c r="AE171" s="3"/>
      <c r="AF171" s="9"/>
      <c r="AG171" s="157"/>
      <c r="AH171" s="146"/>
    </row>
    <row r="172" spans="1:34" ht="14" thickBot="1" x14ac:dyDescent="0.2">
      <c r="A172" s="3"/>
      <c r="B172" s="3"/>
      <c r="C172" s="3"/>
      <c r="D172" s="43"/>
      <c r="E172" s="32"/>
      <c r="F172" s="9"/>
      <c r="G172" s="32"/>
      <c r="H172" s="145" t="s">
        <v>396</v>
      </c>
      <c r="I172" s="145" t="s">
        <v>397</v>
      </c>
      <c r="J172" s="141" t="s">
        <v>543</v>
      </c>
      <c r="K172" s="68"/>
      <c r="L172" s="24" t="s">
        <v>239</v>
      </c>
      <c r="M172" s="25">
        <v>0</v>
      </c>
      <c r="N172" s="25">
        <f t="shared" ref="N172:U172" si="258">M172+1</f>
        <v>1</v>
      </c>
      <c r="O172" s="26">
        <f t="shared" si="258"/>
        <v>2</v>
      </c>
      <c r="P172" s="25">
        <f t="shared" si="258"/>
        <v>3</v>
      </c>
      <c r="Q172" s="25">
        <f t="shared" si="258"/>
        <v>4</v>
      </c>
      <c r="R172" s="25">
        <f t="shared" si="258"/>
        <v>5</v>
      </c>
      <c r="S172" s="25">
        <f t="shared" si="258"/>
        <v>6</v>
      </c>
      <c r="T172" s="25">
        <f t="shared" si="258"/>
        <v>7</v>
      </c>
      <c r="U172" s="25">
        <f t="shared" si="258"/>
        <v>8</v>
      </c>
      <c r="V172" s="141" t="s">
        <v>542</v>
      </c>
      <c r="W172" s="144" t="s">
        <v>545</v>
      </c>
      <c r="X172" s="96" t="s">
        <v>480</v>
      </c>
      <c r="Y172" s="96" t="s">
        <v>481</v>
      </c>
      <c r="Z172" s="96" t="s">
        <v>482</v>
      </c>
      <c r="AA172" s="96" t="s">
        <v>483</v>
      </c>
      <c r="AB172" s="96" t="s">
        <v>484</v>
      </c>
      <c r="AC172" s="96" t="s">
        <v>485</v>
      </c>
      <c r="AD172" s="96" t="s">
        <v>487</v>
      </c>
      <c r="AE172" s="96" t="s">
        <v>486</v>
      </c>
      <c r="AF172" s="97">
        <f>ROUND(H175,0)</f>
        <v>1861</v>
      </c>
      <c r="AG172" s="157" t="s">
        <v>546</v>
      </c>
      <c r="AH172" s="146" t="s">
        <v>546</v>
      </c>
    </row>
    <row r="173" spans="1:34" x14ac:dyDescent="0.15">
      <c r="A173" s="14" t="s">
        <v>532</v>
      </c>
      <c r="B173" s="3"/>
      <c r="C173" s="263" t="str">
        <f>$C$8</f>
        <v>2018 ok</v>
      </c>
      <c r="D173" s="3"/>
      <c r="E173" s="4"/>
      <c r="F173" s="18"/>
      <c r="G173" s="32" t="s">
        <v>243</v>
      </c>
      <c r="H173" s="53" t="s">
        <v>266</v>
      </c>
      <c r="I173" s="53" t="s">
        <v>267</v>
      </c>
      <c r="J173" s="53" t="s">
        <v>266</v>
      </c>
      <c r="K173" s="53" t="s">
        <v>267</v>
      </c>
      <c r="L173" s="27" t="s">
        <v>240</v>
      </c>
      <c r="M173" s="23">
        <v>0</v>
      </c>
      <c r="N173" s="23">
        <f t="shared" ref="N173:U173" si="259">X173</f>
        <v>-16.8</v>
      </c>
      <c r="O173" s="22">
        <f t="shared" si="259"/>
        <v>-20.2</v>
      </c>
      <c r="P173" s="23">
        <f t="shared" si="259"/>
        <v>-17.7</v>
      </c>
      <c r="Q173" s="23">
        <f t="shared" si="259"/>
        <v>-15.1</v>
      </c>
      <c r="R173" s="23">
        <f t="shared" si="259"/>
        <v>-12.4</v>
      </c>
      <c r="S173" s="23">
        <f t="shared" si="259"/>
        <v>-9.9</v>
      </c>
      <c r="T173" s="23">
        <f t="shared" si="259"/>
        <v>-7.7</v>
      </c>
      <c r="U173" s="23">
        <f t="shared" si="259"/>
        <v>-5.8</v>
      </c>
      <c r="V173" s="23" t="str">
        <f>K173</f>
        <v>Enlig med børn:</v>
      </c>
      <c r="W173" s="144" t="s">
        <v>240</v>
      </c>
      <c r="X173" s="23">
        <f t="shared" ref="X173:AE173" si="260">ROUND(X175*100/M175,1)</f>
        <v>-16.8</v>
      </c>
      <c r="Y173" s="23">
        <f t="shared" si="260"/>
        <v>-20.2</v>
      </c>
      <c r="Z173" s="23">
        <f t="shared" si="260"/>
        <v>-17.7</v>
      </c>
      <c r="AA173" s="23">
        <f t="shared" si="260"/>
        <v>-15.1</v>
      </c>
      <c r="AB173" s="23">
        <f t="shared" si="260"/>
        <v>-12.4</v>
      </c>
      <c r="AC173" s="23">
        <f t="shared" si="260"/>
        <v>-9.9</v>
      </c>
      <c r="AD173" s="23">
        <f t="shared" si="260"/>
        <v>-7.7</v>
      </c>
      <c r="AE173" s="23">
        <f t="shared" si="260"/>
        <v>-5.8</v>
      </c>
      <c r="AF173" s="97" t="str">
        <f>M173&amp;"; "&amp;N173&amp;"; "&amp;O173&amp;"; "&amp;P173&amp;"; "&amp;Q173&amp;"; "&amp;R173&amp;"; "&amp;S173&amp;"; "&amp;T173&amp;"; "&amp;U173</f>
        <v>0; -16,8; -20,2; -17,7; -15,1; -12,4; -9,9; -7,7; -5,8</v>
      </c>
      <c r="AG173" s="157" t="s">
        <v>546</v>
      </c>
      <c r="AH173" s="146" t="s">
        <v>546</v>
      </c>
    </row>
    <row r="174" spans="1:34" x14ac:dyDescent="0.15">
      <c r="A174" s="140" t="str">
        <f>$A$9</f>
        <v>Forbrugsenheder</v>
      </c>
      <c r="B174" s="3"/>
      <c r="C174" s="263"/>
      <c r="D174" s="3"/>
      <c r="E174" s="4"/>
      <c r="F174" s="18"/>
      <c r="G174" s="289" t="str">
        <f>A174</f>
        <v>Forbrugsenheder</v>
      </c>
      <c r="H174" s="286">
        <v>0.55837361168243527</v>
      </c>
      <c r="I174" s="286">
        <v>0.37079648292883588</v>
      </c>
      <c r="J174" s="53"/>
      <c r="K174" s="53"/>
      <c r="L174" s="27"/>
      <c r="M174" s="23"/>
      <c r="N174" s="23"/>
      <c r="O174" s="22"/>
      <c r="P174" s="23"/>
      <c r="Q174" s="23"/>
      <c r="R174" s="23"/>
      <c r="S174" s="23"/>
      <c r="T174" s="23"/>
      <c r="U174" s="23"/>
      <c r="V174" s="23"/>
      <c r="W174" s="144"/>
      <c r="X174" s="23"/>
      <c r="Y174" s="23"/>
      <c r="Z174" s="23"/>
      <c r="AA174" s="23"/>
      <c r="AB174" s="23"/>
      <c r="AC174" s="23"/>
      <c r="AD174" s="23"/>
      <c r="AE174" s="23"/>
      <c r="AF174" s="97"/>
      <c r="AG174" s="157"/>
      <c r="AH174" s="146"/>
    </row>
    <row r="175" spans="1:34" x14ac:dyDescent="0.15">
      <c r="A175" s="3" t="s">
        <v>738</v>
      </c>
      <c r="B175" s="3"/>
      <c r="C175" s="46" t="s">
        <v>234</v>
      </c>
      <c r="D175" s="3" t="s">
        <v>489</v>
      </c>
      <c r="E175" s="9">
        <f>IF(Data!$E$4=1,F175,IF(Data!$E$4=2,0,0))</f>
        <v>0</v>
      </c>
      <c r="F175" s="9">
        <f>IF(Data!$E$5=0,M175,IF(Data!$E$5=1,N175,IF(Data!$E$5=2,O175,IF(Data!$E$5=3,P175,IF(Data!$E$5=4,Q175,IF(Data!$E$5=5,R175,IF(Data!$E$5=6,S175,IF(Data!$E$5=7,T175,U175))))))))</f>
        <v>1548.5561497326205</v>
      </c>
      <c r="G175" s="9"/>
      <c r="H175" s="6">
        <f>G180*H174</f>
        <v>1861.2453722747844</v>
      </c>
      <c r="I175" s="6">
        <f>G180*I174</f>
        <v>1235.988276429453</v>
      </c>
      <c r="J175" s="6">
        <f>H175*$C$4/$K$2</f>
        <v>558.37361168243524</v>
      </c>
      <c r="K175" s="6">
        <f>I175*$C$4/$M$2</f>
        <v>247.19765528589059</v>
      </c>
      <c r="L175" s="27" t="s">
        <v>241</v>
      </c>
      <c r="M175" s="6">
        <f>H175</f>
        <v>1861.2453722747844</v>
      </c>
      <c r="N175" s="6">
        <f t="shared" ref="N175:U175" si="261">M175+M175*N173%</f>
        <v>1548.5561497326205</v>
      </c>
      <c r="O175" s="33">
        <f t="shared" si="261"/>
        <v>1235.7478074866312</v>
      </c>
      <c r="P175" s="6">
        <f t="shared" si="261"/>
        <v>1017.0204455614976</v>
      </c>
      <c r="Q175" s="6">
        <f t="shared" si="261"/>
        <v>863.45035828171149</v>
      </c>
      <c r="R175" s="6">
        <f t="shared" si="261"/>
        <v>756.38251385477929</v>
      </c>
      <c r="S175" s="6">
        <f t="shared" si="261"/>
        <v>681.50064498315612</v>
      </c>
      <c r="T175" s="6">
        <f>S175+S175*T173%</f>
        <v>629.02509531945316</v>
      </c>
      <c r="U175" s="6">
        <f t="shared" si="261"/>
        <v>592.54163979092482</v>
      </c>
      <c r="V175" s="6">
        <f>K175</f>
        <v>247.19765528589059</v>
      </c>
      <c r="W175" s="144" t="s">
        <v>533</v>
      </c>
      <c r="X175" s="144">
        <f>(I175-H175)/2</f>
        <v>-312.62854792266569</v>
      </c>
      <c r="Y175" s="144">
        <f>I175-(H175+X175)</f>
        <v>-312.6285479226658</v>
      </c>
      <c r="Z175" s="6">
        <f t="shared" ref="Z175:AE175" si="262">Y175*70%</f>
        <v>-218.83998354586606</v>
      </c>
      <c r="AA175" s="6">
        <f t="shared" si="262"/>
        <v>-153.18798848210622</v>
      </c>
      <c r="AB175" s="6">
        <f t="shared" si="262"/>
        <v>-107.23159193747435</v>
      </c>
      <c r="AC175" s="6">
        <f t="shared" si="262"/>
        <v>-75.062114356232044</v>
      </c>
      <c r="AD175" s="6">
        <f t="shared" si="262"/>
        <v>-52.543480049362429</v>
      </c>
      <c r="AE175" s="6">
        <f t="shared" si="262"/>
        <v>-36.780436034553695</v>
      </c>
      <c r="AF175" s="98">
        <f>ROUND(H178,0)</f>
        <v>5089</v>
      </c>
      <c r="AG175" s="157" t="s">
        <v>546</v>
      </c>
      <c r="AH175" s="146" t="s">
        <v>546</v>
      </c>
    </row>
    <row r="176" spans="1:34" x14ac:dyDescent="0.15">
      <c r="A176" s="3"/>
      <c r="B176" s="3"/>
      <c r="C176" s="46"/>
      <c r="D176" s="3"/>
      <c r="E176" s="14"/>
      <c r="F176" s="18"/>
      <c r="G176" s="3"/>
      <c r="H176" s="53" t="s">
        <v>339</v>
      </c>
      <c r="I176" s="243" t="s">
        <v>338</v>
      </c>
      <c r="J176" s="53" t="s">
        <v>339</v>
      </c>
      <c r="K176" s="53" t="s">
        <v>338</v>
      </c>
      <c r="L176" s="27" t="s">
        <v>240</v>
      </c>
      <c r="M176" s="23">
        <v>0</v>
      </c>
      <c r="N176" s="23">
        <f t="shared" ref="N176:U176" si="263">X176</f>
        <v>-30.3</v>
      </c>
      <c r="O176" s="23">
        <f t="shared" si="263"/>
        <v>-43.5</v>
      </c>
      <c r="P176" s="23">
        <f t="shared" si="263"/>
        <v>-23.1</v>
      </c>
      <c r="Q176" s="23">
        <f t="shared" si="263"/>
        <v>-9</v>
      </c>
      <c r="R176" s="23">
        <f t="shared" si="263"/>
        <v>-3</v>
      </c>
      <c r="S176" s="23">
        <f t="shared" si="263"/>
        <v>-0.9</v>
      </c>
      <c r="T176" s="23">
        <f t="shared" si="263"/>
        <v>-0.3</v>
      </c>
      <c r="U176" s="23">
        <f t="shared" si="263"/>
        <v>-0.1</v>
      </c>
      <c r="V176" s="23" t="str">
        <f>K176</f>
        <v>2 v med børn:</v>
      </c>
      <c r="W176" s="144" t="s">
        <v>240</v>
      </c>
      <c r="X176" s="23">
        <f t="shared" ref="X176:AE176" si="264">ROUND(X178*100/M178,1)</f>
        <v>-30.3</v>
      </c>
      <c r="Y176" s="23">
        <f t="shared" si="264"/>
        <v>-43.5</v>
      </c>
      <c r="Z176" s="23">
        <f t="shared" si="264"/>
        <v>-23.1</v>
      </c>
      <c r="AA176" s="23">
        <f t="shared" si="264"/>
        <v>-9</v>
      </c>
      <c r="AB176" s="23">
        <f t="shared" si="264"/>
        <v>-3</v>
      </c>
      <c r="AC176" s="23">
        <f t="shared" si="264"/>
        <v>-0.9</v>
      </c>
      <c r="AD176" s="23">
        <f t="shared" si="264"/>
        <v>-0.3</v>
      </c>
      <c r="AE176" s="23">
        <f t="shared" si="264"/>
        <v>-0.1</v>
      </c>
      <c r="AF176" s="97" t="str">
        <f>M176&amp;"; "&amp;N176&amp;"; "&amp;O176&amp;"; "&amp;P176&amp;"; "&amp;Q176&amp;"; "&amp;R176&amp;"; "&amp;S176&amp;"; "&amp;T176&amp;"; "&amp;U176</f>
        <v>0; -30,3; -43,5; -23,1; -9; -3; -0,9; -0,3; -0,1</v>
      </c>
      <c r="AG176" s="157" t="s">
        <v>546</v>
      </c>
      <c r="AH176" s="146" t="s">
        <v>546</v>
      </c>
    </row>
    <row r="177" spans="1:34" x14ac:dyDescent="0.15">
      <c r="A177" s="140" t="str">
        <f>$A$9</f>
        <v>Forbrugsenheder</v>
      </c>
      <c r="B177" s="3"/>
      <c r="C177" s="46"/>
      <c r="D177" s="3"/>
      <c r="E177" s="14"/>
      <c r="F177" s="18"/>
      <c r="G177" s="289" t="str">
        <f>A177</f>
        <v>Forbrugsenheder</v>
      </c>
      <c r="H177" s="286">
        <v>1.5266479843685725</v>
      </c>
      <c r="I177" s="286">
        <v>0.60121863430686961</v>
      </c>
      <c r="J177" s="53"/>
      <c r="K177" s="53"/>
      <c r="L177" s="27"/>
      <c r="M177" s="23"/>
      <c r="N177" s="23"/>
      <c r="O177" s="23"/>
      <c r="P177" s="23"/>
      <c r="Q177" s="23"/>
      <c r="R177" s="23"/>
      <c r="S177" s="23"/>
      <c r="T177" s="23"/>
      <c r="U177" s="23"/>
      <c r="V177" s="23"/>
      <c r="W177" s="144"/>
      <c r="X177" s="23"/>
      <c r="Y177" s="23"/>
      <c r="Z177" s="23"/>
      <c r="AA177" s="23"/>
      <c r="AB177" s="23"/>
      <c r="AC177" s="23"/>
      <c r="AD177" s="23"/>
      <c r="AE177" s="23"/>
      <c r="AF177" s="97"/>
      <c r="AG177" s="157"/>
      <c r="AH177" s="146"/>
    </row>
    <row r="178" spans="1:34" x14ac:dyDescent="0.15">
      <c r="A178" s="3" t="s">
        <v>388</v>
      </c>
      <c r="B178" s="9">
        <f>(H178/2)</f>
        <v>2544.4133072809545</v>
      </c>
      <c r="C178" s="46" t="s">
        <v>235</v>
      </c>
      <c r="D178" s="3" t="s">
        <v>490</v>
      </c>
      <c r="E178" s="9">
        <f>IF(Data!$E$4=1,0,IF(Data!$E$4=2,F178,F178+B178*Data!G4))</f>
        <v>3546.9121503496508</v>
      </c>
      <c r="F178" s="9">
        <f>IF(Data!$E$5=0,M178,IF(Data!$E$5=1,N178,IF(Data!$E$5=2,O178,IF(Data!$E$5=3,P178,IF(Data!$E$5=4,Q178,IF(Data!$E$5=5,R178,IF(Data!$E$5=6,S178,IF(Data!$E$5=7,T178,U178))))))))</f>
        <v>3546.9121503496508</v>
      </c>
      <c r="G178" s="9"/>
      <c r="H178" s="6">
        <f>G180*H177</f>
        <v>5088.8266145619091</v>
      </c>
      <c r="I178" s="6">
        <f>G180*I177</f>
        <v>2004.0621143562321</v>
      </c>
      <c r="J178" s="6">
        <f>H178*$C$4/$K$3</f>
        <v>1017.7653229123817</v>
      </c>
      <c r="K178" s="6">
        <f>I178*$C$4/$M$3</f>
        <v>286.294587765176</v>
      </c>
      <c r="L178" s="27" t="s">
        <v>241</v>
      </c>
      <c r="M178" s="6">
        <f>H178</f>
        <v>5088.8266145619091</v>
      </c>
      <c r="N178" s="6">
        <f t="shared" ref="N178:U178" si="265">M178+M178*N176%</f>
        <v>3546.9121503496508</v>
      </c>
      <c r="O178" s="33">
        <f t="shared" si="265"/>
        <v>2004.0053649475526</v>
      </c>
      <c r="P178" s="6">
        <f t="shared" si="265"/>
        <v>1541.080125644668</v>
      </c>
      <c r="Q178" s="6">
        <f t="shared" si="265"/>
        <v>1402.3829143366479</v>
      </c>
      <c r="R178" s="6">
        <f t="shared" si="265"/>
        <v>1360.3114269065484</v>
      </c>
      <c r="S178" s="6">
        <f t="shared" si="265"/>
        <v>1348.0686240643895</v>
      </c>
      <c r="T178" s="6">
        <f t="shared" si="265"/>
        <v>1344.0244181921964</v>
      </c>
      <c r="U178" s="6">
        <f t="shared" si="265"/>
        <v>1342.6803937740042</v>
      </c>
      <c r="V178" s="6">
        <f>K178</f>
        <v>286.294587765176</v>
      </c>
      <c r="W178" s="144" t="s">
        <v>533</v>
      </c>
      <c r="X178" s="144">
        <f>(I178-H178)/2</f>
        <v>-1542.3822501028385</v>
      </c>
      <c r="Y178" s="144">
        <f>I178-(H178+X178)</f>
        <v>-1542.3822501028385</v>
      </c>
      <c r="Z178" s="6">
        <f t="shared" ref="Z178:AE178" si="266">Y178*30%</f>
        <v>-462.71467503085154</v>
      </c>
      <c r="AA178" s="6">
        <f t="shared" si="266"/>
        <v>-138.81440250925544</v>
      </c>
      <c r="AB178" s="6">
        <f t="shared" si="266"/>
        <v>-41.644320752776629</v>
      </c>
      <c r="AC178" s="6">
        <f t="shared" si="266"/>
        <v>-12.493296225832989</v>
      </c>
      <c r="AD178" s="6">
        <f t="shared" si="266"/>
        <v>-3.7479888677498963</v>
      </c>
      <c r="AE178" s="6">
        <f t="shared" si="266"/>
        <v>-1.1243966603249689</v>
      </c>
      <c r="AF178" s="97">
        <f>ROUND(B178,0)</f>
        <v>2544</v>
      </c>
      <c r="AG178" s="157" t="s">
        <v>546</v>
      </c>
      <c r="AH178" s="146" t="s">
        <v>546</v>
      </c>
    </row>
    <row r="179" spans="1:34" ht="14" thickBot="1" x14ac:dyDescent="0.2">
      <c r="A179" s="3"/>
      <c r="B179" s="3"/>
      <c r="C179" s="3"/>
      <c r="D179" s="37" t="s">
        <v>225</v>
      </c>
      <c r="E179" s="28">
        <f>IF(Data!$E$4=0,0,IF(Data!$E$4=1,E175,IF(Data!$E$4=2,E178,E178)))</f>
        <v>3546.9121503496508</v>
      </c>
      <c r="F179" s="29"/>
      <c r="G179" s="291">
        <v>5000</v>
      </c>
      <c r="H179" s="284" t="str">
        <f>$H$14</f>
        <v>Forbrugsenheder aktuelt:</v>
      </c>
      <c r="I179" s="284" t="str">
        <f>$I$14</f>
        <v>I alt efter forbrugsenheder:</v>
      </c>
      <c r="J179" s="34"/>
      <c r="K179" s="34"/>
      <c r="L179" s="24"/>
      <c r="M179" s="6"/>
      <c r="N179" s="6"/>
      <c r="O179" s="6"/>
      <c r="P179" s="6"/>
      <c r="Q179" s="6"/>
      <c r="R179" s="6"/>
      <c r="S179" s="6"/>
      <c r="T179" s="6"/>
      <c r="U179" s="6"/>
      <c r="V179" s="6"/>
      <c r="W179" s="6"/>
      <c r="X179" s="6"/>
      <c r="Y179" s="3"/>
      <c r="Z179" s="3"/>
      <c r="AA179" s="3"/>
      <c r="AB179" s="3"/>
      <c r="AC179" s="3"/>
      <c r="AD179" s="3"/>
      <c r="AE179" s="3"/>
      <c r="AF179" s="3"/>
      <c r="AG179" s="157" t="s">
        <v>546</v>
      </c>
      <c r="AH179" s="146" t="s">
        <v>546</v>
      </c>
    </row>
    <row r="180" spans="1:34" x14ac:dyDescent="0.15">
      <c r="A180" s="3"/>
      <c r="B180" s="3"/>
      <c r="C180" s="149"/>
      <c r="D180" s="150" t="s">
        <v>560</v>
      </c>
      <c r="E180" s="151">
        <f>E179/$AJ$11</f>
        <v>1970.5067501942503</v>
      </c>
      <c r="F180" s="152"/>
      <c r="G180" s="292">
        <f>G179/$M$4</f>
        <v>3333.3333333333335</v>
      </c>
      <c r="H180" s="286">
        <f>$AJ$11</f>
        <v>1.8</v>
      </c>
      <c r="I180" s="284">
        <f>H180*G180</f>
        <v>6000</v>
      </c>
      <c r="J180" s="153"/>
      <c r="K180" s="153"/>
      <c r="L180" s="154"/>
      <c r="M180" s="153"/>
      <c r="N180" s="153"/>
      <c r="O180" s="153"/>
      <c r="P180" s="153"/>
      <c r="Q180" s="153"/>
      <c r="R180" s="153"/>
      <c r="S180" s="153"/>
      <c r="T180" s="153"/>
      <c r="U180" s="153"/>
      <c r="V180" s="153"/>
      <c r="W180" s="158"/>
      <c r="X180" s="153"/>
      <c r="Y180" s="156"/>
      <c r="Z180" s="156"/>
      <c r="AA180" s="156"/>
      <c r="AB180" s="156"/>
      <c r="AC180" s="156"/>
      <c r="AD180" s="156"/>
      <c r="AE180" s="156"/>
      <c r="AF180" s="156"/>
      <c r="AG180" s="157" t="s">
        <v>546</v>
      </c>
      <c r="AH180" s="146" t="s">
        <v>546</v>
      </c>
    </row>
    <row r="181" spans="1:34" ht="14" thickBot="1" x14ac:dyDescent="0.2">
      <c r="A181" s="250"/>
      <c r="B181" s="250"/>
      <c r="C181" s="250"/>
      <c r="D181" s="248" t="s">
        <v>737</v>
      </c>
      <c r="E181" s="249">
        <f>E179/12</f>
        <v>295.57601252913759</v>
      </c>
      <c r="AH181" s="146" t="s">
        <v>546</v>
      </c>
    </row>
    <row r="182" spans="1:34" x14ac:dyDescent="0.15">
      <c r="AH182" s="146" t="s">
        <v>546</v>
      </c>
    </row>
    <row r="184" spans="1:34" x14ac:dyDescent="0.15">
      <c r="C184" s="271" t="s">
        <v>1268</v>
      </c>
      <c r="D184" s="271"/>
      <c r="E184" s="271" t="s">
        <v>1273</v>
      </c>
      <c r="F184" s="271" t="s">
        <v>455</v>
      </c>
      <c r="G184" t="s">
        <v>723</v>
      </c>
      <c r="H184" t="s">
        <v>433</v>
      </c>
      <c r="I184" t="s">
        <v>434</v>
      </c>
      <c r="J184" t="s">
        <v>305</v>
      </c>
      <c r="K184" s="271" t="s">
        <v>722</v>
      </c>
    </row>
    <row r="185" spans="1:34" x14ac:dyDescent="0.15">
      <c r="A185" s="271" t="str">
        <f>Dialog!B14</f>
        <v>Alle boliger</v>
      </c>
      <c r="B185">
        <f>Dialog!B3</f>
        <v>1</v>
      </c>
      <c r="C185" s="5">
        <f>IF($B$185=1,E185,IF($B$185=2,F185,IF($B$185=3,G185,IF($B$185=4,H185,IF($B$185=5,I185,IF($B$185=6,J185,IF($B$185=7,K185,"")))))))</f>
        <v>4611.1000000000004</v>
      </c>
      <c r="D185" s="271" t="s">
        <v>92</v>
      </c>
      <c r="E185" s="5">
        <v>4611.1000000000004</v>
      </c>
      <c r="F185" s="5">
        <v>7920.2000000000007</v>
      </c>
      <c r="G185" s="5">
        <v>5892</v>
      </c>
      <c r="H185" s="5">
        <v>1958.1</v>
      </c>
      <c r="I185" s="5">
        <v>661.2</v>
      </c>
      <c r="J185" s="5">
        <v>2974.3</v>
      </c>
      <c r="K185">
        <v>0</v>
      </c>
    </row>
    <row r="186" spans="1:34" x14ac:dyDescent="0.15">
      <c r="A186" s="271"/>
      <c r="C186" s="5">
        <f t="shared" ref="C186:C188" si="267">IF($B$185=1,E186,IF($B$185=2,F186,IF($B$185=3,G186,IF($B$185=4,H186,IF($B$185=5,I186,IF($B$185=6,J186,IF($B$185=7,K186,"")))))))</f>
        <v>12715</v>
      </c>
      <c r="D186" s="271" t="s">
        <v>358</v>
      </c>
      <c r="E186" s="5">
        <v>12715</v>
      </c>
      <c r="F186" s="5">
        <v>14235.6</v>
      </c>
      <c r="G186" s="5">
        <v>15873</v>
      </c>
      <c r="H186" s="5">
        <v>11979.8</v>
      </c>
      <c r="I186" s="5">
        <v>10647.9</v>
      </c>
      <c r="J186" s="5">
        <v>11927.099999999999</v>
      </c>
      <c r="K186">
        <v>6913.8</v>
      </c>
    </row>
    <row r="187" spans="1:34" x14ac:dyDescent="0.15">
      <c r="A187" s="271"/>
      <c r="C187" s="5">
        <f t="shared" si="267"/>
        <v>7365.3</v>
      </c>
      <c r="D187" s="271" t="s">
        <v>85</v>
      </c>
      <c r="E187" s="5">
        <v>7365.3</v>
      </c>
      <c r="F187" s="5">
        <v>9853.2999999999993</v>
      </c>
      <c r="G187" s="5">
        <v>5758.5</v>
      </c>
      <c r="H187" s="5">
        <v>7131.8</v>
      </c>
      <c r="I187" s="5">
        <v>4514.1000000000004</v>
      </c>
      <c r="J187" s="5">
        <v>5453.1</v>
      </c>
      <c r="K187">
        <v>2603</v>
      </c>
    </row>
    <row r="188" spans="1:34" x14ac:dyDescent="0.15">
      <c r="A188" s="271"/>
      <c r="C188" s="5">
        <f t="shared" si="267"/>
        <v>4542.8</v>
      </c>
      <c r="D188" s="271" t="s">
        <v>313</v>
      </c>
      <c r="E188" s="5">
        <v>4542.8</v>
      </c>
      <c r="F188" s="5">
        <v>5907.7000000000007</v>
      </c>
      <c r="G188" s="5">
        <v>6022.4</v>
      </c>
      <c r="H188" s="5">
        <v>4114.6000000000004</v>
      </c>
      <c r="I188" s="5">
        <v>2882.1000000000004</v>
      </c>
      <c r="J188" s="5">
        <v>3198.8999999999996</v>
      </c>
      <c r="K188">
        <v>1502.4</v>
      </c>
    </row>
    <row r="192" spans="1:34" x14ac:dyDescent="0.15">
      <c r="A192" s="271"/>
    </row>
    <row r="196" spans="1:1" x14ac:dyDescent="0.15">
      <c r="A196" s="271"/>
    </row>
  </sheetData>
  <sheetProtection sheet="1" objects="1" scenarios="1"/>
  <mergeCells count="1">
    <mergeCell ref="G2:I2"/>
  </mergeCells>
  <pageMargins left="0.7" right="0.7" top="0.75" bottom="0.75" header="0.3" footer="0.3"/>
  <pageSetup paperSize="9" orientation="portrait"/>
  <legacyDrawing r:id="rId1"/>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3DBB6-82B6-C447-9D95-3B55362E44C0}">
  <dimension ref="B1:Q113"/>
  <sheetViews>
    <sheetView workbookViewId="0">
      <pane ySplit="2" topLeftCell="A76" activePane="bottomLeft" state="frozen"/>
      <selection pane="bottomLeft" activeCell="Q108" sqref="Q108"/>
    </sheetView>
  </sheetViews>
  <sheetFormatPr baseColWidth="10" defaultRowHeight="13" x14ac:dyDescent="0.15"/>
  <cols>
    <col min="1" max="1" width="4.6640625" customWidth="1"/>
    <col min="2" max="2" width="3.6640625" customWidth="1"/>
    <col min="3" max="3" width="5.1640625" customWidth="1"/>
    <col min="4" max="4" width="19.5" customWidth="1"/>
    <col min="5" max="8" width="10.83203125" style="87"/>
    <col min="9" max="9" width="9.33203125" customWidth="1"/>
    <col min="10" max="10" width="3.83203125" customWidth="1"/>
    <col min="11" max="11" width="5.1640625" customWidth="1"/>
    <col min="12" max="12" width="17.1640625" customWidth="1"/>
    <col min="13" max="13" width="12.33203125" customWidth="1"/>
    <col min="14" max="15" width="9" customWidth="1"/>
  </cols>
  <sheetData>
    <row r="1" spans="2:17" x14ac:dyDescent="0.15">
      <c r="E1" s="270" t="s">
        <v>630</v>
      </c>
      <c r="F1" s="270" t="s">
        <v>1149</v>
      </c>
      <c r="G1" s="270" t="s">
        <v>196</v>
      </c>
      <c r="H1" s="270" t="s">
        <v>1150</v>
      </c>
      <c r="M1" s="270" t="s">
        <v>630</v>
      </c>
      <c r="N1" s="270" t="s">
        <v>1149</v>
      </c>
      <c r="O1" s="270" t="s">
        <v>196</v>
      </c>
      <c r="P1" s="270" t="s">
        <v>1150</v>
      </c>
    </row>
    <row r="2" spans="2:17" x14ac:dyDescent="0.15">
      <c r="E2" s="1">
        <v>2020</v>
      </c>
      <c r="F2" s="1">
        <v>2020</v>
      </c>
      <c r="G2" s="1">
        <v>2020</v>
      </c>
      <c r="H2" s="1">
        <v>2020</v>
      </c>
      <c r="K2" t="s">
        <v>1292</v>
      </c>
      <c r="M2" s="1">
        <v>2020</v>
      </c>
      <c r="N2" s="1">
        <v>2020</v>
      </c>
      <c r="O2" s="1">
        <v>2020</v>
      </c>
      <c r="P2" s="1">
        <v>2020</v>
      </c>
    </row>
    <row r="3" spans="2:17" x14ac:dyDescent="0.15">
      <c r="B3">
        <v>1</v>
      </c>
      <c r="C3">
        <v>165</v>
      </c>
      <c r="D3" t="s">
        <v>106</v>
      </c>
      <c r="E3" s="87">
        <v>25.6</v>
      </c>
      <c r="F3" s="87">
        <v>0.8</v>
      </c>
      <c r="G3" s="87">
        <f>E3+F3</f>
        <v>26.400000000000002</v>
      </c>
      <c r="H3" s="87">
        <v>33.94</v>
      </c>
      <c r="K3">
        <v>101</v>
      </c>
      <c r="L3" t="s">
        <v>104</v>
      </c>
      <c r="M3" s="87">
        <v>23.799999999999997</v>
      </c>
      <c r="N3" s="87">
        <v>0.8</v>
      </c>
      <c r="O3" s="87">
        <f t="shared" ref="O3:O34" si="0">M3+N3</f>
        <v>24.599999999999998</v>
      </c>
      <c r="P3" s="87">
        <v>34</v>
      </c>
      <c r="Q3" s="87"/>
    </row>
    <row r="4" spans="2:17" x14ac:dyDescent="0.15">
      <c r="B4">
        <v>2</v>
      </c>
      <c r="C4">
        <v>201</v>
      </c>
      <c r="D4" t="s">
        <v>107</v>
      </c>
      <c r="E4" s="87">
        <v>24.3</v>
      </c>
      <c r="F4" s="87">
        <v>0.57999999999999996</v>
      </c>
      <c r="G4" s="87">
        <f t="shared" ref="G4:G67" si="1">E4+F4</f>
        <v>24.88</v>
      </c>
      <c r="H4" s="87">
        <v>23.8</v>
      </c>
      <c r="K4">
        <v>147</v>
      </c>
      <c r="L4" t="s">
        <v>105</v>
      </c>
      <c r="M4" s="87">
        <v>22.8</v>
      </c>
      <c r="N4" s="87">
        <v>0.5</v>
      </c>
      <c r="O4" s="87">
        <f t="shared" si="0"/>
        <v>23.3</v>
      </c>
      <c r="P4" s="87">
        <v>24.75</v>
      </c>
      <c r="Q4" s="87"/>
    </row>
    <row r="5" spans="2:17" x14ac:dyDescent="0.15">
      <c r="B5">
        <v>3</v>
      </c>
      <c r="C5">
        <v>420</v>
      </c>
      <c r="D5" t="s">
        <v>149</v>
      </c>
      <c r="E5" s="87">
        <v>26.1</v>
      </c>
      <c r="F5" s="87">
        <v>0.95</v>
      </c>
      <c r="G5" s="87">
        <f t="shared" si="1"/>
        <v>27.05</v>
      </c>
      <c r="H5" s="87">
        <v>22.12</v>
      </c>
      <c r="K5">
        <v>151</v>
      </c>
      <c r="L5" t="s">
        <v>108</v>
      </c>
      <c r="M5" s="87">
        <v>25.5</v>
      </c>
      <c r="N5" s="87">
        <v>0.72</v>
      </c>
      <c r="O5" s="87">
        <f t="shared" si="0"/>
        <v>26.22</v>
      </c>
      <c r="P5" s="87">
        <v>28.89</v>
      </c>
      <c r="Q5" s="87"/>
    </row>
    <row r="6" spans="2:17" x14ac:dyDescent="0.15">
      <c r="B6">
        <v>4</v>
      </c>
      <c r="C6">
        <v>151</v>
      </c>
      <c r="D6" t="s">
        <v>108</v>
      </c>
      <c r="E6" s="87">
        <v>25.5</v>
      </c>
      <c r="F6" s="87">
        <v>0.72</v>
      </c>
      <c r="G6" s="87">
        <f t="shared" si="1"/>
        <v>26.22</v>
      </c>
      <c r="H6" s="87">
        <v>28.89</v>
      </c>
      <c r="K6">
        <v>153</v>
      </c>
      <c r="L6" t="s">
        <v>110</v>
      </c>
      <c r="M6" s="87">
        <v>24.3</v>
      </c>
      <c r="N6" s="87">
        <v>0.8</v>
      </c>
      <c r="O6" s="87">
        <f t="shared" si="0"/>
        <v>25.1</v>
      </c>
      <c r="P6" s="87">
        <v>20.5</v>
      </c>
      <c r="Q6" s="87"/>
    </row>
    <row r="7" spans="2:17" x14ac:dyDescent="0.15">
      <c r="B7">
        <v>5</v>
      </c>
      <c r="C7">
        <v>530</v>
      </c>
      <c r="D7" t="s">
        <v>150</v>
      </c>
      <c r="E7" s="87">
        <v>24</v>
      </c>
      <c r="F7" s="87">
        <v>0.89</v>
      </c>
      <c r="G7" s="87">
        <f t="shared" si="1"/>
        <v>24.89</v>
      </c>
      <c r="H7" s="87">
        <v>18.48</v>
      </c>
      <c r="K7">
        <v>155</v>
      </c>
      <c r="L7" t="s">
        <v>111</v>
      </c>
      <c r="M7" s="87">
        <v>24.8</v>
      </c>
      <c r="N7" s="87">
        <v>0.61</v>
      </c>
      <c r="O7" s="87">
        <f t="shared" si="0"/>
        <v>25.41</v>
      </c>
      <c r="P7" s="87">
        <v>24.47</v>
      </c>
      <c r="Q7" s="87"/>
    </row>
    <row r="8" spans="2:17" x14ac:dyDescent="0.15">
      <c r="B8">
        <v>6</v>
      </c>
      <c r="C8">
        <v>400</v>
      </c>
      <c r="D8" t="s">
        <v>109</v>
      </c>
      <c r="E8" s="87">
        <v>26.200000000000003</v>
      </c>
      <c r="F8" s="87">
        <v>0.92999999999999994</v>
      </c>
      <c r="G8" s="87">
        <f t="shared" si="1"/>
        <v>27.130000000000003</v>
      </c>
      <c r="H8" s="87">
        <v>34</v>
      </c>
      <c r="K8">
        <v>157</v>
      </c>
      <c r="L8" t="s">
        <v>115</v>
      </c>
      <c r="M8" s="87">
        <v>22.8</v>
      </c>
      <c r="N8" s="87">
        <v>0.38999999999999996</v>
      </c>
      <c r="O8" s="87">
        <f t="shared" si="0"/>
        <v>23.19</v>
      </c>
      <c r="P8" s="87">
        <v>16</v>
      </c>
      <c r="Q8" s="87"/>
    </row>
    <row r="9" spans="2:17" x14ac:dyDescent="0.15">
      <c r="B9">
        <v>7</v>
      </c>
      <c r="C9">
        <v>153</v>
      </c>
      <c r="D9" t="s">
        <v>110</v>
      </c>
      <c r="E9" s="87">
        <v>24.3</v>
      </c>
      <c r="F9" s="87">
        <v>0.8</v>
      </c>
      <c r="G9" s="87">
        <f t="shared" si="1"/>
        <v>25.1</v>
      </c>
      <c r="H9" s="87">
        <v>20.5</v>
      </c>
      <c r="K9">
        <v>159</v>
      </c>
      <c r="L9" t="s">
        <v>116</v>
      </c>
      <c r="M9" s="87">
        <v>23.599999999999998</v>
      </c>
      <c r="N9" s="87">
        <v>0.75</v>
      </c>
      <c r="O9" s="87">
        <f t="shared" si="0"/>
        <v>24.349999999999998</v>
      </c>
      <c r="P9" s="87">
        <v>23</v>
      </c>
      <c r="Q9" s="87"/>
    </row>
    <row r="10" spans="2:17" x14ac:dyDescent="0.15">
      <c r="B10">
        <v>8</v>
      </c>
      <c r="C10">
        <v>810</v>
      </c>
      <c r="D10" t="s">
        <v>47</v>
      </c>
      <c r="E10" s="87">
        <v>26.900000000000002</v>
      </c>
      <c r="F10" s="87">
        <v>1.0900000000000001</v>
      </c>
      <c r="G10" s="87">
        <f t="shared" si="1"/>
        <v>27.990000000000002</v>
      </c>
      <c r="H10" s="87">
        <v>31.23</v>
      </c>
      <c r="K10">
        <v>161</v>
      </c>
      <c r="L10" t="s">
        <v>117</v>
      </c>
      <c r="M10" s="87">
        <v>23.599999999999998</v>
      </c>
      <c r="N10" s="87">
        <v>0.8</v>
      </c>
      <c r="O10" s="87">
        <f t="shared" si="0"/>
        <v>24.4</v>
      </c>
      <c r="P10" s="87">
        <v>25</v>
      </c>
      <c r="Q10" s="87"/>
    </row>
    <row r="11" spans="2:17" x14ac:dyDescent="0.15">
      <c r="B11">
        <v>9</v>
      </c>
      <c r="C11">
        <v>155</v>
      </c>
      <c r="D11" t="s">
        <v>111</v>
      </c>
      <c r="E11" s="87">
        <v>24.8</v>
      </c>
      <c r="F11" s="87">
        <v>0.61</v>
      </c>
      <c r="G11" s="87">
        <f t="shared" si="1"/>
        <v>25.41</v>
      </c>
      <c r="H11" s="87">
        <v>24.47</v>
      </c>
      <c r="K11">
        <v>163</v>
      </c>
      <c r="L11" t="s">
        <v>121</v>
      </c>
      <c r="M11" s="87">
        <v>23.7</v>
      </c>
      <c r="N11" s="87">
        <v>0.75</v>
      </c>
      <c r="O11" s="87">
        <f t="shared" si="0"/>
        <v>24.45</v>
      </c>
      <c r="P11" s="87">
        <v>24.299999999999997</v>
      </c>
      <c r="Q11" s="87"/>
    </row>
    <row r="12" spans="2:17" x14ac:dyDescent="0.15">
      <c r="B12">
        <v>10</v>
      </c>
      <c r="C12">
        <v>240</v>
      </c>
      <c r="D12" t="s">
        <v>112</v>
      </c>
      <c r="E12" s="87">
        <v>25.7</v>
      </c>
      <c r="F12" s="87">
        <v>0.76</v>
      </c>
      <c r="G12" s="87">
        <f t="shared" si="1"/>
        <v>26.46</v>
      </c>
      <c r="H12" s="87">
        <v>23.98</v>
      </c>
      <c r="K12">
        <v>165</v>
      </c>
      <c r="L12" t="s">
        <v>106</v>
      </c>
      <c r="M12" s="87">
        <v>25.6</v>
      </c>
      <c r="N12" s="87">
        <v>0.8</v>
      </c>
      <c r="O12" s="87">
        <f t="shared" si="0"/>
        <v>26.400000000000002</v>
      </c>
      <c r="P12" s="87">
        <v>33.94</v>
      </c>
      <c r="Q12" s="87"/>
    </row>
    <row r="13" spans="2:17" x14ac:dyDescent="0.15">
      <c r="B13">
        <v>11</v>
      </c>
      <c r="C13">
        <v>561</v>
      </c>
      <c r="D13" t="s">
        <v>151</v>
      </c>
      <c r="E13" s="87">
        <v>25.8</v>
      </c>
      <c r="F13" s="87">
        <v>0.80999999999999994</v>
      </c>
      <c r="G13" s="87">
        <f t="shared" si="1"/>
        <v>26.61</v>
      </c>
      <c r="H13" s="87">
        <v>25.29</v>
      </c>
      <c r="K13">
        <v>167</v>
      </c>
      <c r="L13" t="s">
        <v>123</v>
      </c>
      <c r="M13" s="87">
        <v>25.5</v>
      </c>
      <c r="N13" s="87">
        <v>0.72</v>
      </c>
      <c r="O13" s="87">
        <f t="shared" si="0"/>
        <v>26.22</v>
      </c>
      <c r="P13" s="87">
        <v>29.7</v>
      </c>
      <c r="Q13" s="87"/>
    </row>
    <row r="14" spans="2:17" x14ac:dyDescent="0.15">
      <c r="B14">
        <v>12</v>
      </c>
      <c r="C14">
        <v>563</v>
      </c>
      <c r="D14" t="s">
        <v>152</v>
      </c>
      <c r="E14" s="87">
        <v>24.9</v>
      </c>
      <c r="F14" s="87">
        <v>1.1400000000000001</v>
      </c>
      <c r="G14" s="87">
        <f t="shared" si="1"/>
        <v>26.04</v>
      </c>
      <c r="H14" s="87">
        <v>34</v>
      </c>
      <c r="K14">
        <v>169</v>
      </c>
      <c r="L14" t="s">
        <v>124</v>
      </c>
      <c r="M14" s="87">
        <v>24.6</v>
      </c>
      <c r="N14" s="87">
        <v>0.8</v>
      </c>
      <c r="O14" s="87">
        <f t="shared" si="0"/>
        <v>25.400000000000002</v>
      </c>
      <c r="P14" s="87">
        <v>24.400000000000002</v>
      </c>
      <c r="Q14" s="87"/>
    </row>
    <row r="15" spans="2:17" x14ac:dyDescent="0.15">
      <c r="B15">
        <v>13</v>
      </c>
      <c r="C15">
        <v>710</v>
      </c>
      <c r="D15" t="s">
        <v>28</v>
      </c>
      <c r="E15" s="87">
        <v>25.7</v>
      </c>
      <c r="F15" s="87">
        <v>0.96</v>
      </c>
      <c r="G15" s="87">
        <f t="shared" si="1"/>
        <v>26.66</v>
      </c>
      <c r="H15" s="87">
        <v>23.32</v>
      </c>
      <c r="K15">
        <v>173</v>
      </c>
      <c r="L15" t="s">
        <v>127</v>
      </c>
      <c r="M15" s="87">
        <v>23.7</v>
      </c>
      <c r="N15" s="87">
        <v>0.54999999999999993</v>
      </c>
      <c r="O15" s="87">
        <f t="shared" si="0"/>
        <v>24.25</v>
      </c>
      <c r="P15" s="87">
        <v>21.484999999999999</v>
      </c>
      <c r="Q15" s="87"/>
    </row>
    <row r="16" spans="2:17" x14ac:dyDescent="0.15">
      <c r="B16">
        <v>14</v>
      </c>
      <c r="C16">
        <v>320</v>
      </c>
      <c r="D16" t="s">
        <v>132</v>
      </c>
      <c r="E16" s="87">
        <v>26</v>
      </c>
      <c r="F16" s="87">
        <v>1.08</v>
      </c>
      <c r="G16" s="87">
        <f t="shared" si="1"/>
        <v>27.08</v>
      </c>
      <c r="H16" s="87">
        <v>25</v>
      </c>
      <c r="K16">
        <v>175</v>
      </c>
      <c r="L16" t="s">
        <v>129</v>
      </c>
      <c r="M16" s="87">
        <v>25.7</v>
      </c>
      <c r="N16" s="87">
        <v>0.72</v>
      </c>
      <c r="O16" s="87">
        <f t="shared" si="0"/>
        <v>26.419999999999998</v>
      </c>
      <c r="P16" s="87">
        <v>30.8</v>
      </c>
      <c r="Q16" s="87"/>
    </row>
    <row r="17" spans="2:17" x14ac:dyDescent="0.15">
      <c r="B17">
        <v>15</v>
      </c>
      <c r="C17">
        <v>210</v>
      </c>
      <c r="D17" t="s">
        <v>113</v>
      </c>
      <c r="E17" s="87">
        <v>25.3</v>
      </c>
      <c r="F17" s="87">
        <v>0.6</v>
      </c>
      <c r="G17" s="87">
        <f t="shared" si="1"/>
        <v>25.900000000000002</v>
      </c>
      <c r="H17" s="87">
        <v>24.65</v>
      </c>
      <c r="K17">
        <v>183</v>
      </c>
      <c r="L17" t="s">
        <v>126</v>
      </c>
      <c r="M17" s="87">
        <v>25</v>
      </c>
      <c r="N17" s="87">
        <v>0.89999999999999991</v>
      </c>
      <c r="O17" s="87">
        <f t="shared" si="0"/>
        <v>25.9</v>
      </c>
      <c r="P17" s="87">
        <v>25</v>
      </c>
      <c r="Q17" s="87"/>
    </row>
    <row r="18" spans="2:17" x14ac:dyDescent="0.15">
      <c r="B18">
        <v>16</v>
      </c>
      <c r="C18">
        <v>607</v>
      </c>
      <c r="D18" t="s">
        <v>153</v>
      </c>
      <c r="E18" s="87">
        <v>25.5</v>
      </c>
      <c r="F18" s="87">
        <v>0.88</v>
      </c>
      <c r="G18" s="87">
        <f t="shared" si="1"/>
        <v>26.38</v>
      </c>
      <c r="H18" s="87">
        <v>26</v>
      </c>
      <c r="K18">
        <v>185</v>
      </c>
      <c r="L18" t="s">
        <v>130</v>
      </c>
      <c r="M18" s="87">
        <v>23.1</v>
      </c>
      <c r="N18" s="87">
        <v>0.61</v>
      </c>
      <c r="O18" s="87">
        <f t="shared" si="0"/>
        <v>23.71</v>
      </c>
      <c r="P18" s="87">
        <v>24</v>
      </c>
      <c r="Q18" s="87"/>
    </row>
    <row r="19" spans="2:17" x14ac:dyDescent="0.15">
      <c r="B19">
        <v>17</v>
      </c>
      <c r="C19">
        <v>147</v>
      </c>
      <c r="D19" t="s">
        <v>105</v>
      </c>
      <c r="E19" s="87">
        <v>22.8</v>
      </c>
      <c r="F19" s="87">
        <v>0.5</v>
      </c>
      <c r="G19" s="87">
        <f t="shared" si="1"/>
        <v>23.3</v>
      </c>
      <c r="H19" s="87">
        <v>24.75</v>
      </c>
      <c r="K19">
        <v>187</v>
      </c>
      <c r="L19" t="s">
        <v>131</v>
      </c>
      <c r="M19" s="87">
        <v>25.1</v>
      </c>
      <c r="N19" s="87">
        <v>0.8</v>
      </c>
      <c r="O19" s="87">
        <f t="shared" si="0"/>
        <v>25.900000000000002</v>
      </c>
      <c r="P19" s="87">
        <v>24.38</v>
      </c>
      <c r="Q19" s="87"/>
    </row>
    <row r="20" spans="2:17" x14ac:dyDescent="0.15">
      <c r="B20">
        <v>18</v>
      </c>
      <c r="C20">
        <v>813</v>
      </c>
      <c r="D20" t="s">
        <v>48</v>
      </c>
      <c r="E20" s="87">
        <v>26.200000000000003</v>
      </c>
      <c r="F20" s="87">
        <v>1.03</v>
      </c>
      <c r="G20" s="87">
        <f t="shared" si="1"/>
        <v>27.230000000000004</v>
      </c>
      <c r="H20" s="87">
        <v>29.9</v>
      </c>
      <c r="K20">
        <v>190</v>
      </c>
      <c r="L20" t="s">
        <v>527</v>
      </c>
      <c r="M20" s="87">
        <v>24.8</v>
      </c>
      <c r="N20" s="87">
        <v>0.65</v>
      </c>
      <c r="O20" s="87">
        <f t="shared" si="0"/>
        <v>25.45</v>
      </c>
      <c r="P20" s="87">
        <v>21.5</v>
      </c>
      <c r="Q20" s="87"/>
    </row>
    <row r="21" spans="2:17" x14ac:dyDescent="0.15">
      <c r="B21">
        <v>19</v>
      </c>
      <c r="C21">
        <v>250</v>
      </c>
      <c r="D21" t="s">
        <v>114</v>
      </c>
      <c r="E21" s="87">
        <v>25.8</v>
      </c>
      <c r="F21" s="87">
        <v>0.96</v>
      </c>
      <c r="G21" s="87">
        <f t="shared" si="1"/>
        <v>26.76</v>
      </c>
      <c r="H21" s="87">
        <v>32.5</v>
      </c>
      <c r="K21">
        <v>201</v>
      </c>
      <c r="L21" t="s">
        <v>107</v>
      </c>
      <c r="M21" s="87">
        <v>24.3</v>
      </c>
      <c r="N21" s="87">
        <v>0.57999999999999996</v>
      </c>
      <c r="O21" s="87">
        <f t="shared" si="0"/>
        <v>24.88</v>
      </c>
      <c r="P21" s="87">
        <v>23.8</v>
      </c>
      <c r="Q21" s="87"/>
    </row>
    <row r="22" spans="2:17" x14ac:dyDescent="0.15">
      <c r="B22">
        <v>20</v>
      </c>
      <c r="C22">
        <v>190</v>
      </c>
      <c r="D22" t="s">
        <v>527</v>
      </c>
      <c r="E22" s="87">
        <v>24.8</v>
      </c>
      <c r="F22" s="87">
        <v>0.65</v>
      </c>
      <c r="G22" s="87">
        <f t="shared" si="1"/>
        <v>25.45</v>
      </c>
      <c r="H22" s="87">
        <v>21.5</v>
      </c>
      <c r="K22">
        <v>210</v>
      </c>
      <c r="L22" t="s">
        <v>113</v>
      </c>
      <c r="M22" s="87">
        <v>25.3</v>
      </c>
      <c r="N22" s="87">
        <v>0.6</v>
      </c>
      <c r="O22" s="87">
        <f t="shared" si="0"/>
        <v>25.900000000000002</v>
      </c>
      <c r="P22" s="87">
        <v>24.65</v>
      </c>
      <c r="Q22" s="87"/>
    </row>
    <row r="23" spans="2:17" x14ac:dyDescent="0.15">
      <c r="B23">
        <v>21</v>
      </c>
      <c r="C23">
        <v>330</v>
      </c>
      <c r="D23" t="s">
        <v>154</v>
      </c>
      <c r="E23" s="87">
        <v>26.1</v>
      </c>
      <c r="F23" s="87">
        <v>1.05</v>
      </c>
      <c r="G23" s="87">
        <f t="shared" si="1"/>
        <v>27.150000000000002</v>
      </c>
      <c r="H23" s="87">
        <v>22.849999999999998</v>
      </c>
      <c r="K23">
        <v>217</v>
      </c>
      <c r="L23" t="s">
        <v>120</v>
      </c>
      <c r="M23" s="87">
        <v>25.3</v>
      </c>
      <c r="N23" s="87">
        <v>0.63</v>
      </c>
      <c r="O23" s="87">
        <f t="shared" si="0"/>
        <v>25.93</v>
      </c>
      <c r="P23" s="87">
        <v>28.5</v>
      </c>
      <c r="Q23" s="87"/>
    </row>
    <row r="24" spans="2:17" x14ac:dyDescent="0.15">
      <c r="B24">
        <v>22</v>
      </c>
      <c r="C24">
        <v>157</v>
      </c>
      <c r="D24" t="s">
        <v>115</v>
      </c>
      <c r="E24" s="87">
        <v>22.8</v>
      </c>
      <c r="F24" s="87">
        <v>0.38999999999999996</v>
      </c>
      <c r="G24" s="87">
        <f t="shared" si="1"/>
        <v>23.19</v>
      </c>
      <c r="H24" s="87">
        <v>16</v>
      </c>
      <c r="K24">
        <v>219</v>
      </c>
      <c r="L24" t="s">
        <v>122</v>
      </c>
      <c r="M24" s="87">
        <v>25.6</v>
      </c>
      <c r="N24" s="87">
        <v>0.69</v>
      </c>
      <c r="O24" s="87">
        <f t="shared" si="0"/>
        <v>26.290000000000003</v>
      </c>
      <c r="P24" s="87">
        <v>20.650000000000002</v>
      </c>
      <c r="Q24" s="87"/>
    </row>
    <row r="25" spans="2:17" x14ac:dyDescent="0.15">
      <c r="B25">
        <v>23</v>
      </c>
      <c r="C25">
        <v>159</v>
      </c>
      <c r="D25" t="s">
        <v>116</v>
      </c>
      <c r="E25" s="87">
        <v>23.599999999999998</v>
      </c>
      <c r="F25" s="87">
        <v>0.75</v>
      </c>
      <c r="G25" s="87">
        <f t="shared" si="1"/>
        <v>24.349999999999998</v>
      </c>
      <c r="H25" s="87">
        <v>23</v>
      </c>
      <c r="K25">
        <v>223</v>
      </c>
      <c r="L25" t="s">
        <v>125</v>
      </c>
      <c r="M25" s="87">
        <v>23.200000000000003</v>
      </c>
      <c r="N25" s="87">
        <v>0.62</v>
      </c>
      <c r="O25" s="87">
        <f t="shared" si="0"/>
        <v>23.820000000000004</v>
      </c>
      <c r="P25" s="87">
        <v>22.1</v>
      </c>
      <c r="Q25" s="87"/>
    </row>
    <row r="26" spans="2:17" x14ac:dyDescent="0.15">
      <c r="B26">
        <v>24</v>
      </c>
      <c r="C26">
        <v>161</v>
      </c>
      <c r="D26" t="s">
        <v>117</v>
      </c>
      <c r="E26" s="87">
        <v>23.599999999999998</v>
      </c>
      <c r="F26" s="87">
        <v>0.8</v>
      </c>
      <c r="G26" s="87">
        <f t="shared" si="1"/>
        <v>24.4</v>
      </c>
      <c r="H26" s="87">
        <v>25</v>
      </c>
      <c r="K26">
        <v>230</v>
      </c>
      <c r="L26" t="s">
        <v>128</v>
      </c>
      <c r="M26" s="87">
        <v>22.8</v>
      </c>
      <c r="N26" s="87">
        <v>0.55999999999999994</v>
      </c>
      <c r="O26" s="87">
        <f t="shared" si="0"/>
        <v>23.36</v>
      </c>
      <c r="P26" s="87">
        <v>22.93</v>
      </c>
      <c r="Q26" s="87"/>
    </row>
    <row r="27" spans="2:17" x14ac:dyDescent="0.15">
      <c r="B27">
        <v>25</v>
      </c>
      <c r="C27">
        <v>253</v>
      </c>
      <c r="D27" t="s">
        <v>133</v>
      </c>
      <c r="E27" s="87">
        <v>24.099999999999998</v>
      </c>
      <c r="F27" s="87">
        <v>0.73</v>
      </c>
      <c r="G27" s="87">
        <f t="shared" si="1"/>
        <v>24.83</v>
      </c>
      <c r="H27" s="87">
        <v>16.943999999999999</v>
      </c>
      <c r="K27">
        <v>240</v>
      </c>
      <c r="L27" t="s">
        <v>112</v>
      </c>
      <c r="M27" s="87">
        <v>25.7</v>
      </c>
      <c r="N27" s="87">
        <v>0.76</v>
      </c>
      <c r="O27" s="87">
        <f t="shared" si="0"/>
        <v>26.46</v>
      </c>
      <c r="P27" s="87">
        <v>23.98</v>
      </c>
      <c r="Q27" s="87"/>
    </row>
    <row r="28" spans="2:17" x14ac:dyDescent="0.15">
      <c r="B28">
        <v>26</v>
      </c>
      <c r="C28">
        <v>270</v>
      </c>
      <c r="D28" t="s">
        <v>118</v>
      </c>
      <c r="E28" s="87">
        <v>25.4</v>
      </c>
      <c r="F28" s="87">
        <v>0.85000000000000009</v>
      </c>
      <c r="G28" s="87">
        <f t="shared" si="1"/>
        <v>26.25</v>
      </c>
      <c r="H28" s="87">
        <v>29.34</v>
      </c>
      <c r="K28">
        <v>250</v>
      </c>
      <c r="L28" t="s">
        <v>114</v>
      </c>
      <c r="M28" s="87">
        <v>25.8</v>
      </c>
      <c r="N28" s="87">
        <v>0.96</v>
      </c>
      <c r="O28" s="87">
        <f t="shared" si="0"/>
        <v>26.76</v>
      </c>
      <c r="P28" s="87">
        <v>32.5</v>
      </c>
      <c r="Q28" s="87"/>
    </row>
    <row r="29" spans="2:17" x14ac:dyDescent="0.15">
      <c r="B29">
        <v>27</v>
      </c>
      <c r="C29">
        <v>376</v>
      </c>
      <c r="D29" t="s">
        <v>134</v>
      </c>
      <c r="E29" s="87">
        <v>26.3</v>
      </c>
      <c r="F29" s="87">
        <v>1.1599999999999999</v>
      </c>
      <c r="G29" s="87">
        <f t="shared" si="1"/>
        <v>27.46</v>
      </c>
      <c r="H29" s="87">
        <v>32.340000000000003</v>
      </c>
      <c r="K29">
        <v>253</v>
      </c>
      <c r="L29" t="s">
        <v>133</v>
      </c>
      <c r="M29" s="87">
        <v>24.099999999999998</v>
      </c>
      <c r="N29" s="87">
        <v>0.73</v>
      </c>
      <c r="O29" s="87">
        <f t="shared" si="0"/>
        <v>24.83</v>
      </c>
      <c r="P29" s="87">
        <v>16.943999999999999</v>
      </c>
      <c r="Q29" s="87"/>
    </row>
    <row r="30" spans="2:17" x14ac:dyDescent="0.15">
      <c r="B30">
        <v>28</v>
      </c>
      <c r="C30">
        <v>510</v>
      </c>
      <c r="D30" t="s">
        <v>155</v>
      </c>
      <c r="E30" s="87">
        <v>26.3</v>
      </c>
      <c r="F30" s="87">
        <v>0.95</v>
      </c>
      <c r="G30" s="87">
        <f t="shared" si="1"/>
        <v>27.25</v>
      </c>
      <c r="H30" s="87">
        <v>24.36</v>
      </c>
      <c r="K30">
        <v>259</v>
      </c>
      <c r="L30" t="s">
        <v>137</v>
      </c>
      <c r="M30" s="87">
        <v>24.9</v>
      </c>
      <c r="N30" s="87">
        <v>0.86999999999999988</v>
      </c>
      <c r="O30" s="87">
        <f t="shared" si="0"/>
        <v>25.77</v>
      </c>
      <c r="P30" s="87">
        <v>21.038</v>
      </c>
      <c r="Q30" s="87"/>
    </row>
    <row r="31" spans="2:17" x14ac:dyDescent="0.15">
      <c r="B31">
        <v>29</v>
      </c>
      <c r="C31">
        <v>260</v>
      </c>
      <c r="D31" t="s">
        <v>119</v>
      </c>
      <c r="E31" s="87">
        <v>25.7</v>
      </c>
      <c r="F31" s="87">
        <v>0.85000000000000009</v>
      </c>
      <c r="G31" s="87">
        <f t="shared" si="1"/>
        <v>26.55</v>
      </c>
      <c r="H31" s="87">
        <v>34</v>
      </c>
      <c r="K31">
        <v>260</v>
      </c>
      <c r="L31" t="s">
        <v>119</v>
      </c>
      <c r="M31" s="87">
        <v>25.7</v>
      </c>
      <c r="N31" s="87">
        <v>0.85000000000000009</v>
      </c>
      <c r="O31" s="87">
        <f t="shared" si="0"/>
        <v>26.55</v>
      </c>
      <c r="P31" s="87">
        <v>34</v>
      </c>
      <c r="Q31" s="87"/>
    </row>
    <row r="32" spans="2:17" x14ac:dyDescent="0.15">
      <c r="B32">
        <v>30</v>
      </c>
      <c r="C32">
        <v>766</v>
      </c>
      <c r="D32" t="s">
        <v>29</v>
      </c>
      <c r="E32" s="87">
        <v>25.4</v>
      </c>
      <c r="F32" s="87">
        <v>0.98</v>
      </c>
      <c r="G32" s="87">
        <f t="shared" si="1"/>
        <v>26.38</v>
      </c>
      <c r="H32" s="87">
        <v>18</v>
      </c>
      <c r="K32">
        <v>265</v>
      </c>
      <c r="L32" t="s">
        <v>143</v>
      </c>
      <c r="M32" s="87">
        <v>25.2</v>
      </c>
      <c r="N32" s="87">
        <v>0.84</v>
      </c>
      <c r="O32" s="87">
        <f t="shared" si="0"/>
        <v>26.04</v>
      </c>
      <c r="P32" s="87">
        <v>25.69</v>
      </c>
      <c r="Q32" s="87"/>
    </row>
    <row r="33" spans="2:17" x14ac:dyDescent="0.15">
      <c r="B33">
        <v>31</v>
      </c>
      <c r="C33">
        <v>217</v>
      </c>
      <c r="D33" t="s">
        <v>120</v>
      </c>
      <c r="E33" s="87">
        <v>25.3</v>
      </c>
      <c r="F33" s="87">
        <v>0.63</v>
      </c>
      <c r="G33" s="87">
        <f t="shared" si="1"/>
        <v>25.93</v>
      </c>
      <c r="H33" s="87">
        <v>28.5</v>
      </c>
      <c r="K33">
        <v>269</v>
      </c>
      <c r="L33" t="s">
        <v>145</v>
      </c>
      <c r="M33" s="87">
        <v>24.6</v>
      </c>
      <c r="N33" s="87">
        <v>0.82000000000000006</v>
      </c>
      <c r="O33" s="87">
        <f t="shared" si="0"/>
        <v>25.42</v>
      </c>
      <c r="P33" s="87">
        <v>20.95</v>
      </c>
      <c r="Q33" s="87"/>
    </row>
    <row r="34" spans="2:17" x14ac:dyDescent="0.15">
      <c r="B34">
        <v>32</v>
      </c>
      <c r="C34">
        <v>163</v>
      </c>
      <c r="D34" t="s">
        <v>121</v>
      </c>
      <c r="E34" s="87">
        <v>23.7</v>
      </c>
      <c r="F34" s="87">
        <v>0.75</v>
      </c>
      <c r="G34" s="87">
        <f t="shared" si="1"/>
        <v>24.45</v>
      </c>
      <c r="H34" s="87">
        <v>24.299999999999997</v>
      </c>
      <c r="K34">
        <v>270</v>
      </c>
      <c r="L34" t="s">
        <v>118</v>
      </c>
      <c r="M34" s="87">
        <v>25.4</v>
      </c>
      <c r="N34" s="87">
        <v>0.85000000000000009</v>
      </c>
      <c r="O34" s="87">
        <f t="shared" si="0"/>
        <v>26.25</v>
      </c>
      <c r="P34" s="87">
        <v>29.34</v>
      </c>
      <c r="Q34" s="87"/>
    </row>
    <row r="35" spans="2:17" x14ac:dyDescent="0.15">
      <c r="B35">
        <v>33</v>
      </c>
      <c r="C35">
        <v>657</v>
      </c>
      <c r="D35" t="s">
        <v>30</v>
      </c>
      <c r="E35" s="87">
        <v>24.9</v>
      </c>
      <c r="F35" s="87">
        <v>0.9900000000000001</v>
      </c>
      <c r="G35" s="87">
        <f t="shared" si="1"/>
        <v>25.889999999999997</v>
      </c>
      <c r="H35" s="87">
        <v>20.53</v>
      </c>
      <c r="K35">
        <v>306</v>
      </c>
      <c r="L35" t="s">
        <v>141</v>
      </c>
      <c r="M35" s="87">
        <v>26.6</v>
      </c>
      <c r="N35" s="87">
        <v>0.98</v>
      </c>
      <c r="O35" s="87">
        <f t="shared" ref="O35:O66" si="2">M35+N35</f>
        <v>27.580000000000002</v>
      </c>
      <c r="P35" s="87">
        <v>34</v>
      </c>
      <c r="Q35" s="87"/>
    </row>
    <row r="36" spans="2:17" x14ac:dyDescent="0.15">
      <c r="B36">
        <v>34</v>
      </c>
      <c r="C36">
        <v>219</v>
      </c>
      <c r="D36" t="s">
        <v>122</v>
      </c>
      <c r="E36" s="87">
        <v>25.6</v>
      </c>
      <c r="F36" s="87">
        <v>0.69</v>
      </c>
      <c r="G36" s="87">
        <f t="shared" si="1"/>
        <v>26.290000000000003</v>
      </c>
      <c r="H36" s="87">
        <v>20.650000000000002</v>
      </c>
      <c r="K36">
        <v>316</v>
      </c>
      <c r="L36" t="s">
        <v>135</v>
      </c>
      <c r="M36" s="87">
        <v>25.3</v>
      </c>
      <c r="N36" s="87">
        <v>0.96</v>
      </c>
      <c r="O36" s="87">
        <f t="shared" si="2"/>
        <v>26.26</v>
      </c>
      <c r="P36" s="87">
        <v>25.091999999999999</v>
      </c>
      <c r="Q36" s="87"/>
    </row>
    <row r="37" spans="2:17" x14ac:dyDescent="0.15">
      <c r="B37">
        <v>35</v>
      </c>
      <c r="C37">
        <v>860</v>
      </c>
      <c r="D37" t="s">
        <v>49</v>
      </c>
      <c r="E37" s="87">
        <v>26.1</v>
      </c>
      <c r="F37" s="87">
        <v>1.1900000000000002</v>
      </c>
      <c r="G37" s="87">
        <f t="shared" si="1"/>
        <v>27.290000000000003</v>
      </c>
      <c r="H37" s="87">
        <v>34</v>
      </c>
      <c r="K37">
        <v>320</v>
      </c>
      <c r="L37" t="s">
        <v>132</v>
      </c>
      <c r="M37" s="87">
        <v>26</v>
      </c>
      <c r="N37" s="87">
        <v>1.08</v>
      </c>
      <c r="O37" s="87">
        <f t="shared" si="2"/>
        <v>27.08</v>
      </c>
      <c r="P37" s="87">
        <v>25</v>
      </c>
      <c r="Q37" s="87"/>
    </row>
    <row r="38" spans="2:17" x14ac:dyDescent="0.15">
      <c r="B38">
        <v>36</v>
      </c>
      <c r="C38">
        <v>316</v>
      </c>
      <c r="D38" t="s">
        <v>135</v>
      </c>
      <c r="E38" s="87">
        <v>25.3</v>
      </c>
      <c r="F38" s="87">
        <v>0.96</v>
      </c>
      <c r="G38" s="87">
        <f t="shared" si="1"/>
        <v>26.26</v>
      </c>
      <c r="H38" s="87">
        <v>25.091999999999999</v>
      </c>
      <c r="K38">
        <v>326</v>
      </c>
      <c r="L38" t="s">
        <v>136</v>
      </c>
      <c r="M38" s="87">
        <v>24.8</v>
      </c>
      <c r="N38" s="87">
        <v>1.01</v>
      </c>
      <c r="O38" s="87">
        <f t="shared" si="2"/>
        <v>25.810000000000002</v>
      </c>
      <c r="P38" s="87">
        <v>34</v>
      </c>
      <c r="Q38" s="87"/>
    </row>
    <row r="39" spans="2:17" x14ac:dyDescent="0.15">
      <c r="B39">
        <v>37</v>
      </c>
      <c r="C39">
        <v>661</v>
      </c>
      <c r="D39" t="s">
        <v>31</v>
      </c>
      <c r="E39" s="87">
        <v>25.5</v>
      </c>
      <c r="F39" s="87">
        <v>1.08</v>
      </c>
      <c r="G39" s="87">
        <f t="shared" si="1"/>
        <v>26.58</v>
      </c>
      <c r="H39" s="87">
        <v>24.119999999999997</v>
      </c>
      <c r="K39">
        <v>329</v>
      </c>
      <c r="L39" t="s">
        <v>142</v>
      </c>
      <c r="M39" s="87">
        <v>26.700000000000003</v>
      </c>
      <c r="N39" s="87">
        <v>0.95</v>
      </c>
      <c r="O39" s="87">
        <f t="shared" si="2"/>
        <v>27.650000000000002</v>
      </c>
      <c r="P39" s="87">
        <v>24.740000000000002</v>
      </c>
      <c r="Q39" s="87"/>
    </row>
    <row r="40" spans="2:17" x14ac:dyDescent="0.15">
      <c r="B40">
        <v>38</v>
      </c>
      <c r="C40">
        <v>615</v>
      </c>
      <c r="D40" t="s">
        <v>32</v>
      </c>
      <c r="E40" s="87">
        <v>25.2</v>
      </c>
      <c r="F40" s="87">
        <v>0.80999999999999994</v>
      </c>
      <c r="G40" s="87">
        <f t="shared" si="1"/>
        <v>26.009999999999998</v>
      </c>
      <c r="H40" s="87">
        <v>22.56</v>
      </c>
      <c r="K40">
        <v>330</v>
      </c>
      <c r="L40" t="s">
        <v>154</v>
      </c>
      <c r="M40" s="87">
        <v>26.1</v>
      </c>
      <c r="N40" s="87">
        <v>1.05</v>
      </c>
      <c r="O40" s="87">
        <f t="shared" si="2"/>
        <v>27.150000000000002</v>
      </c>
      <c r="P40" s="87">
        <v>22.849999999999998</v>
      </c>
      <c r="Q40" s="87"/>
    </row>
    <row r="41" spans="2:17" x14ac:dyDescent="0.15">
      <c r="B41">
        <v>39</v>
      </c>
      <c r="C41">
        <v>167</v>
      </c>
      <c r="D41" t="s">
        <v>123</v>
      </c>
      <c r="E41" s="87">
        <v>25.5</v>
      </c>
      <c r="F41" s="87">
        <v>0.72</v>
      </c>
      <c r="G41" s="87">
        <f t="shared" si="1"/>
        <v>26.22</v>
      </c>
      <c r="H41" s="87">
        <v>29.7</v>
      </c>
      <c r="K41">
        <v>330</v>
      </c>
      <c r="L41" t="s">
        <v>144</v>
      </c>
      <c r="M41" s="87">
        <v>25.1</v>
      </c>
      <c r="N41" s="87">
        <v>0.96</v>
      </c>
      <c r="O41" s="87">
        <f t="shared" si="2"/>
        <v>26.060000000000002</v>
      </c>
      <c r="P41" s="87">
        <v>25.3</v>
      </c>
      <c r="Q41" s="87"/>
    </row>
    <row r="42" spans="2:17" x14ac:dyDescent="0.15">
      <c r="B42">
        <v>40</v>
      </c>
      <c r="C42">
        <v>169</v>
      </c>
      <c r="D42" t="s">
        <v>124</v>
      </c>
      <c r="E42" s="87">
        <v>24.6</v>
      </c>
      <c r="F42" s="87">
        <v>0.8</v>
      </c>
      <c r="G42" s="87">
        <f t="shared" si="1"/>
        <v>25.400000000000002</v>
      </c>
      <c r="H42" s="87">
        <v>24.400000000000002</v>
      </c>
      <c r="K42">
        <v>336</v>
      </c>
      <c r="L42" t="s">
        <v>147</v>
      </c>
      <c r="M42" s="87">
        <v>25</v>
      </c>
      <c r="N42" s="87">
        <v>1.0999999999999999</v>
      </c>
      <c r="O42" s="87">
        <f t="shared" si="2"/>
        <v>26.1</v>
      </c>
      <c r="P42" s="87">
        <v>21.52</v>
      </c>
      <c r="Q42" s="87"/>
    </row>
    <row r="43" spans="2:17" x14ac:dyDescent="0.15">
      <c r="B43">
        <v>41</v>
      </c>
      <c r="C43">
        <v>223</v>
      </c>
      <c r="D43" t="s">
        <v>125</v>
      </c>
      <c r="E43" s="87">
        <v>23.200000000000003</v>
      </c>
      <c r="F43" s="87">
        <v>0.62</v>
      </c>
      <c r="G43" s="87">
        <f t="shared" si="1"/>
        <v>23.820000000000004</v>
      </c>
      <c r="H43" s="87">
        <v>22.1</v>
      </c>
      <c r="K43">
        <v>340</v>
      </c>
      <c r="L43" t="s">
        <v>146</v>
      </c>
      <c r="M43" s="87">
        <v>26.400000000000002</v>
      </c>
      <c r="N43" s="87">
        <v>0.95</v>
      </c>
      <c r="O43" s="87">
        <f t="shared" si="2"/>
        <v>27.35</v>
      </c>
      <c r="P43" s="87">
        <v>25.74</v>
      </c>
      <c r="Q43" s="87"/>
    </row>
    <row r="44" spans="2:17" x14ac:dyDescent="0.15">
      <c r="B44">
        <v>42</v>
      </c>
      <c r="C44">
        <v>756</v>
      </c>
      <c r="D44" t="s">
        <v>33</v>
      </c>
      <c r="E44" s="87">
        <v>25.1</v>
      </c>
      <c r="F44" s="87">
        <v>0.97</v>
      </c>
      <c r="G44" s="87">
        <f t="shared" si="1"/>
        <v>26.07</v>
      </c>
      <c r="H44" s="87">
        <v>20.350000000000001</v>
      </c>
      <c r="K44">
        <v>350</v>
      </c>
      <c r="L44" t="s">
        <v>138</v>
      </c>
      <c r="M44" s="87">
        <v>25.2</v>
      </c>
      <c r="N44" s="87">
        <v>1.05</v>
      </c>
      <c r="O44" s="87">
        <f t="shared" si="2"/>
        <v>26.25</v>
      </c>
      <c r="P44" s="87">
        <v>28.23</v>
      </c>
      <c r="Q44" s="87"/>
    </row>
    <row r="45" spans="2:17" x14ac:dyDescent="0.15">
      <c r="B45">
        <v>43</v>
      </c>
      <c r="C45">
        <v>183</v>
      </c>
      <c r="D45" t="s">
        <v>126</v>
      </c>
      <c r="E45" s="87">
        <v>25</v>
      </c>
      <c r="F45" s="87">
        <v>0.89999999999999991</v>
      </c>
      <c r="G45" s="87">
        <f t="shared" si="1"/>
        <v>25.9</v>
      </c>
      <c r="H45" s="87">
        <v>25</v>
      </c>
      <c r="K45">
        <v>360</v>
      </c>
      <c r="L45" t="s">
        <v>139</v>
      </c>
      <c r="M45" s="87">
        <v>27</v>
      </c>
      <c r="N45" s="87">
        <v>1.23</v>
      </c>
      <c r="O45" s="87">
        <f t="shared" si="2"/>
        <v>28.23</v>
      </c>
      <c r="P45" s="87">
        <v>33.090000000000003</v>
      </c>
      <c r="Q45" s="87"/>
    </row>
    <row r="46" spans="2:17" x14ac:dyDescent="0.15">
      <c r="B46">
        <v>44</v>
      </c>
      <c r="C46">
        <v>849</v>
      </c>
      <c r="D46" t="s">
        <v>50</v>
      </c>
      <c r="E46" s="87">
        <v>25.7</v>
      </c>
      <c r="F46" s="87">
        <v>1.2</v>
      </c>
      <c r="G46" s="87">
        <f t="shared" si="1"/>
        <v>26.9</v>
      </c>
      <c r="H46" s="87">
        <v>32.849999999999994</v>
      </c>
      <c r="K46">
        <v>370</v>
      </c>
      <c r="L46" t="s">
        <v>140</v>
      </c>
      <c r="M46" s="87">
        <v>25</v>
      </c>
      <c r="N46" s="87">
        <v>0.98</v>
      </c>
      <c r="O46" s="87">
        <f t="shared" si="2"/>
        <v>25.98</v>
      </c>
      <c r="P46" s="87">
        <v>25</v>
      </c>
      <c r="Q46" s="87"/>
    </row>
    <row r="47" spans="2:17" x14ac:dyDescent="0.15">
      <c r="B47">
        <v>45</v>
      </c>
      <c r="C47">
        <v>326</v>
      </c>
      <c r="D47" t="s">
        <v>136</v>
      </c>
      <c r="E47" s="87">
        <v>24.8</v>
      </c>
      <c r="F47" s="87">
        <v>1.01</v>
      </c>
      <c r="G47" s="87">
        <f t="shared" si="1"/>
        <v>25.810000000000002</v>
      </c>
      <c r="H47" s="87">
        <v>34</v>
      </c>
      <c r="K47">
        <v>376</v>
      </c>
      <c r="L47" t="s">
        <v>134</v>
      </c>
      <c r="M47" s="87">
        <v>26.3</v>
      </c>
      <c r="N47" s="87">
        <v>1.1599999999999999</v>
      </c>
      <c r="O47" s="87">
        <f t="shared" si="2"/>
        <v>27.46</v>
      </c>
      <c r="P47" s="87">
        <v>32.340000000000003</v>
      </c>
      <c r="Q47" s="87"/>
    </row>
    <row r="48" spans="2:17" x14ac:dyDescent="0.15">
      <c r="B48">
        <v>46</v>
      </c>
      <c r="C48">
        <v>440</v>
      </c>
      <c r="D48" t="s">
        <v>156</v>
      </c>
      <c r="E48" s="87">
        <v>26.400000000000002</v>
      </c>
      <c r="F48" s="87">
        <v>0.98</v>
      </c>
      <c r="G48" s="87">
        <f t="shared" si="1"/>
        <v>27.380000000000003</v>
      </c>
      <c r="H48" s="87">
        <v>30.3</v>
      </c>
      <c r="K48">
        <v>390</v>
      </c>
      <c r="L48" t="s">
        <v>148</v>
      </c>
      <c r="M48" s="87">
        <v>25.2</v>
      </c>
      <c r="N48" s="87">
        <v>1.02</v>
      </c>
      <c r="O48" s="87">
        <f t="shared" si="2"/>
        <v>26.22</v>
      </c>
      <c r="P48" s="87">
        <v>32.32</v>
      </c>
      <c r="Q48" s="87"/>
    </row>
    <row r="49" spans="2:17" x14ac:dyDescent="0.15">
      <c r="B49">
        <v>47</v>
      </c>
      <c r="C49">
        <v>621</v>
      </c>
      <c r="D49" t="s">
        <v>157</v>
      </c>
      <c r="E49" s="87">
        <v>25.5</v>
      </c>
      <c r="F49" s="87">
        <v>0.91999999999999993</v>
      </c>
      <c r="G49" s="87">
        <f t="shared" si="1"/>
        <v>26.42</v>
      </c>
      <c r="H49" s="87">
        <v>25</v>
      </c>
      <c r="K49">
        <v>400</v>
      </c>
      <c r="L49" t="s">
        <v>109</v>
      </c>
      <c r="M49" s="87">
        <v>26.200000000000003</v>
      </c>
      <c r="N49" s="87">
        <v>0.92999999999999994</v>
      </c>
      <c r="O49" s="87">
        <f t="shared" si="2"/>
        <v>27.130000000000003</v>
      </c>
      <c r="P49" s="87">
        <v>34</v>
      </c>
      <c r="Q49" s="87"/>
    </row>
    <row r="50" spans="2:17" x14ac:dyDescent="0.15">
      <c r="B50">
        <v>48</v>
      </c>
      <c r="C50">
        <v>101</v>
      </c>
      <c r="D50" t="s">
        <v>104</v>
      </c>
      <c r="E50" s="87">
        <v>23.799999999999997</v>
      </c>
      <c r="F50" s="87">
        <v>0.8</v>
      </c>
      <c r="G50" s="87">
        <f t="shared" si="1"/>
        <v>24.599999999999998</v>
      </c>
      <c r="H50" s="87">
        <v>34</v>
      </c>
      <c r="K50">
        <v>410</v>
      </c>
      <c r="L50" t="s">
        <v>159</v>
      </c>
      <c r="M50" s="87">
        <v>25.8</v>
      </c>
      <c r="N50" s="87">
        <v>0.89999999999999991</v>
      </c>
      <c r="O50" s="87">
        <f t="shared" si="2"/>
        <v>26.7</v>
      </c>
      <c r="P50" s="87">
        <v>21.29</v>
      </c>
      <c r="Q50" s="87"/>
    </row>
    <row r="51" spans="2:17" x14ac:dyDescent="0.15">
      <c r="B51">
        <v>49</v>
      </c>
      <c r="C51">
        <v>259</v>
      </c>
      <c r="D51" t="s">
        <v>137</v>
      </c>
      <c r="E51" s="87">
        <v>24.9</v>
      </c>
      <c r="F51" s="87">
        <v>0.86999999999999988</v>
      </c>
      <c r="G51" s="87">
        <f t="shared" si="1"/>
        <v>25.77</v>
      </c>
      <c r="H51" s="87">
        <v>21.038</v>
      </c>
      <c r="K51">
        <v>420</v>
      </c>
      <c r="L51" t="s">
        <v>149</v>
      </c>
      <c r="M51" s="87">
        <v>26.1</v>
      </c>
      <c r="N51" s="87">
        <v>0.95</v>
      </c>
      <c r="O51" s="87">
        <f t="shared" si="2"/>
        <v>27.05</v>
      </c>
      <c r="P51" s="87">
        <v>22.12</v>
      </c>
      <c r="Q51" s="87"/>
    </row>
    <row r="52" spans="2:17" x14ac:dyDescent="0.15">
      <c r="B52">
        <v>50</v>
      </c>
      <c r="C52">
        <v>482</v>
      </c>
      <c r="D52" t="s">
        <v>158</v>
      </c>
      <c r="E52" s="87">
        <v>27.800000000000004</v>
      </c>
      <c r="F52" s="87">
        <v>1.1400000000000001</v>
      </c>
      <c r="G52" s="87">
        <f t="shared" si="1"/>
        <v>28.940000000000005</v>
      </c>
      <c r="H52" s="87">
        <v>24.57</v>
      </c>
      <c r="K52">
        <v>440</v>
      </c>
      <c r="L52" t="s">
        <v>156</v>
      </c>
      <c r="M52" s="87">
        <v>26.400000000000002</v>
      </c>
      <c r="N52" s="87">
        <v>0.98</v>
      </c>
      <c r="O52" s="87">
        <f t="shared" si="2"/>
        <v>27.380000000000003</v>
      </c>
      <c r="P52" s="87">
        <v>30.3</v>
      </c>
      <c r="Q52" s="87"/>
    </row>
    <row r="53" spans="2:17" x14ac:dyDescent="0.15">
      <c r="B53">
        <v>51</v>
      </c>
      <c r="C53">
        <v>350</v>
      </c>
      <c r="D53" t="s">
        <v>138</v>
      </c>
      <c r="E53" s="87">
        <v>25.2</v>
      </c>
      <c r="F53" s="87">
        <v>1.05</v>
      </c>
      <c r="G53" s="87">
        <f t="shared" si="1"/>
        <v>26.25</v>
      </c>
      <c r="H53" s="87">
        <v>28.23</v>
      </c>
      <c r="K53">
        <v>450</v>
      </c>
      <c r="L53" t="s">
        <v>160</v>
      </c>
      <c r="M53" s="87">
        <v>26.400000000000002</v>
      </c>
      <c r="N53" s="87">
        <v>1.0999999999999999</v>
      </c>
      <c r="O53" s="87">
        <f t="shared" si="2"/>
        <v>27.500000000000004</v>
      </c>
      <c r="P53" s="87">
        <v>27.830000000000002</v>
      </c>
      <c r="Q53" s="87"/>
    </row>
    <row r="54" spans="2:17" x14ac:dyDescent="0.15">
      <c r="B54">
        <v>52</v>
      </c>
      <c r="C54">
        <v>665</v>
      </c>
      <c r="D54" t="s">
        <v>34</v>
      </c>
      <c r="E54" s="87">
        <v>25.2</v>
      </c>
      <c r="F54" s="87">
        <v>1.27</v>
      </c>
      <c r="G54" s="87">
        <f t="shared" si="1"/>
        <v>26.47</v>
      </c>
      <c r="H54" s="87">
        <v>28</v>
      </c>
      <c r="K54">
        <v>461</v>
      </c>
      <c r="L54" t="s">
        <v>161</v>
      </c>
      <c r="M54" s="87">
        <v>25.4</v>
      </c>
      <c r="N54" s="87">
        <v>0.67999999999999994</v>
      </c>
      <c r="O54" s="87">
        <f t="shared" si="2"/>
        <v>26.08</v>
      </c>
      <c r="P54" s="87">
        <v>21.71</v>
      </c>
      <c r="Q54" s="87"/>
    </row>
    <row r="55" spans="2:17" x14ac:dyDescent="0.15">
      <c r="B55">
        <v>53</v>
      </c>
      <c r="C55">
        <v>360</v>
      </c>
      <c r="D55" t="s">
        <v>139</v>
      </c>
      <c r="E55" s="87">
        <v>27</v>
      </c>
      <c r="F55" s="87">
        <v>1.23</v>
      </c>
      <c r="G55" s="87">
        <f t="shared" si="1"/>
        <v>28.23</v>
      </c>
      <c r="H55" s="87">
        <v>33.090000000000003</v>
      </c>
      <c r="K55">
        <v>479</v>
      </c>
      <c r="L55" t="s">
        <v>162</v>
      </c>
      <c r="M55" s="87">
        <v>26.8</v>
      </c>
      <c r="N55" s="87">
        <v>1.02</v>
      </c>
      <c r="O55" s="87">
        <f t="shared" si="2"/>
        <v>27.82</v>
      </c>
      <c r="P55" s="87">
        <v>23.32</v>
      </c>
      <c r="Q55" s="87"/>
    </row>
    <row r="56" spans="2:17" x14ac:dyDescent="0.15">
      <c r="B56">
        <v>54</v>
      </c>
      <c r="C56">
        <v>173</v>
      </c>
      <c r="D56" t="s">
        <v>127</v>
      </c>
      <c r="E56" s="87">
        <v>23.7</v>
      </c>
      <c r="F56" s="87">
        <v>0.54999999999999993</v>
      </c>
      <c r="G56" s="87">
        <f t="shared" si="1"/>
        <v>24.25</v>
      </c>
      <c r="H56" s="87">
        <v>21.484999999999999</v>
      </c>
      <c r="K56">
        <v>480</v>
      </c>
      <c r="L56" t="s">
        <v>1147</v>
      </c>
      <c r="M56" s="87">
        <v>26</v>
      </c>
      <c r="N56" s="87">
        <v>1.04</v>
      </c>
      <c r="O56" s="87">
        <f t="shared" si="2"/>
        <v>27.04</v>
      </c>
      <c r="P56" s="87">
        <v>29.98</v>
      </c>
      <c r="Q56" s="87"/>
    </row>
    <row r="57" spans="2:17" x14ac:dyDescent="0.15">
      <c r="B57">
        <v>55</v>
      </c>
      <c r="C57">
        <v>825</v>
      </c>
      <c r="D57" t="s">
        <v>51</v>
      </c>
      <c r="E57" s="87">
        <v>26.5</v>
      </c>
      <c r="F57" s="87">
        <v>1.3</v>
      </c>
      <c r="G57" s="87">
        <f t="shared" si="1"/>
        <v>27.8</v>
      </c>
      <c r="H57" s="87">
        <v>34</v>
      </c>
      <c r="K57">
        <v>482</v>
      </c>
      <c r="L57" t="s">
        <v>158</v>
      </c>
      <c r="M57" s="87">
        <v>27.800000000000004</v>
      </c>
      <c r="N57" s="87">
        <v>1.1400000000000001</v>
      </c>
      <c r="O57" s="87">
        <f t="shared" si="2"/>
        <v>28.940000000000005</v>
      </c>
      <c r="P57" s="87">
        <v>24.57</v>
      </c>
      <c r="Q57" s="87"/>
    </row>
    <row r="58" spans="2:17" x14ac:dyDescent="0.15">
      <c r="B58">
        <v>56</v>
      </c>
      <c r="C58">
        <v>846</v>
      </c>
      <c r="D58" t="s">
        <v>52</v>
      </c>
      <c r="E58" s="87">
        <v>26.1</v>
      </c>
      <c r="F58" s="87">
        <v>1.1499999999999999</v>
      </c>
      <c r="G58" s="87">
        <f t="shared" si="1"/>
        <v>27.25</v>
      </c>
      <c r="H58" s="87">
        <v>34</v>
      </c>
      <c r="K58">
        <v>492</v>
      </c>
      <c r="L58" t="s">
        <v>26</v>
      </c>
      <c r="M58" s="87">
        <v>26.1</v>
      </c>
      <c r="N58" s="87">
        <v>1.0699999999999998</v>
      </c>
      <c r="O58" s="87">
        <f t="shared" si="2"/>
        <v>27.17</v>
      </c>
      <c r="P58" s="87">
        <v>30</v>
      </c>
      <c r="Q58" s="87"/>
    </row>
    <row r="59" spans="2:17" x14ac:dyDescent="0.15">
      <c r="B59">
        <v>57</v>
      </c>
      <c r="C59">
        <v>410</v>
      </c>
      <c r="D59" t="s">
        <v>159</v>
      </c>
      <c r="E59" s="87">
        <v>25.8</v>
      </c>
      <c r="F59" s="87">
        <v>0.89999999999999991</v>
      </c>
      <c r="G59" s="87">
        <f t="shared" si="1"/>
        <v>26.7</v>
      </c>
      <c r="H59" s="87">
        <v>21.29</v>
      </c>
      <c r="K59">
        <v>510</v>
      </c>
      <c r="L59" t="s">
        <v>155</v>
      </c>
      <c r="M59" s="87">
        <v>26.3</v>
      </c>
      <c r="N59" s="87">
        <v>0.95</v>
      </c>
      <c r="O59" s="87">
        <f t="shared" si="2"/>
        <v>27.25</v>
      </c>
      <c r="P59" s="87">
        <v>24.36</v>
      </c>
      <c r="Q59" s="87"/>
    </row>
    <row r="60" spans="2:17" x14ac:dyDescent="0.15">
      <c r="B60">
        <v>58</v>
      </c>
      <c r="C60">
        <v>773</v>
      </c>
      <c r="D60" t="s">
        <v>53</v>
      </c>
      <c r="E60" s="87">
        <v>25.8</v>
      </c>
      <c r="F60" s="87">
        <v>1.2</v>
      </c>
      <c r="G60" s="87">
        <f t="shared" si="1"/>
        <v>27</v>
      </c>
      <c r="H60" s="87">
        <v>24.68</v>
      </c>
      <c r="K60">
        <v>530</v>
      </c>
      <c r="L60" t="s">
        <v>150</v>
      </c>
      <c r="M60" s="87">
        <v>24</v>
      </c>
      <c r="N60" s="87">
        <v>0.89</v>
      </c>
      <c r="O60" s="87">
        <f t="shared" si="2"/>
        <v>24.89</v>
      </c>
      <c r="P60" s="87">
        <v>18.48</v>
      </c>
      <c r="Q60" s="87"/>
    </row>
    <row r="61" spans="2:17" x14ac:dyDescent="0.15">
      <c r="B61">
        <v>59</v>
      </c>
      <c r="C61">
        <v>707</v>
      </c>
      <c r="D61" t="s">
        <v>35</v>
      </c>
      <c r="E61" s="87">
        <v>26.700000000000003</v>
      </c>
      <c r="F61" s="87">
        <v>1</v>
      </c>
      <c r="G61" s="87">
        <f t="shared" si="1"/>
        <v>27.700000000000003</v>
      </c>
      <c r="H61" s="87">
        <v>34</v>
      </c>
      <c r="K61">
        <v>540</v>
      </c>
      <c r="L61" t="s">
        <v>163</v>
      </c>
      <c r="M61" s="87">
        <v>25.7</v>
      </c>
      <c r="N61" s="87">
        <v>0.92999999999999994</v>
      </c>
      <c r="O61" s="87">
        <f t="shared" si="2"/>
        <v>26.63</v>
      </c>
      <c r="P61" s="87">
        <v>27.099999999999998</v>
      </c>
      <c r="Q61" s="87"/>
    </row>
    <row r="62" spans="2:17" x14ac:dyDescent="0.15">
      <c r="B62">
        <v>60</v>
      </c>
      <c r="C62">
        <v>480</v>
      </c>
      <c r="D62" t="s">
        <v>1147</v>
      </c>
      <c r="E62" s="87">
        <v>26</v>
      </c>
      <c r="F62" s="87">
        <v>1.04</v>
      </c>
      <c r="G62" s="87">
        <f t="shared" si="1"/>
        <v>27.04</v>
      </c>
      <c r="H62" s="87">
        <v>29.98</v>
      </c>
      <c r="K62">
        <v>550</v>
      </c>
      <c r="L62" t="s">
        <v>164</v>
      </c>
      <c r="M62" s="87">
        <v>25.3</v>
      </c>
      <c r="N62" s="87">
        <v>1.1599999999999999</v>
      </c>
      <c r="O62" s="87">
        <f t="shared" si="2"/>
        <v>26.46</v>
      </c>
      <c r="P62" s="87">
        <v>21.24</v>
      </c>
      <c r="Q62" s="87"/>
    </row>
    <row r="63" spans="2:17" x14ac:dyDescent="0.15">
      <c r="B63">
        <v>61</v>
      </c>
      <c r="C63">
        <v>450</v>
      </c>
      <c r="D63" t="s">
        <v>160</v>
      </c>
      <c r="E63" s="87">
        <v>26.400000000000002</v>
      </c>
      <c r="F63" s="87">
        <v>1.0999999999999999</v>
      </c>
      <c r="G63" s="87">
        <f t="shared" si="1"/>
        <v>27.500000000000004</v>
      </c>
      <c r="H63" s="87">
        <v>27.830000000000002</v>
      </c>
      <c r="K63">
        <v>561</v>
      </c>
      <c r="L63" t="s">
        <v>151</v>
      </c>
      <c r="M63" s="87">
        <v>25.8</v>
      </c>
      <c r="N63" s="87">
        <v>0.80999999999999994</v>
      </c>
      <c r="O63" s="87">
        <f t="shared" si="2"/>
        <v>26.61</v>
      </c>
      <c r="P63" s="87">
        <v>25.29</v>
      </c>
      <c r="Q63" s="87"/>
    </row>
    <row r="64" spans="2:17" x14ac:dyDescent="0.15">
      <c r="B64">
        <v>62</v>
      </c>
      <c r="C64">
        <v>370</v>
      </c>
      <c r="D64" t="s">
        <v>140</v>
      </c>
      <c r="E64" s="87">
        <v>25</v>
      </c>
      <c r="F64" s="87">
        <v>0.98</v>
      </c>
      <c r="G64" s="87">
        <f t="shared" si="1"/>
        <v>25.98</v>
      </c>
      <c r="H64" s="87">
        <v>25</v>
      </c>
      <c r="K64">
        <v>563</v>
      </c>
      <c r="L64" t="s">
        <v>152</v>
      </c>
      <c r="M64" s="87">
        <v>24.9</v>
      </c>
      <c r="N64" s="87">
        <v>1.1400000000000001</v>
      </c>
      <c r="O64" s="87">
        <f t="shared" si="2"/>
        <v>26.04</v>
      </c>
      <c r="P64" s="87">
        <v>34</v>
      </c>
      <c r="Q64" s="87"/>
    </row>
    <row r="65" spans="2:17" x14ac:dyDescent="0.15">
      <c r="B65">
        <v>63</v>
      </c>
      <c r="C65">
        <v>727</v>
      </c>
      <c r="D65" t="s">
        <v>36</v>
      </c>
      <c r="E65" s="87">
        <v>25.1</v>
      </c>
      <c r="F65" s="87">
        <v>0.95</v>
      </c>
      <c r="G65" s="87">
        <f t="shared" si="1"/>
        <v>26.05</v>
      </c>
      <c r="H65" s="87">
        <v>30.32</v>
      </c>
      <c r="K65">
        <v>573</v>
      </c>
      <c r="L65" t="s">
        <v>165</v>
      </c>
      <c r="M65" s="87">
        <v>25.1</v>
      </c>
      <c r="N65" s="87">
        <v>0.98</v>
      </c>
      <c r="O65" s="87">
        <f t="shared" si="2"/>
        <v>26.080000000000002</v>
      </c>
      <c r="P65" s="87">
        <v>31.56</v>
      </c>
      <c r="Q65" s="87"/>
    </row>
    <row r="66" spans="2:17" x14ac:dyDescent="0.15">
      <c r="B66">
        <v>64</v>
      </c>
      <c r="C66">
        <v>461</v>
      </c>
      <c r="D66" t="s">
        <v>161</v>
      </c>
      <c r="E66" s="87">
        <v>25.4</v>
      </c>
      <c r="F66" s="87">
        <v>0.67999999999999994</v>
      </c>
      <c r="G66" s="87">
        <f t="shared" si="1"/>
        <v>26.08</v>
      </c>
      <c r="H66" s="87">
        <v>21.71</v>
      </c>
      <c r="K66">
        <v>575</v>
      </c>
      <c r="L66" t="s">
        <v>166</v>
      </c>
      <c r="M66" s="87">
        <v>25.2</v>
      </c>
      <c r="N66" s="87">
        <v>1.06</v>
      </c>
      <c r="O66" s="87">
        <f t="shared" si="2"/>
        <v>26.259999999999998</v>
      </c>
      <c r="P66" s="87">
        <v>20.36</v>
      </c>
      <c r="Q66" s="87"/>
    </row>
    <row r="67" spans="2:17" x14ac:dyDescent="0.15">
      <c r="B67">
        <v>65</v>
      </c>
      <c r="C67">
        <v>306</v>
      </c>
      <c r="D67" t="s">
        <v>141</v>
      </c>
      <c r="E67" s="87">
        <v>26.6</v>
      </c>
      <c r="F67" s="87">
        <v>0.98</v>
      </c>
      <c r="G67" s="87">
        <f t="shared" si="1"/>
        <v>27.580000000000002</v>
      </c>
      <c r="H67" s="87">
        <v>34</v>
      </c>
      <c r="K67">
        <v>580</v>
      </c>
      <c r="L67" t="s">
        <v>27</v>
      </c>
      <c r="M67" s="87">
        <v>25.6</v>
      </c>
      <c r="N67" s="87">
        <v>0.95</v>
      </c>
      <c r="O67" s="87">
        <f t="shared" ref="O67:O98" si="3">M67+N67</f>
        <v>26.55</v>
      </c>
      <c r="P67" s="87">
        <v>18.899999999999999</v>
      </c>
      <c r="Q67" s="87"/>
    </row>
    <row r="68" spans="2:17" x14ac:dyDescent="0.15">
      <c r="B68">
        <v>66</v>
      </c>
      <c r="C68">
        <v>730</v>
      </c>
      <c r="D68" t="s">
        <v>37</v>
      </c>
      <c r="E68" s="87">
        <v>25.8</v>
      </c>
      <c r="F68" s="87">
        <v>0.89</v>
      </c>
      <c r="G68" s="87">
        <f t="shared" ref="G68:G100" si="4">E68+F68</f>
        <v>26.69</v>
      </c>
      <c r="H68" s="87">
        <v>27.93</v>
      </c>
      <c r="K68">
        <v>607</v>
      </c>
      <c r="L68" t="s">
        <v>153</v>
      </c>
      <c r="M68" s="87">
        <v>25.5</v>
      </c>
      <c r="N68" s="87">
        <v>0.88</v>
      </c>
      <c r="O68" s="87">
        <f t="shared" si="3"/>
        <v>26.38</v>
      </c>
      <c r="P68" s="87">
        <v>26</v>
      </c>
      <c r="Q68" s="87"/>
    </row>
    <row r="69" spans="2:17" x14ac:dyDescent="0.15">
      <c r="B69">
        <v>67</v>
      </c>
      <c r="C69">
        <v>840</v>
      </c>
      <c r="D69" t="s">
        <v>54</v>
      </c>
      <c r="E69" s="87">
        <v>25.5</v>
      </c>
      <c r="F69" s="87">
        <v>1.2</v>
      </c>
      <c r="G69" s="87">
        <f t="shared" si="4"/>
        <v>26.7</v>
      </c>
      <c r="H69" s="87">
        <v>26.086000000000002</v>
      </c>
      <c r="K69">
        <v>615</v>
      </c>
      <c r="L69" t="s">
        <v>32</v>
      </c>
      <c r="M69" s="87">
        <v>25.2</v>
      </c>
      <c r="N69" s="87">
        <v>0.80999999999999994</v>
      </c>
      <c r="O69" s="87">
        <f t="shared" si="3"/>
        <v>26.009999999999998</v>
      </c>
      <c r="P69" s="87">
        <v>22.56</v>
      </c>
      <c r="Q69" s="87"/>
    </row>
    <row r="70" spans="2:17" x14ac:dyDescent="0.15">
      <c r="B70">
        <v>68</v>
      </c>
      <c r="C70">
        <v>760</v>
      </c>
      <c r="D70" t="s">
        <v>38</v>
      </c>
      <c r="E70" s="87">
        <v>25</v>
      </c>
      <c r="F70" s="87">
        <v>1.05</v>
      </c>
      <c r="G70" s="87">
        <f t="shared" si="4"/>
        <v>26.05</v>
      </c>
      <c r="H70" s="87">
        <v>31</v>
      </c>
      <c r="K70">
        <v>621</v>
      </c>
      <c r="L70" t="s">
        <v>157</v>
      </c>
      <c r="M70" s="87">
        <v>25.5</v>
      </c>
      <c r="N70" s="87">
        <v>0.91999999999999993</v>
      </c>
      <c r="O70" s="87">
        <f t="shared" si="3"/>
        <v>26.42</v>
      </c>
      <c r="P70" s="87">
        <v>25</v>
      </c>
      <c r="Q70" s="87"/>
    </row>
    <row r="71" spans="2:17" x14ac:dyDescent="0.15">
      <c r="B71">
        <v>69</v>
      </c>
      <c r="C71">
        <v>329</v>
      </c>
      <c r="D71" t="s">
        <v>142</v>
      </c>
      <c r="E71" s="87">
        <v>26.700000000000003</v>
      </c>
      <c r="F71" s="87">
        <v>0.95</v>
      </c>
      <c r="G71" s="87">
        <f t="shared" si="4"/>
        <v>27.650000000000002</v>
      </c>
      <c r="H71" s="87">
        <v>24.740000000000002</v>
      </c>
      <c r="K71">
        <v>630</v>
      </c>
      <c r="L71" t="s">
        <v>25</v>
      </c>
      <c r="M71" s="87">
        <v>23.400000000000002</v>
      </c>
      <c r="N71" s="87">
        <v>0.89</v>
      </c>
      <c r="O71" s="87">
        <f t="shared" si="3"/>
        <v>24.290000000000003</v>
      </c>
      <c r="P71" s="87">
        <v>27.75</v>
      </c>
      <c r="Q71" s="87"/>
    </row>
    <row r="72" spans="2:17" x14ac:dyDescent="0.15">
      <c r="B72">
        <v>70</v>
      </c>
      <c r="C72">
        <v>265</v>
      </c>
      <c r="D72" t="s">
        <v>143</v>
      </c>
      <c r="E72" s="87">
        <v>25.2</v>
      </c>
      <c r="F72" s="87">
        <v>0.84</v>
      </c>
      <c r="G72" s="87">
        <f t="shared" si="4"/>
        <v>26.04</v>
      </c>
      <c r="H72" s="87">
        <v>25.69</v>
      </c>
      <c r="K72">
        <v>657</v>
      </c>
      <c r="L72" t="s">
        <v>30</v>
      </c>
      <c r="M72" s="87">
        <v>24.9</v>
      </c>
      <c r="N72" s="87">
        <v>0.9900000000000001</v>
      </c>
      <c r="O72" s="87">
        <f t="shared" si="3"/>
        <v>25.889999999999997</v>
      </c>
      <c r="P72" s="87">
        <v>20.53</v>
      </c>
      <c r="Q72" s="87"/>
    </row>
    <row r="73" spans="2:17" x14ac:dyDescent="0.15">
      <c r="B73">
        <v>71</v>
      </c>
      <c r="C73">
        <v>230</v>
      </c>
      <c r="D73" t="s">
        <v>128</v>
      </c>
      <c r="E73" s="87">
        <v>22.8</v>
      </c>
      <c r="F73" s="87">
        <v>0.55999999999999994</v>
      </c>
      <c r="G73" s="87">
        <f t="shared" si="4"/>
        <v>23.36</v>
      </c>
      <c r="H73" s="87">
        <v>22.93</v>
      </c>
      <c r="K73">
        <v>661</v>
      </c>
      <c r="L73" t="s">
        <v>31</v>
      </c>
      <c r="M73" s="87">
        <v>25.5</v>
      </c>
      <c r="N73" s="87">
        <v>1.08</v>
      </c>
      <c r="O73" s="87">
        <f t="shared" si="3"/>
        <v>26.58</v>
      </c>
      <c r="P73" s="87">
        <v>24.119999999999997</v>
      </c>
      <c r="Q73" s="87"/>
    </row>
    <row r="74" spans="2:17" x14ac:dyDescent="0.15">
      <c r="B74">
        <v>72</v>
      </c>
      <c r="C74">
        <v>175</v>
      </c>
      <c r="D74" t="s">
        <v>129</v>
      </c>
      <c r="E74" s="87">
        <v>25.7</v>
      </c>
      <c r="F74" s="87">
        <v>0.72</v>
      </c>
      <c r="G74" s="87">
        <f t="shared" si="4"/>
        <v>26.419999999999998</v>
      </c>
      <c r="H74" s="87">
        <v>30.8</v>
      </c>
      <c r="K74">
        <v>665</v>
      </c>
      <c r="L74" t="s">
        <v>34</v>
      </c>
      <c r="M74" s="87">
        <v>25.2</v>
      </c>
      <c r="N74" s="87">
        <v>1.27</v>
      </c>
      <c r="O74" s="87">
        <f t="shared" si="3"/>
        <v>26.47</v>
      </c>
      <c r="P74" s="87">
        <v>28</v>
      </c>
      <c r="Q74" s="87"/>
    </row>
    <row r="75" spans="2:17" x14ac:dyDescent="0.15">
      <c r="B75">
        <v>73</v>
      </c>
      <c r="C75">
        <v>741</v>
      </c>
      <c r="D75" t="s">
        <v>39</v>
      </c>
      <c r="E75" s="87">
        <v>26</v>
      </c>
      <c r="F75" s="87">
        <v>1.22</v>
      </c>
      <c r="G75" s="87">
        <f t="shared" si="4"/>
        <v>27.22</v>
      </c>
      <c r="H75" s="87">
        <v>30.75</v>
      </c>
      <c r="K75">
        <v>671</v>
      </c>
      <c r="L75" t="s">
        <v>43</v>
      </c>
      <c r="M75" s="87">
        <v>25.3</v>
      </c>
      <c r="N75" s="87">
        <v>1.2</v>
      </c>
      <c r="O75" s="87">
        <f t="shared" si="3"/>
        <v>26.5</v>
      </c>
      <c r="P75" s="87">
        <v>22.9</v>
      </c>
      <c r="Q75" s="87"/>
    </row>
    <row r="76" spans="2:17" x14ac:dyDescent="0.15">
      <c r="B76">
        <v>74</v>
      </c>
      <c r="C76">
        <v>740</v>
      </c>
      <c r="D76" t="s">
        <v>40</v>
      </c>
      <c r="E76" s="87">
        <v>25.5</v>
      </c>
      <c r="F76" s="87">
        <v>0.95</v>
      </c>
      <c r="G76" s="87">
        <f t="shared" si="4"/>
        <v>26.45</v>
      </c>
      <c r="H76" s="87">
        <v>28.26</v>
      </c>
      <c r="K76">
        <v>706</v>
      </c>
      <c r="L76" t="s">
        <v>44</v>
      </c>
      <c r="M76" s="87">
        <v>25.900000000000002</v>
      </c>
      <c r="N76" s="87">
        <v>1</v>
      </c>
      <c r="O76" s="87">
        <f t="shared" si="3"/>
        <v>26.900000000000002</v>
      </c>
      <c r="P76" s="87">
        <v>33.799999999999997</v>
      </c>
      <c r="Q76" s="87"/>
    </row>
    <row r="77" spans="2:17" x14ac:dyDescent="0.15">
      <c r="B77">
        <v>75</v>
      </c>
      <c r="C77">
        <v>746</v>
      </c>
      <c r="D77" t="s">
        <v>41</v>
      </c>
      <c r="E77" s="87">
        <v>25.7</v>
      </c>
      <c r="F77" s="87">
        <v>0.86</v>
      </c>
      <c r="G77" s="87">
        <f t="shared" si="4"/>
        <v>26.56</v>
      </c>
      <c r="H77" s="87">
        <v>24.66</v>
      </c>
      <c r="K77">
        <v>707</v>
      </c>
      <c r="L77" t="s">
        <v>35</v>
      </c>
      <c r="M77" s="87">
        <v>26.700000000000003</v>
      </c>
      <c r="N77" s="87">
        <v>1</v>
      </c>
      <c r="O77" s="87">
        <f t="shared" si="3"/>
        <v>27.700000000000003</v>
      </c>
      <c r="P77" s="87">
        <v>34</v>
      </c>
      <c r="Q77" s="87"/>
    </row>
    <row r="78" spans="2:17" x14ac:dyDescent="0.15">
      <c r="B78">
        <v>76</v>
      </c>
      <c r="C78">
        <v>779</v>
      </c>
      <c r="D78" t="s">
        <v>42</v>
      </c>
      <c r="E78" s="87">
        <v>25.5</v>
      </c>
      <c r="F78" s="87">
        <v>1.0900000000000001</v>
      </c>
      <c r="G78" s="87">
        <f t="shared" si="4"/>
        <v>26.59</v>
      </c>
      <c r="H78" s="87">
        <v>20.68</v>
      </c>
      <c r="K78">
        <v>710</v>
      </c>
      <c r="L78" t="s">
        <v>28</v>
      </c>
      <c r="M78" s="87">
        <v>25.7</v>
      </c>
      <c r="N78" s="87">
        <v>0.96</v>
      </c>
      <c r="O78" s="87">
        <f t="shared" si="3"/>
        <v>26.66</v>
      </c>
      <c r="P78" s="87">
        <v>23.32</v>
      </c>
      <c r="Q78" s="87"/>
    </row>
    <row r="79" spans="2:17" x14ac:dyDescent="0.15">
      <c r="B79">
        <v>77</v>
      </c>
      <c r="C79">
        <v>330</v>
      </c>
      <c r="D79" t="s">
        <v>144</v>
      </c>
      <c r="E79" s="87">
        <v>25.1</v>
      </c>
      <c r="F79" s="87">
        <v>0.96</v>
      </c>
      <c r="G79" s="87">
        <f t="shared" si="4"/>
        <v>26.060000000000002</v>
      </c>
      <c r="H79" s="87">
        <v>25.3</v>
      </c>
      <c r="K79">
        <v>727</v>
      </c>
      <c r="L79" t="s">
        <v>36</v>
      </c>
      <c r="M79" s="87">
        <v>25.1</v>
      </c>
      <c r="N79" s="87">
        <v>0.95</v>
      </c>
      <c r="O79" s="87">
        <f t="shared" si="3"/>
        <v>26.05</v>
      </c>
      <c r="P79" s="87">
        <v>30.32</v>
      </c>
      <c r="Q79" s="87"/>
    </row>
    <row r="80" spans="2:17" x14ac:dyDescent="0.15">
      <c r="B80">
        <v>78</v>
      </c>
      <c r="C80">
        <v>269</v>
      </c>
      <c r="D80" t="s">
        <v>145</v>
      </c>
      <c r="E80" s="87">
        <v>24.6</v>
      </c>
      <c r="F80" s="87">
        <v>0.82000000000000006</v>
      </c>
      <c r="G80" s="87">
        <f t="shared" si="4"/>
        <v>25.42</v>
      </c>
      <c r="H80" s="87">
        <v>20.95</v>
      </c>
      <c r="K80">
        <v>730</v>
      </c>
      <c r="L80" t="s">
        <v>37</v>
      </c>
      <c r="M80" s="87">
        <v>25.8</v>
      </c>
      <c r="N80" s="87">
        <v>0.89</v>
      </c>
      <c r="O80" s="87">
        <f t="shared" si="3"/>
        <v>26.69</v>
      </c>
      <c r="P80" s="87">
        <v>27.93</v>
      </c>
      <c r="Q80" s="87"/>
    </row>
    <row r="81" spans="2:17" x14ac:dyDescent="0.15">
      <c r="B81">
        <v>79</v>
      </c>
      <c r="C81">
        <v>340</v>
      </c>
      <c r="D81" t="s">
        <v>146</v>
      </c>
      <c r="E81" s="87">
        <v>26.400000000000002</v>
      </c>
      <c r="F81" s="87">
        <v>0.95</v>
      </c>
      <c r="G81" s="87">
        <f t="shared" si="4"/>
        <v>27.35</v>
      </c>
      <c r="H81" s="87">
        <v>25.74</v>
      </c>
      <c r="K81">
        <v>740</v>
      </c>
      <c r="L81" t="s">
        <v>40</v>
      </c>
      <c r="M81" s="87">
        <v>25.5</v>
      </c>
      <c r="N81" s="87">
        <v>0.95</v>
      </c>
      <c r="O81" s="87">
        <f t="shared" si="3"/>
        <v>26.45</v>
      </c>
      <c r="P81" s="87">
        <v>28.26</v>
      </c>
      <c r="Q81" s="87"/>
    </row>
    <row r="82" spans="2:17" x14ac:dyDescent="0.15">
      <c r="B82">
        <v>80</v>
      </c>
      <c r="C82">
        <v>336</v>
      </c>
      <c r="D82" t="s">
        <v>147</v>
      </c>
      <c r="E82" s="87">
        <v>25</v>
      </c>
      <c r="F82" s="87">
        <v>1.0999999999999999</v>
      </c>
      <c r="G82" s="87">
        <f t="shared" si="4"/>
        <v>26.1</v>
      </c>
      <c r="H82" s="87">
        <v>21.52</v>
      </c>
      <c r="K82">
        <v>741</v>
      </c>
      <c r="L82" t="s">
        <v>39</v>
      </c>
      <c r="M82" s="87">
        <v>26</v>
      </c>
      <c r="N82" s="87">
        <v>1.22</v>
      </c>
      <c r="O82" s="87">
        <f t="shared" si="3"/>
        <v>27.22</v>
      </c>
      <c r="P82" s="87">
        <v>30.75</v>
      </c>
      <c r="Q82" s="87"/>
    </row>
    <row r="83" spans="2:17" x14ac:dyDescent="0.15">
      <c r="B83">
        <v>81</v>
      </c>
      <c r="C83">
        <v>671</v>
      </c>
      <c r="D83" t="s">
        <v>43</v>
      </c>
      <c r="E83" s="87">
        <v>25.3</v>
      </c>
      <c r="F83" s="87">
        <v>1.2</v>
      </c>
      <c r="G83" s="87">
        <f t="shared" si="4"/>
        <v>26.5</v>
      </c>
      <c r="H83" s="87">
        <v>22.9</v>
      </c>
      <c r="K83">
        <v>746</v>
      </c>
      <c r="L83" t="s">
        <v>41</v>
      </c>
      <c r="M83" s="87">
        <v>25.7</v>
      </c>
      <c r="N83" s="87">
        <v>0.86</v>
      </c>
      <c r="O83" s="87">
        <f t="shared" si="3"/>
        <v>26.56</v>
      </c>
      <c r="P83" s="87">
        <v>24.66</v>
      </c>
      <c r="Q83" s="87"/>
    </row>
    <row r="84" spans="2:17" x14ac:dyDescent="0.15">
      <c r="B84">
        <v>82</v>
      </c>
      <c r="C84">
        <v>479</v>
      </c>
      <c r="D84" t="s">
        <v>162</v>
      </c>
      <c r="E84" s="87">
        <v>26.8</v>
      </c>
      <c r="F84" s="87">
        <v>1.02</v>
      </c>
      <c r="G84" s="87">
        <f t="shared" si="4"/>
        <v>27.82</v>
      </c>
      <c r="H84" s="87">
        <v>23.32</v>
      </c>
      <c r="K84">
        <v>751</v>
      </c>
      <c r="L84" t="s">
        <v>599</v>
      </c>
      <c r="M84" s="87">
        <v>24.4</v>
      </c>
      <c r="N84" s="87">
        <v>0.74</v>
      </c>
      <c r="O84" s="87">
        <f t="shared" si="3"/>
        <v>25.139999999999997</v>
      </c>
      <c r="P84" s="87">
        <v>24.580000000000002</v>
      </c>
      <c r="Q84" s="87"/>
    </row>
    <row r="85" spans="2:17" x14ac:dyDescent="0.15">
      <c r="B85">
        <v>83</v>
      </c>
      <c r="C85">
        <v>706</v>
      </c>
      <c r="D85" t="s">
        <v>44</v>
      </c>
      <c r="E85" s="87">
        <v>25.900000000000002</v>
      </c>
      <c r="F85" s="87">
        <v>1</v>
      </c>
      <c r="G85" s="87">
        <f t="shared" si="4"/>
        <v>26.900000000000002</v>
      </c>
      <c r="H85" s="87">
        <v>33.799999999999997</v>
      </c>
      <c r="K85">
        <v>756</v>
      </c>
      <c r="L85" t="s">
        <v>33</v>
      </c>
      <c r="M85" s="87">
        <v>25.1</v>
      </c>
      <c r="N85" s="87">
        <v>0.97</v>
      </c>
      <c r="O85" s="87">
        <f t="shared" si="3"/>
        <v>26.07</v>
      </c>
      <c r="P85" s="87">
        <v>20.350000000000001</v>
      </c>
      <c r="Q85" s="87"/>
    </row>
    <row r="86" spans="2:17" x14ac:dyDescent="0.15">
      <c r="B86">
        <v>84</v>
      </c>
      <c r="C86">
        <v>540</v>
      </c>
      <c r="D86" t="s">
        <v>163</v>
      </c>
      <c r="E86" s="87">
        <v>25.7</v>
      </c>
      <c r="F86" s="87">
        <v>0.92999999999999994</v>
      </c>
      <c r="G86" s="87">
        <f t="shared" si="4"/>
        <v>26.63</v>
      </c>
      <c r="H86" s="87">
        <v>27.099999999999998</v>
      </c>
      <c r="K86">
        <v>760</v>
      </c>
      <c r="L86" t="s">
        <v>38</v>
      </c>
      <c r="M86" s="87">
        <v>25</v>
      </c>
      <c r="N86" s="87">
        <v>1.05</v>
      </c>
      <c r="O86" s="87">
        <f t="shared" si="3"/>
        <v>26.05</v>
      </c>
      <c r="P86" s="87">
        <v>31</v>
      </c>
      <c r="Q86" s="87"/>
    </row>
    <row r="87" spans="2:17" x14ac:dyDescent="0.15">
      <c r="B87">
        <v>85</v>
      </c>
      <c r="C87">
        <v>787</v>
      </c>
      <c r="D87" t="s">
        <v>55</v>
      </c>
      <c r="E87" s="87">
        <v>25.5</v>
      </c>
      <c r="F87" s="87">
        <v>1.27</v>
      </c>
      <c r="G87" s="87">
        <f t="shared" si="4"/>
        <v>26.77</v>
      </c>
      <c r="H87" s="87">
        <v>23.75</v>
      </c>
      <c r="K87">
        <v>766</v>
      </c>
      <c r="L87" t="s">
        <v>29</v>
      </c>
      <c r="M87" s="87">
        <v>25.4</v>
      </c>
      <c r="N87" s="87">
        <v>0.98</v>
      </c>
      <c r="O87" s="87">
        <f t="shared" si="3"/>
        <v>26.38</v>
      </c>
      <c r="P87" s="87">
        <v>18</v>
      </c>
      <c r="Q87" s="87"/>
    </row>
    <row r="88" spans="2:17" x14ac:dyDescent="0.15">
      <c r="B88">
        <v>86</v>
      </c>
      <c r="C88">
        <v>550</v>
      </c>
      <c r="D88" t="s">
        <v>164</v>
      </c>
      <c r="E88" s="87">
        <v>25.3</v>
      </c>
      <c r="F88" s="87">
        <v>1.1599999999999999</v>
      </c>
      <c r="G88" s="87">
        <f t="shared" si="4"/>
        <v>26.46</v>
      </c>
      <c r="H88" s="87">
        <v>21.24</v>
      </c>
      <c r="K88">
        <v>773</v>
      </c>
      <c r="L88" t="s">
        <v>53</v>
      </c>
      <c r="M88" s="87">
        <v>25.8</v>
      </c>
      <c r="N88" s="87">
        <v>1.2</v>
      </c>
      <c r="O88" s="87">
        <f t="shared" si="3"/>
        <v>27</v>
      </c>
      <c r="P88" s="87">
        <v>24.68</v>
      </c>
      <c r="Q88" s="87"/>
    </row>
    <row r="89" spans="2:17" x14ac:dyDescent="0.15">
      <c r="B89">
        <v>87</v>
      </c>
      <c r="C89">
        <v>185</v>
      </c>
      <c r="D89" t="s">
        <v>130</v>
      </c>
      <c r="E89" s="87">
        <v>23.1</v>
      </c>
      <c r="F89" s="87">
        <v>0.61</v>
      </c>
      <c r="G89" s="87">
        <f t="shared" si="4"/>
        <v>23.71</v>
      </c>
      <c r="H89" s="87">
        <v>24</v>
      </c>
      <c r="K89">
        <v>779</v>
      </c>
      <c r="L89" t="s">
        <v>42</v>
      </c>
      <c r="M89" s="87">
        <v>25.5</v>
      </c>
      <c r="N89" s="87">
        <v>1.0900000000000001</v>
      </c>
      <c r="O89" s="87">
        <f t="shared" si="3"/>
        <v>26.59</v>
      </c>
      <c r="P89" s="87">
        <v>20.68</v>
      </c>
      <c r="Q89" s="87"/>
    </row>
    <row r="90" spans="2:17" x14ac:dyDescent="0.15">
      <c r="B90">
        <v>88</v>
      </c>
      <c r="C90">
        <v>187</v>
      </c>
      <c r="D90" t="s">
        <v>131</v>
      </c>
      <c r="E90" s="87">
        <v>25.1</v>
      </c>
      <c r="F90" s="87">
        <v>0.8</v>
      </c>
      <c r="G90" s="87">
        <f t="shared" si="4"/>
        <v>25.900000000000002</v>
      </c>
      <c r="H90" s="87">
        <v>24.38</v>
      </c>
      <c r="K90">
        <v>787</v>
      </c>
      <c r="L90" t="s">
        <v>55</v>
      </c>
      <c r="M90" s="87">
        <v>25.5</v>
      </c>
      <c r="N90" s="87">
        <v>1.27</v>
      </c>
      <c r="O90" s="87">
        <f t="shared" si="3"/>
        <v>26.77</v>
      </c>
      <c r="P90" s="87">
        <v>23.75</v>
      </c>
      <c r="Q90" s="87"/>
    </row>
    <row r="91" spans="2:17" x14ac:dyDescent="0.15">
      <c r="B91">
        <v>89</v>
      </c>
      <c r="C91">
        <v>573</v>
      </c>
      <c r="D91" t="s">
        <v>165</v>
      </c>
      <c r="E91" s="87">
        <v>25.1</v>
      </c>
      <c r="F91" s="87">
        <v>0.98</v>
      </c>
      <c r="G91" s="87">
        <f t="shared" si="4"/>
        <v>26.080000000000002</v>
      </c>
      <c r="H91" s="87">
        <v>31.56</v>
      </c>
      <c r="K91">
        <v>791</v>
      </c>
      <c r="L91" t="s">
        <v>45</v>
      </c>
      <c r="M91" s="87">
        <v>25.7</v>
      </c>
      <c r="N91" s="87">
        <v>0.92999999999999994</v>
      </c>
      <c r="O91" s="87">
        <f t="shared" si="3"/>
        <v>26.63</v>
      </c>
      <c r="P91" s="87">
        <v>23.7</v>
      </c>
      <c r="Q91" s="87"/>
    </row>
    <row r="92" spans="2:17" x14ac:dyDescent="0.15">
      <c r="B92">
        <v>90</v>
      </c>
      <c r="C92">
        <v>575</v>
      </c>
      <c r="D92" t="s">
        <v>166</v>
      </c>
      <c r="E92" s="87">
        <v>25.2</v>
      </c>
      <c r="F92" s="87">
        <v>1.06</v>
      </c>
      <c r="G92" s="87">
        <f t="shared" si="4"/>
        <v>26.259999999999998</v>
      </c>
      <c r="H92" s="87">
        <v>20.36</v>
      </c>
      <c r="K92">
        <v>810</v>
      </c>
      <c r="L92" t="s">
        <v>47</v>
      </c>
      <c r="M92" s="87">
        <v>26.900000000000002</v>
      </c>
      <c r="N92" s="87">
        <v>1.0900000000000001</v>
      </c>
      <c r="O92" s="87">
        <f t="shared" si="3"/>
        <v>27.990000000000002</v>
      </c>
      <c r="P92" s="87">
        <v>31.23</v>
      </c>
      <c r="Q92" s="87"/>
    </row>
    <row r="93" spans="2:17" x14ac:dyDescent="0.15">
      <c r="B93">
        <v>91</v>
      </c>
      <c r="C93">
        <v>630</v>
      </c>
      <c r="D93" t="s">
        <v>25</v>
      </c>
      <c r="E93" s="87">
        <v>23.400000000000002</v>
      </c>
      <c r="F93" s="87">
        <v>0.89</v>
      </c>
      <c r="G93" s="87">
        <f t="shared" si="4"/>
        <v>24.290000000000003</v>
      </c>
      <c r="H93" s="87">
        <v>27.75</v>
      </c>
      <c r="K93">
        <v>813</v>
      </c>
      <c r="L93" t="s">
        <v>48</v>
      </c>
      <c r="M93" s="87">
        <v>26.200000000000003</v>
      </c>
      <c r="N93" s="87">
        <v>1.03</v>
      </c>
      <c r="O93" s="87">
        <f t="shared" si="3"/>
        <v>27.230000000000004</v>
      </c>
      <c r="P93" s="87">
        <v>29.9</v>
      </c>
      <c r="Q93" s="87"/>
    </row>
    <row r="94" spans="2:17" x14ac:dyDescent="0.15">
      <c r="B94">
        <v>92</v>
      </c>
      <c r="C94">
        <v>820</v>
      </c>
      <c r="D94" t="s">
        <v>343</v>
      </c>
      <c r="E94" s="87">
        <v>27</v>
      </c>
      <c r="F94" s="87">
        <v>1.18</v>
      </c>
      <c r="G94" s="87">
        <f t="shared" si="4"/>
        <v>28.18</v>
      </c>
      <c r="H94" s="87">
        <v>22.82</v>
      </c>
      <c r="K94">
        <v>820</v>
      </c>
      <c r="L94" t="s">
        <v>343</v>
      </c>
      <c r="M94" s="87">
        <v>27</v>
      </c>
      <c r="N94" s="87">
        <v>1.18</v>
      </c>
      <c r="O94" s="87">
        <f t="shared" si="3"/>
        <v>28.18</v>
      </c>
      <c r="P94" s="87">
        <v>22.82</v>
      </c>
      <c r="Q94" s="87"/>
    </row>
    <row r="95" spans="2:17" x14ac:dyDescent="0.15">
      <c r="B95">
        <v>93</v>
      </c>
      <c r="C95">
        <v>791</v>
      </c>
      <c r="D95" t="s">
        <v>45</v>
      </c>
      <c r="E95" s="87">
        <v>25.7</v>
      </c>
      <c r="F95" s="87">
        <v>0.92999999999999994</v>
      </c>
      <c r="G95" s="87">
        <f t="shared" si="4"/>
        <v>26.63</v>
      </c>
      <c r="H95" s="87">
        <v>23.7</v>
      </c>
      <c r="K95">
        <v>825</v>
      </c>
      <c r="L95" t="s">
        <v>51</v>
      </c>
      <c r="M95" s="87">
        <v>26.5</v>
      </c>
      <c r="N95" s="87">
        <v>1.3</v>
      </c>
      <c r="O95" s="87">
        <f t="shared" si="3"/>
        <v>27.8</v>
      </c>
      <c r="P95" s="87">
        <v>34</v>
      </c>
      <c r="Q95" s="87"/>
    </row>
    <row r="96" spans="2:17" x14ac:dyDescent="0.15">
      <c r="B96">
        <v>94</v>
      </c>
      <c r="C96">
        <v>390</v>
      </c>
      <c r="D96" t="s">
        <v>148</v>
      </c>
      <c r="E96" s="87">
        <v>25.2</v>
      </c>
      <c r="F96" s="87">
        <v>1.02</v>
      </c>
      <c r="G96" s="87">
        <f t="shared" si="4"/>
        <v>26.22</v>
      </c>
      <c r="H96" s="87">
        <v>32.32</v>
      </c>
      <c r="K96">
        <v>840</v>
      </c>
      <c r="L96" t="s">
        <v>54</v>
      </c>
      <c r="M96" s="87">
        <v>25.5</v>
      </c>
      <c r="N96" s="87">
        <v>1.2</v>
      </c>
      <c r="O96" s="87">
        <f t="shared" si="3"/>
        <v>26.7</v>
      </c>
      <c r="P96" s="87">
        <v>26.086000000000002</v>
      </c>
      <c r="Q96" s="87"/>
    </row>
    <row r="97" spans="2:17" x14ac:dyDescent="0.15">
      <c r="B97">
        <v>95</v>
      </c>
      <c r="C97">
        <v>492</v>
      </c>
      <c r="D97" t="s">
        <v>26</v>
      </c>
      <c r="E97" s="87">
        <v>26.1</v>
      </c>
      <c r="F97" s="87">
        <v>1.0699999999999998</v>
      </c>
      <c r="G97" s="87">
        <f t="shared" si="4"/>
        <v>27.17</v>
      </c>
      <c r="H97" s="87">
        <v>30</v>
      </c>
      <c r="K97">
        <v>846</v>
      </c>
      <c r="L97" t="s">
        <v>52</v>
      </c>
      <c r="M97" s="87">
        <v>26.1</v>
      </c>
      <c r="N97" s="87">
        <v>1.1499999999999999</v>
      </c>
      <c r="O97" s="87">
        <f t="shared" si="3"/>
        <v>27.25</v>
      </c>
      <c r="P97" s="87">
        <v>34</v>
      </c>
      <c r="Q97" s="87"/>
    </row>
    <row r="98" spans="2:17" x14ac:dyDescent="0.15">
      <c r="B98">
        <v>96</v>
      </c>
      <c r="C98">
        <v>580</v>
      </c>
      <c r="D98" t="s">
        <v>27</v>
      </c>
      <c r="E98" s="87">
        <v>25.6</v>
      </c>
      <c r="F98" s="87">
        <v>0.95</v>
      </c>
      <c r="G98" s="87">
        <f t="shared" si="4"/>
        <v>26.55</v>
      </c>
      <c r="H98" s="87">
        <v>18.899999999999999</v>
      </c>
      <c r="K98">
        <v>849</v>
      </c>
      <c r="L98" t="s">
        <v>50</v>
      </c>
      <c r="M98" s="87">
        <v>25.7</v>
      </c>
      <c r="N98" s="87">
        <v>1.2</v>
      </c>
      <c r="O98" s="87">
        <f t="shared" si="3"/>
        <v>26.9</v>
      </c>
      <c r="P98" s="87">
        <v>32.849999999999994</v>
      </c>
      <c r="Q98" s="87"/>
    </row>
    <row r="99" spans="2:17" x14ac:dyDescent="0.15">
      <c r="B99">
        <v>97</v>
      </c>
      <c r="C99">
        <v>851</v>
      </c>
      <c r="D99" t="s">
        <v>56</v>
      </c>
      <c r="E99" s="87">
        <v>25.4</v>
      </c>
      <c r="F99" s="87">
        <v>0.98</v>
      </c>
      <c r="G99" s="87">
        <f t="shared" si="4"/>
        <v>26.38</v>
      </c>
      <c r="H99" s="87">
        <v>26.950000000000003</v>
      </c>
      <c r="K99">
        <v>851</v>
      </c>
      <c r="L99" t="s">
        <v>56</v>
      </c>
      <c r="M99" s="87">
        <v>25.4</v>
      </c>
      <c r="N99" s="87">
        <v>0.98</v>
      </c>
      <c r="O99" s="87">
        <f t="shared" ref="O99:O100" si="5">M99+N99</f>
        <v>26.38</v>
      </c>
      <c r="P99" s="87">
        <v>26.950000000000003</v>
      </c>
      <c r="Q99" s="87"/>
    </row>
    <row r="100" spans="2:17" x14ac:dyDescent="0.15">
      <c r="B100">
        <v>98</v>
      </c>
      <c r="C100">
        <v>751</v>
      </c>
      <c r="D100" t="s">
        <v>599</v>
      </c>
      <c r="E100" s="87">
        <v>24.4</v>
      </c>
      <c r="F100" s="87">
        <v>0.74</v>
      </c>
      <c r="G100" s="87">
        <f t="shared" si="4"/>
        <v>25.139999999999997</v>
      </c>
      <c r="H100" s="87">
        <v>24.580000000000002</v>
      </c>
      <c r="K100">
        <v>860</v>
      </c>
      <c r="L100" t="s">
        <v>49</v>
      </c>
      <c r="M100" s="87">
        <v>26.1</v>
      </c>
      <c r="N100" s="87">
        <v>1.1900000000000002</v>
      </c>
      <c r="O100" s="87">
        <f t="shared" si="5"/>
        <v>27.290000000000003</v>
      </c>
      <c r="P100" s="87">
        <v>34</v>
      </c>
      <c r="Q100" s="87"/>
    </row>
    <row r="101" spans="2:17" x14ac:dyDescent="0.15">
      <c r="D101" t="s">
        <v>1148</v>
      </c>
      <c r="E101" s="87">
        <v>24.954000000000001</v>
      </c>
      <c r="F101" s="87">
        <v>0.67400000000000004</v>
      </c>
      <c r="G101" s="87">
        <v>25.628</v>
      </c>
      <c r="H101" s="87">
        <v>26.196887755102036</v>
      </c>
      <c r="L101" t="s">
        <v>1148</v>
      </c>
      <c r="M101" s="87">
        <v>24.954000000000001</v>
      </c>
      <c r="N101" s="87">
        <v>0.67400000000000004</v>
      </c>
      <c r="O101" s="87">
        <v>25.628</v>
      </c>
      <c r="P101" s="87">
        <v>26.196887755102036</v>
      </c>
      <c r="Q101" s="87"/>
    </row>
    <row r="103" spans="2:17" x14ac:dyDescent="0.15">
      <c r="D103" t="e">
        <f>VLOOKUP(Dialog!$M$3,B4:H101,3)</f>
        <v>#N/A</v>
      </c>
      <c r="E103" s="87">
        <f>VLOOKUP(Dialog!M3,B3:H101,4)</f>
        <v>25.6</v>
      </c>
      <c r="F103" s="87">
        <f>VLOOKUP(Dialog!M3,B3:H101,5)</f>
        <v>0.8</v>
      </c>
      <c r="G103" s="87">
        <f>VLOOKUP(Dialog!M3,B3:H101,6)</f>
        <v>26.400000000000002</v>
      </c>
      <c r="L103" t="str">
        <f>VLOOKUP(Dialog!$N$3,K3:P101,2)</f>
        <v>Albertslund</v>
      </c>
      <c r="M103" s="87">
        <f>VLOOKUP(Dialog!$N$3,K3:P101,3)</f>
        <v>25.6</v>
      </c>
      <c r="N103" s="87">
        <f>VLOOKUP(Dialog!$N$3,K3:P101,4)</f>
        <v>0.8</v>
      </c>
      <c r="O103" s="87">
        <f>VLOOKUP(Dialog!$N$3,K3:P101,5)</f>
        <v>26.400000000000002</v>
      </c>
    </row>
    <row r="104" spans="2:17" x14ac:dyDescent="0.15">
      <c r="Q104" s="272"/>
    </row>
    <row r="105" spans="2:17" x14ac:dyDescent="0.15">
      <c r="D105" s="271" t="s">
        <v>1290</v>
      </c>
      <c r="E105" s="87">
        <f>G103+12.14</f>
        <v>38.540000000000006</v>
      </c>
      <c r="F105" t="s">
        <v>1291</v>
      </c>
      <c r="G105"/>
      <c r="H105"/>
      <c r="L105" s="271" t="s">
        <v>1290</v>
      </c>
      <c r="M105" s="87">
        <f>O103+12.14</f>
        <v>38.540000000000006</v>
      </c>
      <c r="N105" t="s">
        <v>1291</v>
      </c>
    </row>
    <row r="106" spans="2:17" x14ac:dyDescent="0.15">
      <c r="D106" s="271"/>
      <c r="E106" s="271" t="s">
        <v>236</v>
      </c>
      <c r="F106" s="271" t="s">
        <v>57</v>
      </c>
      <c r="G106" s="271" t="s">
        <v>57</v>
      </c>
      <c r="H106" s="271" t="s">
        <v>57</v>
      </c>
      <c r="I106" s="272" t="s">
        <v>1157</v>
      </c>
      <c r="L106" s="271"/>
      <c r="M106" s="271" t="s">
        <v>236</v>
      </c>
      <c r="N106" s="271" t="s">
        <v>57</v>
      </c>
      <c r="O106" s="271" t="s">
        <v>57</v>
      </c>
      <c r="P106" s="271" t="s">
        <v>57</v>
      </c>
      <c r="Q106" s="272" t="s">
        <v>1157</v>
      </c>
    </row>
    <row r="107" spans="2:17" x14ac:dyDescent="0.15">
      <c r="D107" s="271"/>
      <c r="E107" s="271" t="s">
        <v>632</v>
      </c>
      <c r="F107" s="271" t="s">
        <v>632</v>
      </c>
      <c r="G107" s="271" t="s">
        <v>633</v>
      </c>
      <c r="H107" s="271" t="s">
        <v>1158</v>
      </c>
      <c r="I107" s="271" t="s">
        <v>1159</v>
      </c>
      <c r="L107" s="271"/>
      <c r="M107" s="271" t="s">
        <v>632</v>
      </c>
      <c r="N107" s="271" t="s">
        <v>632</v>
      </c>
      <c r="O107" s="271" t="s">
        <v>633</v>
      </c>
      <c r="P107" s="271" t="s">
        <v>1158</v>
      </c>
      <c r="Q107" s="271" t="s">
        <v>1159</v>
      </c>
    </row>
    <row r="108" spans="2:17" x14ac:dyDescent="0.15">
      <c r="D108" s="271" t="s">
        <v>1151</v>
      </c>
      <c r="E108" s="5">
        <f>Input!D13</f>
        <v>10000</v>
      </c>
      <c r="F108" s="5">
        <f>E108*12</f>
        <v>120000</v>
      </c>
      <c r="G108" s="5">
        <f t="shared" ref="G108:G113" si="6">F108/(1-($E$105/100))</f>
        <v>195248.942401562</v>
      </c>
      <c r="H108" s="5">
        <f>G108/(1-0.08)</f>
        <v>212227.11130604564</v>
      </c>
      <c r="I108" s="273">
        <f>H108/12</f>
        <v>17685.592608837138</v>
      </c>
      <c r="L108" s="271" t="s">
        <v>1151</v>
      </c>
      <c r="M108" s="5">
        <f>Input!D13</f>
        <v>10000</v>
      </c>
      <c r="N108" s="5">
        <f>M108*12</f>
        <v>120000</v>
      </c>
      <c r="O108" s="5">
        <f>N108/(1-($M$105/100))</f>
        <v>195248.942401562</v>
      </c>
      <c r="P108" s="5">
        <f>O108/(1-0.08)</f>
        <v>212227.11130604564</v>
      </c>
      <c r="Q108" s="273">
        <f>P108/12</f>
        <v>17685.592608837138</v>
      </c>
    </row>
    <row r="109" spans="2:17" x14ac:dyDescent="0.15">
      <c r="D109" s="271" t="s">
        <v>1152</v>
      </c>
      <c r="E109" s="5">
        <f>Input!D14</f>
        <v>100000</v>
      </c>
      <c r="F109" s="5">
        <f t="shared" ref="F109:F113" si="7">E109*12</f>
        <v>1200000</v>
      </c>
      <c r="G109" s="5">
        <f t="shared" si="6"/>
        <v>1952489.4240156203</v>
      </c>
      <c r="H109" s="5">
        <f t="shared" ref="H109:H113" si="8">G109/(1-0.08)</f>
        <v>2122271.1130604567</v>
      </c>
      <c r="I109" s="273">
        <f t="shared" ref="I109:I113" si="9">H109/12</f>
        <v>176855.9260883714</v>
      </c>
      <c r="L109" s="271" t="s">
        <v>1152</v>
      </c>
      <c r="M109" s="5">
        <f>Input!D14</f>
        <v>100000</v>
      </c>
      <c r="N109" s="5">
        <f t="shared" ref="N109:N113" si="10">M109*12</f>
        <v>1200000</v>
      </c>
      <c r="O109" s="5">
        <f t="shared" ref="O109:O113" si="11">N109/(1-($M$105/100))</f>
        <v>1952489.4240156203</v>
      </c>
      <c r="P109" s="5">
        <f t="shared" ref="P109:P113" si="12">O109/(1-0.08)</f>
        <v>2122271.1130604567</v>
      </c>
      <c r="Q109" s="273">
        <f t="shared" ref="Q109:Q113" si="13">P109/12</f>
        <v>176855.9260883714</v>
      </c>
    </row>
    <row r="110" spans="2:17" x14ac:dyDescent="0.15">
      <c r="D110" s="271" t="s">
        <v>1153</v>
      </c>
      <c r="E110" s="5">
        <f>Input!D15</f>
        <v>0</v>
      </c>
      <c r="F110" s="5">
        <f t="shared" si="7"/>
        <v>0</v>
      </c>
      <c r="G110" s="5">
        <f t="shared" si="6"/>
        <v>0</v>
      </c>
      <c r="H110" s="5">
        <f t="shared" si="8"/>
        <v>0</v>
      </c>
      <c r="I110" s="273">
        <f t="shared" si="9"/>
        <v>0</v>
      </c>
      <c r="L110" s="271" t="s">
        <v>1153</v>
      </c>
      <c r="M110" s="5">
        <f>Input!D15</f>
        <v>0</v>
      </c>
      <c r="N110" s="5">
        <f t="shared" si="10"/>
        <v>0</v>
      </c>
      <c r="O110" s="5">
        <f t="shared" si="11"/>
        <v>0</v>
      </c>
      <c r="P110" s="5">
        <f t="shared" si="12"/>
        <v>0</v>
      </c>
      <c r="Q110" s="273">
        <f t="shared" si="13"/>
        <v>0</v>
      </c>
    </row>
    <row r="111" spans="2:17" x14ac:dyDescent="0.15">
      <c r="D111" s="271" t="s">
        <v>1154</v>
      </c>
      <c r="E111" s="5">
        <f>Input!D16</f>
        <v>0</v>
      </c>
      <c r="F111" s="5">
        <f t="shared" si="7"/>
        <v>0</v>
      </c>
      <c r="G111" s="5">
        <f t="shared" si="6"/>
        <v>0</v>
      </c>
      <c r="H111" s="5">
        <f t="shared" si="8"/>
        <v>0</v>
      </c>
      <c r="I111" s="273">
        <f t="shared" si="9"/>
        <v>0</v>
      </c>
      <c r="L111" s="271" t="s">
        <v>1154</v>
      </c>
      <c r="M111" s="5">
        <f>Input!D16</f>
        <v>0</v>
      </c>
      <c r="N111" s="5">
        <f t="shared" si="10"/>
        <v>0</v>
      </c>
      <c r="O111" s="5">
        <f t="shared" si="11"/>
        <v>0</v>
      </c>
      <c r="P111" s="5">
        <f t="shared" si="12"/>
        <v>0</v>
      </c>
      <c r="Q111" s="273">
        <f t="shared" si="13"/>
        <v>0</v>
      </c>
    </row>
    <row r="112" spans="2:17" x14ac:dyDescent="0.15">
      <c r="D112" s="271" t="s">
        <v>1155</v>
      </c>
      <c r="E112" s="5">
        <f>Input!D17</f>
        <v>0</v>
      </c>
      <c r="F112" s="5">
        <f t="shared" si="7"/>
        <v>0</v>
      </c>
      <c r="G112" s="5">
        <f t="shared" si="6"/>
        <v>0</v>
      </c>
      <c r="H112" s="5">
        <f t="shared" si="8"/>
        <v>0</v>
      </c>
      <c r="I112" s="273">
        <f t="shared" si="9"/>
        <v>0</v>
      </c>
      <c r="L112" s="271" t="s">
        <v>1155</v>
      </c>
      <c r="M112" s="5">
        <f>Input!D17</f>
        <v>0</v>
      </c>
      <c r="N112" s="5">
        <f t="shared" si="10"/>
        <v>0</v>
      </c>
      <c r="O112" s="5">
        <f t="shared" si="11"/>
        <v>0</v>
      </c>
      <c r="P112" s="5">
        <f t="shared" si="12"/>
        <v>0</v>
      </c>
      <c r="Q112" s="273">
        <f t="shared" si="13"/>
        <v>0</v>
      </c>
    </row>
    <row r="113" spans="4:17" x14ac:dyDescent="0.15">
      <c r="D113" s="271" t="s">
        <v>1156</v>
      </c>
      <c r="E113" s="5">
        <f>Input!D18</f>
        <v>0</v>
      </c>
      <c r="F113" s="5">
        <f t="shared" si="7"/>
        <v>0</v>
      </c>
      <c r="G113" s="5">
        <f t="shared" si="6"/>
        <v>0</v>
      </c>
      <c r="H113" s="5">
        <f t="shared" si="8"/>
        <v>0</v>
      </c>
      <c r="I113" s="273">
        <f t="shared" si="9"/>
        <v>0</v>
      </c>
      <c r="L113" s="271" t="s">
        <v>1156</v>
      </c>
      <c r="M113" s="5">
        <f>Input!D18</f>
        <v>0</v>
      </c>
      <c r="N113" s="5">
        <f t="shared" si="10"/>
        <v>0</v>
      </c>
      <c r="O113" s="5">
        <f t="shared" si="11"/>
        <v>0</v>
      </c>
      <c r="P113" s="5">
        <f t="shared" si="12"/>
        <v>0</v>
      </c>
      <c r="Q113" s="273">
        <f t="shared" si="13"/>
        <v>0</v>
      </c>
    </row>
  </sheetData>
  <sortState xmlns:xlrd2="http://schemas.microsoft.com/office/spreadsheetml/2017/richdata2" ref="K3:P101">
    <sortCondition ref="K3:K101"/>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102"/>
  <sheetViews>
    <sheetView zoomScale="125" zoomScaleNormal="125" zoomScalePageLayoutView="125" workbookViewId="0">
      <pane xSplit="2" ySplit="9" topLeftCell="C30" activePane="bottomRight" state="frozen"/>
      <selection pane="topRight" activeCell="C1" sqref="C1"/>
      <selection pane="bottomLeft" activeCell="A10" sqref="A10"/>
      <selection pane="bottomRight" activeCell="J44" sqref="J44"/>
    </sheetView>
  </sheetViews>
  <sheetFormatPr baseColWidth="10" defaultColWidth="9" defaultRowHeight="12" x14ac:dyDescent="0.15"/>
  <cols>
    <col min="1" max="1" width="3.5" style="3" customWidth="1"/>
    <col min="2" max="2" width="11.6640625" style="3" customWidth="1"/>
    <col min="3" max="3" width="5.33203125" style="3" customWidth="1"/>
    <col min="4" max="4" width="25.1640625" style="3" customWidth="1"/>
    <col min="5" max="5" width="11.1640625" style="3" customWidth="1"/>
    <col min="6" max="6" width="11.83203125" style="3" customWidth="1"/>
    <col min="7" max="7" width="10.83203125" style="3" customWidth="1"/>
    <col min="8" max="8" width="12.33203125" style="3" customWidth="1"/>
    <col min="9" max="9" width="10" style="3" customWidth="1"/>
    <col min="10" max="10" width="12.83203125" style="3" customWidth="1"/>
    <col min="11" max="19" width="7.33203125" style="3" customWidth="1"/>
    <col min="20" max="20" width="11.5" style="3" customWidth="1"/>
    <col min="21" max="28" width="7.33203125" style="3" customWidth="1"/>
    <col min="29" max="29" width="7.83203125" style="3" customWidth="1"/>
    <col min="30" max="16384" width="9" style="3"/>
  </cols>
  <sheetData>
    <row r="1" spans="2:15" x14ac:dyDescent="0.15">
      <c r="D1" s="14" t="s">
        <v>167</v>
      </c>
    </row>
    <row r="3" spans="2:15" x14ac:dyDescent="0.15">
      <c r="D3" s="14" t="s">
        <v>168</v>
      </c>
    </row>
    <row r="4" spans="2:15" x14ac:dyDescent="0.15">
      <c r="D4" s="3" t="s">
        <v>58</v>
      </c>
      <c r="E4" s="3">
        <f>Input!D8</f>
        <v>2</v>
      </c>
      <c r="F4" s="3" t="s">
        <v>226</v>
      </c>
      <c r="G4" s="3">
        <f>E4-2</f>
        <v>0</v>
      </c>
    </row>
    <row r="5" spans="2:15" ht="13" x14ac:dyDescent="0.15">
      <c r="D5" s="3" t="s">
        <v>90</v>
      </c>
      <c r="E5" s="3">
        <f>Input!D29</f>
        <v>1</v>
      </c>
      <c r="F5" s="16" t="str">
        <f>Input!B25</f>
        <v>0-2 år</v>
      </c>
      <c r="G5" s="16">
        <f>Input!D25</f>
        <v>1</v>
      </c>
      <c r="H5" s="16" t="str">
        <f>Input!B26</f>
        <v>3-6 år</v>
      </c>
      <c r="I5" s="16">
        <f>Input!D26</f>
        <v>0</v>
      </c>
      <c r="J5" s="16" t="str">
        <f>Input!B27</f>
        <v>7-14 år</v>
      </c>
      <c r="K5" s="16">
        <f>Input!D27</f>
        <v>0</v>
      </c>
      <c r="L5" s="16" t="str">
        <f>Input!B28</f>
        <v>15-17 år</v>
      </c>
      <c r="M5" s="16">
        <f>Input!D28</f>
        <v>0</v>
      </c>
      <c r="N5" s="112"/>
      <c r="O5" s="113"/>
    </row>
    <row r="6" spans="2:15" x14ac:dyDescent="0.15">
      <c r="D6" s="3" t="s">
        <v>101</v>
      </c>
    </row>
    <row r="7" spans="2:15" x14ac:dyDescent="0.15">
      <c r="D7" s="3" t="s">
        <v>102</v>
      </c>
    </row>
    <row r="8" spans="2:15" x14ac:dyDescent="0.15">
      <c r="D8" s="3" t="s">
        <v>103</v>
      </c>
      <c r="E8" s="3">
        <f>SUM(Input!D40:D43)</f>
        <v>0</v>
      </c>
    </row>
    <row r="10" spans="2:15" x14ac:dyDescent="0.15">
      <c r="C10" s="57"/>
      <c r="D10" s="58" t="s">
        <v>253</v>
      </c>
      <c r="E10" s="57"/>
      <c r="F10" s="57"/>
      <c r="G10" s="57"/>
      <c r="H10" s="57"/>
      <c r="I10" s="57"/>
      <c r="J10" s="14"/>
    </row>
    <row r="11" spans="2:15" x14ac:dyDescent="0.15">
      <c r="E11" s="14" t="s">
        <v>186</v>
      </c>
      <c r="G11" s="15"/>
      <c r="H11" s="15"/>
    </row>
    <row r="12" spans="2:15" x14ac:dyDescent="0.15">
      <c r="E12" s="14" t="s">
        <v>57</v>
      </c>
      <c r="G12" s="15"/>
      <c r="H12" s="15"/>
    </row>
    <row r="13" spans="2:15" ht="39" x14ac:dyDescent="0.15">
      <c r="D13" s="14" t="s">
        <v>185</v>
      </c>
      <c r="E13" s="15">
        <v>2020</v>
      </c>
      <c r="F13" s="8" t="s">
        <v>83</v>
      </c>
      <c r="G13" s="8" t="s">
        <v>169</v>
      </c>
      <c r="H13" s="8" t="s">
        <v>170</v>
      </c>
      <c r="I13" s="8" t="s">
        <v>82</v>
      </c>
      <c r="J13" s="7"/>
    </row>
    <row r="14" spans="2:15" ht="13" x14ac:dyDescent="0.15">
      <c r="B14" s="3" t="s">
        <v>1145</v>
      </c>
      <c r="C14" s="38"/>
      <c r="D14" s="3" t="s">
        <v>298</v>
      </c>
      <c r="E14" s="9">
        <f>(F14+F14*G14/100)*H14</f>
        <v>1520</v>
      </c>
      <c r="F14" s="14">
        <v>380</v>
      </c>
      <c r="G14" s="3">
        <v>0</v>
      </c>
      <c r="H14" s="3">
        <v>4</v>
      </c>
      <c r="J14" s="40" t="s">
        <v>1126</v>
      </c>
    </row>
    <row r="15" spans="2:15" ht="13" x14ac:dyDescent="0.15">
      <c r="B15" s="3" t="str">
        <f>B14</f>
        <v>Opdateret 2020</v>
      </c>
      <c r="C15" s="39"/>
      <c r="D15" s="3" t="s">
        <v>1127</v>
      </c>
      <c r="E15" s="9">
        <f>(F15+F15*G15/100)*H15</f>
        <v>708</v>
      </c>
      <c r="F15" s="14">
        <v>59</v>
      </c>
      <c r="H15" s="3">
        <v>12</v>
      </c>
      <c r="J15" s="40" t="s">
        <v>1128</v>
      </c>
    </row>
    <row r="16" spans="2:15" ht="13" x14ac:dyDescent="0.15">
      <c r="B16" s="3" t="str">
        <f t="shared" ref="B16:B19" si="0">B15</f>
        <v>Opdateret 2020</v>
      </c>
      <c r="C16" s="39"/>
      <c r="D16" s="3" t="s">
        <v>60</v>
      </c>
      <c r="E16" s="9">
        <f>(F16+F16*G16/100)*H16</f>
        <v>660</v>
      </c>
      <c r="F16" s="14">
        <v>660</v>
      </c>
      <c r="H16" s="3">
        <v>1</v>
      </c>
      <c r="J16" s="40" t="s">
        <v>1129</v>
      </c>
    </row>
    <row r="17" spans="1:20" ht="13" x14ac:dyDescent="0.15">
      <c r="A17" s="9"/>
      <c r="B17" s="3" t="str">
        <f t="shared" si="0"/>
        <v>Opdateret 2020</v>
      </c>
      <c r="C17" s="38"/>
      <c r="D17" s="64" t="s">
        <v>80</v>
      </c>
      <c r="E17" s="9">
        <f>F17*H17</f>
        <v>1353</v>
      </c>
      <c r="F17" s="183">
        <v>1353</v>
      </c>
      <c r="H17" s="3">
        <v>1</v>
      </c>
      <c r="J17" s="40" t="s">
        <v>61</v>
      </c>
    </row>
    <row r="18" spans="1:20" ht="13" x14ac:dyDescent="0.15">
      <c r="A18" s="9"/>
      <c r="B18" s="3" t="str">
        <f t="shared" si="0"/>
        <v>Opdateret 2020</v>
      </c>
      <c r="C18" s="38"/>
      <c r="D18" s="64" t="s">
        <v>227</v>
      </c>
      <c r="E18" s="9">
        <f>I99</f>
        <v>5914.5</v>
      </c>
      <c r="F18" s="127"/>
      <c r="J18" s="3" t="s">
        <v>0</v>
      </c>
      <c r="K18" s="40"/>
    </row>
    <row r="19" spans="1:20" x14ac:dyDescent="0.15">
      <c r="A19" s="9"/>
      <c r="B19" s="3" t="str">
        <f t="shared" si="0"/>
        <v>Opdateret 2020</v>
      </c>
      <c r="C19" s="38"/>
      <c r="D19" s="64" t="s">
        <v>97</v>
      </c>
      <c r="E19" s="9">
        <f>E99</f>
        <v>3625.25</v>
      </c>
      <c r="F19" s="7"/>
      <c r="J19" s="3" t="s">
        <v>0</v>
      </c>
    </row>
    <row r="21" spans="1:20" ht="14" thickBot="1" x14ac:dyDescent="0.2">
      <c r="A21" s="41"/>
      <c r="B21" s="41"/>
      <c r="C21" s="41"/>
      <c r="D21" s="41"/>
      <c r="E21" s="41"/>
      <c r="F21" s="42"/>
      <c r="G21" s="41"/>
      <c r="H21" s="41"/>
      <c r="I21" s="41"/>
    </row>
    <row r="22" spans="1:20" x14ac:dyDescent="0.15">
      <c r="B22" s="14" t="s">
        <v>380</v>
      </c>
      <c r="C22" s="3">
        <v>2020</v>
      </c>
    </row>
    <row r="23" spans="1:20" x14ac:dyDescent="0.15">
      <c r="D23" s="14" t="s">
        <v>238</v>
      </c>
      <c r="E23" s="3" t="s">
        <v>295</v>
      </c>
    </row>
    <row r="24" spans="1:20" ht="13" x14ac:dyDescent="0.15">
      <c r="D24" s="14" t="s">
        <v>255</v>
      </c>
      <c r="E24" s="3" t="s">
        <v>206</v>
      </c>
      <c r="F24" s="40" t="s">
        <v>528</v>
      </c>
      <c r="I24" s="297" t="s">
        <v>341</v>
      </c>
      <c r="J24" s="298"/>
      <c r="K24" s="298"/>
      <c r="L24" s="298"/>
      <c r="M24" s="40" t="s">
        <v>729</v>
      </c>
    </row>
    <row r="25" spans="1:20" x14ac:dyDescent="0.15">
      <c r="E25" s="3" t="s">
        <v>207</v>
      </c>
      <c r="F25" s="3" t="s">
        <v>208</v>
      </c>
      <c r="G25" s="3" t="s">
        <v>236</v>
      </c>
      <c r="I25" s="3" t="s">
        <v>183</v>
      </c>
      <c r="J25" s="3" t="s">
        <v>237</v>
      </c>
      <c r="K25" s="3" t="s">
        <v>195</v>
      </c>
      <c r="L25" s="3" t="s">
        <v>236</v>
      </c>
    </row>
    <row r="26" spans="1:20" x14ac:dyDescent="0.15">
      <c r="C26" s="3">
        <v>1</v>
      </c>
      <c r="D26" s="3" t="s">
        <v>197</v>
      </c>
    </row>
    <row r="27" spans="1:20" ht="12.75" customHeight="1" x14ac:dyDescent="0.15">
      <c r="C27" s="3">
        <f>C26+1</f>
        <v>2</v>
      </c>
      <c r="D27" s="3" t="s">
        <v>204</v>
      </c>
      <c r="E27" s="3">
        <v>330</v>
      </c>
      <c r="F27" s="3">
        <f t="shared" ref="F27:F50" si="1">E27*2</f>
        <v>660</v>
      </c>
      <c r="G27" s="45">
        <f>F27/12</f>
        <v>55</v>
      </c>
      <c r="H27" s="3" t="s">
        <v>2</v>
      </c>
      <c r="J27" s="3" t="str">
        <f>D27</f>
        <v>&gt; 20</v>
      </c>
      <c r="K27" s="9">
        <f>F27</f>
        <v>660</v>
      </c>
      <c r="L27" s="9">
        <f>K27/12</f>
        <v>55</v>
      </c>
      <c r="M27" s="3" t="s">
        <v>2</v>
      </c>
    </row>
    <row r="28" spans="1:20" x14ac:dyDescent="0.15">
      <c r="C28" s="3">
        <f t="shared" ref="C28:C50" si="2">C27+1</f>
        <v>3</v>
      </c>
      <c r="D28" s="3" t="s">
        <v>1086</v>
      </c>
      <c r="E28" s="3">
        <v>640</v>
      </c>
      <c r="F28" s="3">
        <f t="shared" si="1"/>
        <v>1280</v>
      </c>
      <c r="G28" s="45">
        <f>F28/12</f>
        <v>106.66666666666667</v>
      </c>
      <c r="J28" s="3" t="str">
        <f>D32</f>
        <v>14,3 - 13,3</v>
      </c>
      <c r="K28" s="9">
        <f>F32</f>
        <v>3740</v>
      </c>
      <c r="L28" s="9">
        <f>K28/12</f>
        <v>311.66666666666669</v>
      </c>
      <c r="M28" s="3" t="s">
        <v>3</v>
      </c>
    </row>
    <row r="29" spans="1:20" x14ac:dyDescent="0.15">
      <c r="C29" s="3">
        <f t="shared" si="2"/>
        <v>4</v>
      </c>
      <c r="D29" s="3" t="s">
        <v>1087</v>
      </c>
      <c r="E29" s="3">
        <v>940</v>
      </c>
      <c r="F29" s="3">
        <f t="shared" si="1"/>
        <v>1880</v>
      </c>
      <c r="G29" s="45">
        <f>F29/12</f>
        <v>156.66666666666666</v>
      </c>
      <c r="J29" s="3" t="str">
        <f>D37</f>
        <v>10,5 - 10,0</v>
      </c>
      <c r="K29" s="9">
        <f>F37</f>
        <v>6820</v>
      </c>
      <c r="L29" s="9">
        <f>K29/12</f>
        <v>568.33333333333337</v>
      </c>
      <c r="M29" s="3" t="s">
        <v>316</v>
      </c>
      <c r="S29" s="9"/>
      <c r="T29" s="9"/>
    </row>
    <row r="30" spans="1:20" x14ac:dyDescent="0.15">
      <c r="C30" s="3">
        <f t="shared" si="2"/>
        <v>5</v>
      </c>
      <c r="D30" s="3" t="s">
        <v>1083</v>
      </c>
      <c r="E30" s="9">
        <v>1260</v>
      </c>
      <c r="F30" s="3">
        <f t="shared" si="1"/>
        <v>2520</v>
      </c>
      <c r="G30" s="45">
        <f>F30/12</f>
        <v>210</v>
      </c>
      <c r="J30" s="3" t="str">
        <f>D43</f>
        <v>6,7 - 6,3</v>
      </c>
      <c r="K30" s="9">
        <f>F43</f>
        <v>14220</v>
      </c>
      <c r="L30" s="9">
        <f>K30/12</f>
        <v>1185</v>
      </c>
      <c r="M30" s="3" t="s">
        <v>317</v>
      </c>
      <c r="S30" s="9"/>
      <c r="T30" s="9"/>
    </row>
    <row r="31" spans="1:20" x14ac:dyDescent="0.15">
      <c r="C31" s="3">
        <f t="shared" si="2"/>
        <v>6</v>
      </c>
      <c r="D31" s="3" t="s">
        <v>1084</v>
      </c>
      <c r="E31" s="9">
        <v>1570</v>
      </c>
      <c r="F31" s="3">
        <f t="shared" si="1"/>
        <v>3140</v>
      </c>
      <c r="G31" s="45">
        <f t="shared" ref="G31:G50" si="3">F31/12</f>
        <v>261.66666666666669</v>
      </c>
      <c r="H31" s="3" t="s">
        <v>3</v>
      </c>
      <c r="S31" s="9"/>
      <c r="T31" s="9"/>
    </row>
    <row r="32" spans="1:20" ht="13" thickBot="1" x14ac:dyDescent="0.2">
      <c r="C32" s="3">
        <f t="shared" si="2"/>
        <v>7</v>
      </c>
      <c r="D32" s="3" t="s">
        <v>1085</v>
      </c>
      <c r="E32" s="9">
        <v>1870</v>
      </c>
      <c r="F32" s="3">
        <f t="shared" si="1"/>
        <v>3740</v>
      </c>
      <c r="G32" s="45">
        <f t="shared" si="3"/>
        <v>311.66666666666669</v>
      </c>
      <c r="I32" s="14" t="s">
        <v>666</v>
      </c>
      <c r="S32" s="9"/>
      <c r="T32" s="9"/>
    </row>
    <row r="33" spans="3:20" x14ac:dyDescent="0.15">
      <c r="C33" s="3">
        <f t="shared" si="2"/>
        <v>8</v>
      </c>
      <c r="D33" s="3" t="s">
        <v>1088</v>
      </c>
      <c r="E33" s="9">
        <v>2180</v>
      </c>
      <c r="F33" s="3">
        <f t="shared" si="1"/>
        <v>4360</v>
      </c>
      <c r="G33" s="45">
        <f t="shared" si="3"/>
        <v>363.33333333333331</v>
      </c>
      <c r="I33" s="92" t="s">
        <v>383</v>
      </c>
      <c r="J33" s="74" t="s">
        <v>590</v>
      </c>
      <c r="K33" s="74" t="s">
        <v>381</v>
      </c>
      <c r="L33" s="77"/>
      <c r="S33" s="9"/>
      <c r="T33" s="9"/>
    </row>
    <row r="34" spans="3:20" x14ac:dyDescent="0.15">
      <c r="C34" s="3">
        <f t="shared" si="2"/>
        <v>9</v>
      </c>
      <c r="D34" s="3" t="s">
        <v>1089</v>
      </c>
      <c r="E34" s="9">
        <v>2480</v>
      </c>
      <c r="F34" s="3">
        <f t="shared" si="1"/>
        <v>4960</v>
      </c>
      <c r="G34" s="45">
        <f t="shared" si="3"/>
        <v>413.33333333333331</v>
      </c>
      <c r="I34" s="78" t="s">
        <v>314</v>
      </c>
      <c r="J34" s="9">
        <f>K27</f>
        <v>660</v>
      </c>
      <c r="K34" s="3">
        <f>Dialog!F19</f>
        <v>0</v>
      </c>
      <c r="L34" s="93"/>
      <c r="S34" s="9"/>
      <c r="T34" s="9"/>
    </row>
    <row r="35" spans="3:20" x14ac:dyDescent="0.15">
      <c r="C35" s="3">
        <f t="shared" si="2"/>
        <v>10</v>
      </c>
      <c r="D35" s="3" t="s">
        <v>1090</v>
      </c>
      <c r="E35" s="9">
        <v>2790</v>
      </c>
      <c r="F35" s="3">
        <f t="shared" si="1"/>
        <v>5580</v>
      </c>
      <c r="G35" s="45">
        <f t="shared" si="3"/>
        <v>465</v>
      </c>
      <c r="I35" s="78" t="s">
        <v>315</v>
      </c>
      <c r="J35" s="9">
        <v>3140</v>
      </c>
      <c r="K35" s="3">
        <f>Dialog!F20</f>
        <v>0</v>
      </c>
      <c r="L35" s="93"/>
      <c r="S35" s="9"/>
      <c r="T35" s="9"/>
    </row>
    <row r="36" spans="3:20" x14ac:dyDescent="0.15">
      <c r="C36" s="3">
        <f t="shared" si="2"/>
        <v>11</v>
      </c>
      <c r="D36" s="3" t="s">
        <v>1091</v>
      </c>
      <c r="E36" s="9">
        <v>3100</v>
      </c>
      <c r="F36" s="3">
        <f t="shared" si="1"/>
        <v>6200</v>
      </c>
      <c r="G36" s="45">
        <f t="shared" si="3"/>
        <v>516.66666666666663</v>
      </c>
      <c r="I36" s="78" t="s">
        <v>316</v>
      </c>
      <c r="J36" s="9">
        <f>K29</f>
        <v>6820</v>
      </c>
      <c r="K36" s="3">
        <f>Dialog!F21</f>
        <v>0</v>
      </c>
      <c r="L36" s="93"/>
      <c r="S36" s="9"/>
      <c r="T36" s="9"/>
    </row>
    <row r="37" spans="3:20" x14ac:dyDescent="0.15">
      <c r="C37" s="3">
        <f t="shared" si="2"/>
        <v>12</v>
      </c>
      <c r="D37" s="3" t="s">
        <v>1092</v>
      </c>
      <c r="E37" s="9">
        <v>3410</v>
      </c>
      <c r="F37" s="3">
        <f t="shared" si="1"/>
        <v>6820</v>
      </c>
      <c r="G37" s="45">
        <f t="shared" si="3"/>
        <v>568.33333333333337</v>
      </c>
      <c r="H37" s="3" t="s">
        <v>316</v>
      </c>
      <c r="I37" s="78" t="s">
        <v>317</v>
      </c>
      <c r="J37" s="9">
        <f>K30</f>
        <v>14220</v>
      </c>
      <c r="K37" s="3">
        <f>Dialog!F22</f>
        <v>0</v>
      </c>
      <c r="L37" s="93"/>
      <c r="S37" s="9"/>
      <c r="T37" s="9"/>
    </row>
    <row r="38" spans="3:20" x14ac:dyDescent="0.15">
      <c r="C38" s="3">
        <f t="shared" si="2"/>
        <v>13</v>
      </c>
      <c r="D38" s="3" t="s">
        <v>1093</v>
      </c>
      <c r="E38" s="9">
        <v>4010</v>
      </c>
      <c r="F38" s="3">
        <f t="shared" si="1"/>
        <v>8020</v>
      </c>
      <c r="G38" s="45">
        <f t="shared" si="3"/>
        <v>668.33333333333337</v>
      </c>
      <c r="I38" s="78"/>
      <c r="L38" s="93"/>
      <c r="S38" s="9"/>
      <c r="T38" s="9"/>
    </row>
    <row r="39" spans="3:20" ht="13" thickBot="1" x14ac:dyDescent="0.2">
      <c r="C39" s="3">
        <f t="shared" si="2"/>
        <v>14</v>
      </c>
      <c r="D39" s="3" t="s">
        <v>1094</v>
      </c>
      <c r="E39" s="9">
        <v>4650</v>
      </c>
      <c r="F39" s="3">
        <f t="shared" si="1"/>
        <v>9300</v>
      </c>
      <c r="G39" s="45">
        <f t="shared" si="3"/>
        <v>775</v>
      </c>
      <c r="I39" s="81" t="s">
        <v>382</v>
      </c>
      <c r="J39" s="29">
        <f>J34*K34+J35*K35+J36*K36+J37*K37</f>
        <v>0</v>
      </c>
      <c r="K39" s="41"/>
      <c r="L39" s="94"/>
      <c r="S39" s="9"/>
      <c r="T39" s="9"/>
    </row>
    <row r="40" spans="3:20" x14ac:dyDescent="0.15">
      <c r="C40" s="3">
        <f t="shared" si="2"/>
        <v>15</v>
      </c>
      <c r="D40" s="3" t="s">
        <v>1095</v>
      </c>
      <c r="E40" s="9">
        <v>5260</v>
      </c>
      <c r="F40" s="3">
        <f t="shared" si="1"/>
        <v>10520</v>
      </c>
      <c r="G40" s="45">
        <f t="shared" si="3"/>
        <v>876.66666666666663</v>
      </c>
      <c r="S40" s="9"/>
      <c r="T40" s="9"/>
    </row>
    <row r="41" spans="3:20" x14ac:dyDescent="0.15">
      <c r="C41" s="3">
        <f t="shared" si="2"/>
        <v>16</v>
      </c>
      <c r="D41" s="3" t="s">
        <v>1096</v>
      </c>
      <c r="E41" s="9">
        <v>5870</v>
      </c>
      <c r="F41" s="3">
        <f t="shared" si="1"/>
        <v>11740</v>
      </c>
      <c r="G41" s="45">
        <f t="shared" si="3"/>
        <v>978.33333333333337</v>
      </c>
      <c r="I41" s="3" t="s">
        <v>699</v>
      </c>
      <c r="K41" s="3">
        <f>SUM(K34:K37)</f>
        <v>0</v>
      </c>
      <c r="S41" s="9"/>
      <c r="T41" s="9"/>
    </row>
    <row r="42" spans="3:20" x14ac:dyDescent="0.15">
      <c r="C42" s="3">
        <f t="shared" si="2"/>
        <v>17</v>
      </c>
      <c r="D42" s="3" t="s">
        <v>1097</v>
      </c>
      <c r="E42" s="9">
        <v>6480</v>
      </c>
      <c r="F42" s="3">
        <f t="shared" si="1"/>
        <v>12960</v>
      </c>
      <c r="G42" s="45">
        <f t="shared" si="3"/>
        <v>1080</v>
      </c>
      <c r="S42" s="9"/>
      <c r="T42" s="9"/>
    </row>
    <row r="43" spans="3:20" x14ac:dyDescent="0.15">
      <c r="C43" s="3">
        <f t="shared" si="2"/>
        <v>18</v>
      </c>
      <c r="D43" s="3" t="s">
        <v>1098</v>
      </c>
      <c r="E43" s="9">
        <v>7110</v>
      </c>
      <c r="F43" s="3">
        <f t="shared" si="1"/>
        <v>14220</v>
      </c>
      <c r="G43" s="45">
        <f t="shared" si="3"/>
        <v>1185</v>
      </c>
      <c r="H43" s="3" t="s">
        <v>317</v>
      </c>
      <c r="I43" s="14" t="s">
        <v>700</v>
      </c>
      <c r="S43" s="9"/>
      <c r="T43" s="9"/>
    </row>
    <row r="44" spans="3:20" ht="13" x14ac:dyDescent="0.15">
      <c r="C44" s="3">
        <f t="shared" si="2"/>
        <v>19</v>
      </c>
      <c r="D44" s="3" t="s">
        <v>1099</v>
      </c>
      <c r="E44" s="9">
        <v>7720</v>
      </c>
      <c r="F44" s="3">
        <f t="shared" si="1"/>
        <v>15440</v>
      </c>
      <c r="G44" s="45">
        <f t="shared" si="3"/>
        <v>1286.6666666666667</v>
      </c>
      <c r="I44" s="16" t="s">
        <v>691</v>
      </c>
      <c r="J44" s="201">
        <f>Dialog!H27</f>
        <v>0</v>
      </c>
      <c r="S44" s="9"/>
      <c r="T44" s="9"/>
    </row>
    <row r="45" spans="3:20" ht="13" x14ac:dyDescent="0.15">
      <c r="C45" s="3">
        <f t="shared" si="2"/>
        <v>20</v>
      </c>
      <c r="D45" s="3" t="s">
        <v>1100</v>
      </c>
      <c r="E45" s="9">
        <v>8330</v>
      </c>
      <c r="F45" s="3">
        <f t="shared" si="1"/>
        <v>16660</v>
      </c>
      <c r="G45" s="45">
        <f t="shared" si="3"/>
        <v>1388.3333333333333</v>
      </c>
      <c r="I45" s="16" t="s">
        <v>692</v>
      </c>
      <c r="J45" s="201">
        <f>Dialog!J27</f>
        <v>0</v>
      </c>
      <c r="S45" s="9"/>
      <c r="T45" s="9"/>
    </row>
    <row r="46" spans="3:20" ht="13" x14ac:dyDescent="0.15">
      <c r="C46" s="3">
        <f t="shared" si="2"/>
        <v>21</v>
      </c>
      <c r="D46" s="3" t="s">
        <v>1101</v>
      </c>
      <c r="E46" s="9">
        <v>8970</v>
      </c>
      <c r="F46" s="3">
        <f t="shared" si="1"/>
        <v>17940</v>
      </c>
      <c r="G46" s="45">
        <f t="shared" si="3"/>
        <v>1495</v>
      </c>
      <c r="I46" s="16" t="s">
        <v>693</v>
      </c>
      <c r="J46" s="201">
        <f>Dialog!L27</f>
        <v>0</v>
      </c>
      <c r="S46" s="9"/>
      <c r="T46" s="9"/>
    </row>
    <row r="47" spans="3:20" ht="13" x14ac:dyDescent="0.15">
      <c r="C47" s="3">
        <f t="shared" si="2"/>
        <v>22</v>
      </c>
      <c r="D47" s="3" t="s">
        <v>1102</v>
      </c>
      <c r="E47" s="9">
        <v>9580</v>
      </c>
      <c r="F47" s="3">
        <f t="shared" si="1"/>
        <v>19160</v>
      </c>
      <c r="G47" s="45">
        <f t="shared" si="3"/>
        <v>1596.6666666666667</v>
      </c>
      <c r="I47" s="3" t="s">
        <v>1283</v>
      </c>
      <c r="J47" s="201">
        <f>SUM(J44:J46)</f>
        <v>0</v>
      </c>
      <c r="S47" s="9"/>
      <c r="T47" s="9"/>
    </row>
    <row r="48" spans="3:20" x14ac:dyDescent="0.15">
      <c r="C48" s="3">
        <f t="shared" si="2"/>
        <v>23</v>
      </c>
      <c r="D48" s="3" t="s">
        <v>1103</v>
      </c>
      <c r="E48" s="9">
        <v>10190</v>
      </c>
      <c r="F48" s="3">
        <f t="shared" si="1"/>
        <v>20380</v>
      </c>
      <c r="G48" s="45">
        <f t="shared" si="3"/>
        <v>1698.3333333333333</v>
      </c>
      <c r="S48" s="9"/>
      <c r="T48" s="9"/>
    </row>
    <row r="49" spans="2:20" x14ac:dyDescent="0.15">
      <c r="C49" s="3">
        <f t="shared" si="2"/>
        <v>24</v>
      </c>
      <c r="D49" s="3" t="s">
        <v>1104</v>
      </c>
      <c r="E49" s="9">
        <v>10800</v>
      </c>
      <c r="F49" s="3">
        <f t="shared" si="1"/>
        <v>21600</v>
      </c>
      <c r="G49" s="45">
        <f t="shared" si="3"/>
        <v>1800</v>
      </c>
      <c r="S49" s="9"/>
      <c r="T49" s="9"/>
    </row>
    <row r="50" spans="2:20" x14ac:dyDescent="0.15">
      <c r="C50" s="3">
        <f t="shared" si="2"/>
        <v>25</v>
      </c>
      <c r="D50" s="3" t="s">
        <v>203</v>
      </c>
      <c r="E50" s="9">
        <v>11430</v>
      </c>
      <c r="F50" s="3">
        <f t="shared" si="1"/>
        <v>22860</v>
      </c>
      <c r="G50" s="45">
        <f t="shared" si="3"/>
        <v>1905</v>
      </c>
    </row>
    <row r="51" spans="2:20" x14ac:dyDescent="0.15">
      <c r="C51" s="3">
        <v>25</v>
      </c>
      <c r="D51" s="3" t="s">
        <v>205</v>
      </c>
    </row>
    <row r="53" spans="2:20" x14ac:dyDescent="0.15">
      <c r="B53" s="3" t="s">
        <v>1105</v>
      </c>
      <c r="D53" s="14" t="s">
        <v>212</v>
      </c>
      <c r="E53" s="3" t="s">
        <v>295</v>
      </c>
    </row>
    <row r="54" spans="2:20" x14ac:dyDescent="0.15">
      <c r="D54" s="14" t="s">
        <v>210</v>
      </c>
      <c r="E54" s="3" t="s">
        <v>206</v>
      </c>
      <c r="F54" s="35" t="s">
        <v>209</v>
      </c>
    </row>
    <row r="55" spans="2:20" x14ac:dyDescent="0.15">
      <c r="E55" s="3" t="s">
        <v>207</v>
      </c>
      <c r="F55" s="3" t="s">
        <v>296</v>
      </c>
    </row>
    <row r="56" spans="2:20" x14ac:dyDescent="0.15">
      <c r="D56" s="3" t="s">
        <v>211</v>
      </c>
      <c r="F56" s="3">
        <f>E56*2</f>
        <v>0</v>
      </c>
    </row>
    <row r="57" spans="2:20" x14ac:dyDescent="0.15">
      <c r="D57" s="3" t="s">
        <v>213</v>
      </c>
      <c r="F57" s="3">
        <f t="shared" ref="F57:F82" si="4">E57*2</f>
        <v>0</v>
      </c>
    </row>
    <row r="58" spans="2:20" x14ac:dyDescent="0.15">
      <c r="D58" s="3" t="s">
        <v>214</v>
      </c>
      <c r="F58" s="3">
        <f t="shared" si="4"/>
        <v>0</v>
      </c>
    </row>
    <row r="59" spans="2:20" x14ac:dyDescent="0.15">
      <c r="D59" s="3" t="s">
        <v>215</v>
      </c>
      <c r="F59" s="3">
        <f t="shared" si="4"/>
        <v>0</v>
      </c>
    </row>
    <row r="60" spans="2:20" x14ac:dyDescent="0.15">
      <c r="D60" s="3" t="s">
        <v>216</v>
      </c>
      <c r="E60" s="9"/>
      <c r="F60" s="3">
        <f t="shared" si="4"/>
        <v>0</v>
      </c>
    </row>
    <row r="61" spans="2:20" x14ac:dyDescent="0.15">
      <c r="D61" s="3" t="s">
        <v>217</v>
      </c>
      <c r="E61" s="9"/>
      <c r="F61" s="3">
        <f t="shared" si="4"/>
        <v>0</v>
      </c>
    </row>
    <row r="62" spans="2:20" x14ac:dyDescent="0.15">
      <c r="D62" s="3" t="s">
        <v>218</v>
      </c>
      <c r="E62" s="9"/>
      <c r="F62" s="3">
        <f t="shared" si="4"/>
        <v>0</v>
      </c>
    </row>
    <row r="63" spans="2:20" x14ac:dyDescent="0.15">
      <c r="D63" s="3" t="s">
        <v>219</v>
      </c>
      <c r="E63" s="9"/>
      <c r="F63" s="3">
        <f t="shared" si="4"/>
        <v>0</v>
      </c>
    </row>
    <row r="64" spans="2:20" x14ac:dyDescent="0.15">
      <c r="D64" s="3" t="s">
        <v>220</v>
      </c>
      <c r="E64" s="9"/>
      <c r="F64" s="3">
        <f t="shared" si="4"/>
        <v>0</v>
      </c>
    </row>
    <row r="65" spans="4:6" x14ac:dyDescent="0.15">
      <c r="D65" s="3" t="s">
        <v>221</v>
      </c>
      <c r="E65" s="9"/>
      <c r="F65" s="3">
        <f t="shared" si="4"/>
        <v>0</v>
      </c>
    </row>
    <row r="66" spans="4:6" x14ac:dyDescent="0.15">
      <c r="D66" s="3" t="s">
        <v>222</v>
      </c>
      <c r="E66" s="9"/>
      <c r="F66" s="3">
        <f t="shared" si="4"/>
        <v>0</v>
      </c>
    </row>
    <row r="67" spans="4:6" x14ac:dyDescent="0.15">
      <c r="D67" s="3" t="s">
        <v>279</v>
      </c>
      <c r="E67" s="9"/>
      <c r="F67" s="3">
        <f t="shared" si="4"/>
        <v>0</v>
      </c>
    </row>
    <row r="68" spans="4:6" x14ac:dyDescent="0.15">
      <c r="D68" s="3" t="s">
        <v>280</v>
      </c>
      <c r="E68" s="9"/>
      <c r="F68" s="3">
        <f t="shared" si="4"/>
        <v>0</v>
      </c>
    </row>
    <row r="69" spans="4:6" x14ac:dyDescent="0.15">
      <c r="D69" s="3" t="s">
        <v>281</v>
      </c>
      <c r="E69" s="9"/>
      <c r="F69" s="3">
        <f t="shared" si="4"/>
        <v>0</v>
      </c>
    </row>
    <row r="70" spans="4:6" x14ac:dyDescent="0.15">
      <c r="D70" s="3" t="s">
        <v>282</v>
      </c>
      <c r="E70" s="9"/>
      <c r="F70" s="3">
        <f t="shared" si="4"/>
        <v>0</v>
      </c>
    </row>
    <row r="71" spans="4:6" x14ac:dyDescent="0.15">
      <c r="D71" s="3" t="s">
        <v>283</v>
      </c>
      <c r="E71" s="9"/>
      <c r="F71" s="3">
        <f t="shared" si="4"/>
        <v>0</v>
      </c>
    </row>
    <row r="72" spans="4:6" x14ac:dyDescent="0.15">
      <c r="D72" s="3" t="s">
        <v>284</v>
      </c>
      <c r="E72" s="9"/>
      <c r="F72" s="3">
        <f t="shared" si="4"/>
        <v>0</v>
      </c>
    </row>
    <row r="73" spans="4:6" x14ac:dyDescent="0.15">
      <c r="D73" s="3" t="s">
        <v>285</v>
      </c>
      <c r="E73" s="9"/>
      <c r="F73" s="3">
        <f t="shared" si="4"/>
        <v>0</v>
      </c>
    </row>
    <row r="74" spans="4:6" x14ac:dyDescent="0.15">
      <c r="D74" s="3" t="s">
        <v>286</v>
      </c>
      <c r="E74" s="9"/>
      <c r="F74" s="3">
        <f t="shared" si="4"/>
        <v>0</v>
      </c>
    </row>
    <row r="75" spans="4:6" x14ac:dyDescent="0.15">
      <c r="D75" s="3" t="s">
        <v>287</v>
      </c>
      <c r="E75" s="9"/>
      <c r="F75" s="3">
        <f t="shared" si="4"/>
        <v>0</v>
      </c>
    </row>
    <row r="76" spans="4:6" x14ac:dyDescent="0.15">
      <c r="D76" s="3" t="s">
        <v>288</v>
      </c>
      <c r="E76" s="9"/>
      <c r="F76" s="3">
        <f t="shared" si="4"/>
        <v>0</v>
      </c>
    </row>
    <row r="77" spans="4:6" x14ac:dyDescent="0.15">
      <c r="D77" s="3" t="s">
        <v>289</v>
      </c>
      <c r="E77" s="9"/>
      <c r="F77" s="3">
        <f t="shared" si="4"/>
        <v>0</v>
      </c>
    </row>
    <row r="78" spans="4:6" x14ac:dyDescent="0.15">
      <c r="D78" s="3" t="s">
        <v>290</v>
      </c>
      <c r="E78" s="9"/>
      <c r="F78" s="3">
        <f t="shared" si="4"/>
        <v>0</v>
      </c>
    </row>
    <row r="79" spans="4:6" x14ac:dyDescent="0.15">
      <c r="D79" s="3" t="s">
        <v>202</v>
      </c>
      <c r="E79" s="9"/>
      <c r="F79" s="3">
        <f t="shared" si="4"/>
        <v>0</v>
      </c>
    </row>
    <row r="80" spans="4:6" x14ac:dyDescent="0.15">
      <c r="D80" s="3" t="s">
        <v>291</v>
      </c>
      <c r="E80" s="9"/>
      <c r="F80" s="3">
        <f t="shared" si="4"/>
        <v>0</v>
      </c>
    </row>
    <row r="81" spans="3:11" x14ac:dyDescent="0.15">
      <c r="D81" s="3" t="s">
        <v>292</v>
      </c>
      <c r="E81" s="9"/>
      <c r="F81" s="3">
        <f t="shared" si="4"/>
        <v>0</v>
      </c>
    </row>
    <row r="82" spans="3:11" x14ac:dyDescent="0.15">
      <c r="D82" s="3" t="s">
        <v>293</v>
      </c>
      <c r="E82" s="9"/>
      <c r="F82" s="3">
        <f t="shared" si="4"/>
        <v>0</v>
      </c>
    </row>
    <row r="83" spans="3:11" x14ac:dyDescent="0.15">
      <c r="D83" s="3" t="s">
        <v>379</v>
      </c>
    </row>
    <row r="85" spans="3:11" x14ac:dyDescent="0.15">
      <c r="D85" s="14" t="s">
        <v>294</v>
      </c>
      <c r="E85" s="3" t="s">
        <v>207</v>
      </c>
      <c r="F85" s="3" t="s">
        <v>296</v>
      </c>
    </row>
    <row r="86" spans="3:11" ht="13" x14ac:dyDescent="0.15">
      <c r="C86" s="3">
        <v>2016</v>
      </c>
      <c r="D86" s="3" t="s">
        <v>297</v>
      </c>
      <c r="F86" s="3">
        <v>690</v>
      </c>
      <c r="G86" s="40" t="s">
        <v>730</v>
      </c>
    </row>
    <row r="87" spans="3:11" x14ac:dyDescent="0.15">
      <c r="D87" s="128"/>
      <c r="E87" s="128"/>
      <c r="F87" s="128"/>
      <c r="G87" s="128"/>
      <c r="H87" s="128"/>
    </row>
    <row r="88" spans="3:11" x14ac:dyDescent="0.15">
      <c r="I88" s="128"/>
      <c r="J88" s="128"/>
    </row>
    <row r="89" spans="3:11" x14ac:dyDescent="0.15">
      <c r="D89" s="14" t="s">
        <v>1130</v>
      </c>
      <c r="E89" s="3" t="s">
        <v>64</v>
      </c>
      <c r="F89" s="3" t="s">
        <v>65</v>
      </c>
      <c r="H89" s="14" t="s">
        <v>1082</v>
      </c>
      <c r="I89" s="3" t="s">
        <v>64</v>
      </c>
      <c r="J89" s="3" t="s">
        <v>65</v>
      </c>
    </row>
    <row r="90" spans="3:11" ht="13" x14ac:dyDescent="0.15">
      <c r="C90" s="3" t="s">
        <v>393</v>
      </c>
      <c r="D90" s="3" t="s">
        <v>66</v>
      </c>
      <c r="E90" s="9">
        <f>F90*4</f>
        <v>3580</v>
      </c>
      <c r="F90" s="261">
        <v>895</v>
      </c>
      <c r="G90" s="3" t="s">
        <v>67</v>
      </c>
      <c r="H90" s="3" t="s">
        <v>79</v>
      </c>
      <c r="I90" s="9">
        <f t="shared" ref="I90:I97" si="5">J90*12</f>
        <v>5328</v>
      </c>
      <c r="J90" s="182">
        <v>444</v>
      </c>
      <c r="K90" s="40"/>
    </row>
    <row r="91" spans="3:11" ht="13" x14ac:dyDescent="0.15">
      <c r="C91" s="3" t="s">
        <v>393</v>
      </c>
      <c r="D91" s="3" t="s">
        <v>69</v>
      </c>
      <c r="E91" s="9">
        <f t="shared" ref="E91:E97" si="6">F91*12</f>
        <v>2340</v>
      </c>
      <c r="F91" s="261">
        <v>195</v>
      </c>
      <c r="G91" s="3" t="s">
        <v>68</v>
      </c>
      <c r="H91" s="3" t="str">
        <f t="shared" ref="H91:H97" si="7">D91</f>
        <v>Lederne</v>
      </c>
      <c r="I91" s="9">
        <f t="shared" si="5"/>
        <v>5628</v>
      </c>
      <c r="J91" s="182">
        <v>469</v>
      </c>
      <c r="K91" s="40"/>
    </row>
    <row r="92" spans="3:11" ht="13" x14ac:dyDescent="0.15">
      <c r="C92" s="3" t="s">
        <v>393</v>
      </c>
      <c r="D92" s="3" t="s">
        <v>71</v>
      </c>
      <c r="E92" s="9">
        <f t="shared" si="6"/>
        <v>5520</v>
      </c>
      <c r="F92" s="261">
        <f>390+70</f>
        <v>460</v>
      </c>
      <c r="G92" s="3" t="s">
        <v>68</v>
      </c>
      <c r="H92" s="3" t="str">
        <f t="shared" si="7"/>
        <v>Dansk Journalistforbund</v>
      </c>
      <c r="I92" s="9">
        <f t="shared" si="5"/>
        <v>5508</v>
      </c>
      <c r="J92" s="182">
        <v>459</v>
      </c>
      <c r="K92" s="40"/>
    </row>
    <row r="93" spans="3:11" ht="13" x14ac:dyDescent="0.15">
      <c r="C93" s="3" t="s">
        <v>393</v>
      </c>
      <c r="D93" s="3" t="s">
        <v>70</v>
      </c>
      <c r="E93" s="9">
        <f t="shared" si="6"/>
        <v>828</v>
      </c>
      <c r="F93" s="261">
        <v>69</v>
      </c>
      <c r="G93" s="3" t="s">
        <v>68</v>
      </c>
      <c r="H93" s="3" t="str">
        <f t="shared" si="7"/>
        <v>Det Faglige Hus</v>
      </c>
      <c r="I93" s="9">
        <f t="shared" si="5"/>
        <v>5748</v>
      </c>
      <c r="J93" s="182">
        <v>479</v>
      </c>
      <c r="K93" s="40"/>
    </row>
    <row r="94" spans="3:11" ht="13" x14ac:dyDescent="0.15">
      <c r="C94" s="3" t="s">
        <v>393</v>
      </c>
      <c r="D94" s="3" t="s">
        <v>72</v>
      </c>
      <c r="E94" s="9">
        <f t="shared" si="6"/>
        <v>4386</v>
      </c>
      <c r="F94" s="261">
        <v>365.5</v>
      </c>
      <c r="G94" s="3" t="s">
        <v>68</v>
      </c>
      <c r="H94" s="3" t="str">
        <f t="shared" si="7"/>
        <v>Dansk Metal, Hovedstaden</v>
      </c>
      <c r="I94" s="9">
        <f t="shared" si="5"/>
        <v>6156</v>
      </c>
      <c r="J94" s="182">
        <v>513</v>
      </c>
      <c r="K94" s="40"/>
    </row>
    <row r="95" spans="3:11" ht="13" x14ac:dyDescent="0.15">
      <c r="C95" s="3" t="s">
        <v>393</v>
      </c>
      <c r="D95" s="3" t="s">
        <v>77</v>
      </c>
      <c r="E95" s="9">
        <f t="shared" si="6"/>
        <v>5568</v>
      </c>
      <c r="F95" s="261">
        <v>464</v>
      </c>
      <c r="G95" s="3" t="s">
        <v>68</v>
      </c>
      <c r="H95" s="3" t="str">
        <f t="shared" si="7"/>
        <v>3F Fagligt Fælles Forbund</v>
      </c>
      <c r="I95" s="9">
        <f t="shared" si="5"/>
        <v>6156</v>
      </c>
      <c r="J95" s="182">
        <v>513</v>
      </c>
      <c r="K95" s="40"/>
    </row>
    <row r="96" spans="3:11" ht="13" x14ac:dyDescent="0.15">
      <c r="C96" s="3" t="s">
        <v>393</v>
      </c>
      <c r="D96" s="3" t="s">
        <v>78</v>
      </c>
      <c r="E96" s="9">
        <f t="shared" si="6"/>
        <v>5304</v>
      </c>
      <c r="F96" s="261">
        <v>442</v>
      </c>
      <c r="G96" s="3" t="s">
        <v>68</v>
      </c>
      <c r="H96" s="3" t="str">
        <f t="shared" si="7"/>
        <v>HK Kommunal</v>
      </c>
      <c r="I96" s="9">
        <f t="shared" si="5"/>
        <v>6888</v>
      </c>
      <c r="J96" s="182">
        <f>495+79</f>
        <v>574</v>
      </c>
      <c r="K96" s="40"/>
    </row>
    <row r="97" spans="3:11" ht="13" x14ac:dyDescent="0.15">
      <c r="C97" s="3" t="s">
        <v>393</v>
      </c>
      <c r="D97" s="3" t="s">
        <v>1146</v>
      </c>
      <c r="E97" s="9">
        <f t="shared" si="6"/>
        <v>1476</v>
      </c>
      <c r="F97" s="261">
        <f>615-J97</f>
        <v>123</v>
      </c>
      <c r="G97" s="3" t="s">
        <v>68</v>
      </c>
      <c r="H97" s="3" t="str">
        <f t="shared" si="7"/>
        <v>Kristelig Fagforening (krifa Basis)</v>
      </c>
      <c r="I97" s="9">
        <f t="shared" si="5"/>
        <v>5904</v>
      </c>
      <c r="J97" s="182">
        <f>492</f>
        <v>492</v>
      </c>
      <c r="K97" s="40"/>
    </row>
    <row r="98" spans="3:11" x14ac:dyDescent="0.15">
      <c r="I98" s="9"/>
    </row>
    <row r="99" spans="3:11" x14ac:dyDescent="0.15">
      <c r="D99" s="3" t="s">
        <v>73</v>
      </c>
      <c r="E99" s="9">
        <f>SUM(E90:E97)/8</f>
        <v>3625.25</v>
      </c>
      <c r="I99" s="9">
        <f>SUM(I90:I97)/8</f>
        <v>5914.5</v>
      </c>
    </row>
    <row r="100" spans="3:11" x14ac:dyDescent="0.15">
      <c r="I100" s="9"/>
    </row>
    <row r="101" spans="3:11" x14ac:dyDescent="0.15">
      <c r="D101" s="3" t="s">
        <v>74</v>
      </c>
    </row>
    <row r="102" spans="3:11" ht="13" x14ac:dyDescent="0.15">
      <c r="D102" s="3" t="s">
        <v>76</v>
      </c>
      <c r="E102" s="40" t="s">
        <v>75</v>
      </c>
    </row>
  </sheetData>
  <mergeCells count="1">
    <mergeCell ref="I24:L24"/>
  </mergeCells>
  <phoneticPr fontId="0" type="noConversion"/>
  <hyperlinks>
    <hyperlink ref="F24" r:id="rId1" xr:uid="{00000000-0004-0000-0200-000000000000}"/>
    <hyperlink ref="F54" r:id="rId2" xr:uid="{00000000-0004-0000-0200-000001000000}"/>
    <hyperlink ref="J15" r:id="rId3" location="productpage-configurator" xr:uid="{00000000-0004-0000-0200-000003000000}"/>
    <hyperlink ref="J17" r:id="rId4" xr:uid="{00000000-0004-0000-0200-000004000000}"/>
    <hyperlink ref="J14" r:id="rId5" location="tabs-5556" xr:uid="{00000000-0004-0000-0200-000005000000}"/>
    <hyperlink ref="E102" r:id="rId6" xr:uid="{00000000-0004-0000-0200-000006000000}"/>
    <hyperlink ref="G86" r:id="rId7" xr:uid="{00000000-0004-0000-0200-000007000000}"/>
  </hyperlinks>
  <pageMargins left="0.75" right="0.75" top="1" bottom="1" header="0" footer="0"/>
  <pageSetup orientation="portrait"/>
  <legacyDrawing r:id="rId8"/>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107"/>
  <sheetViews>
    <sheetView zoomScale="125" zoomScaleNormal="125" zoomScalePageLayoutView="125" workbookViewId="0">
      <pane xSplit="3" ySplit="2" topLeftCell="D79" activePane="bottomRight" state="frozen"/>
      <selection pane="topRight" activeCell="D1" sqref="D1"/>
      <selection pane="bottomLeft" activeCell="A3" sqref="A3"/>
      <selection pane="bottomRight" activeCell="D99" sqref="D99"/>
    </sheetView>
  </sheetViews>
  <sheetFormatPr baseColWidth="10" defaultColWidth="8.83203125" defaultRowHeight="13" x14ac:dyDescent="0.15"/>
  <cols>
    <col min="1" max="1" width="6.5" customWidth="1"/>
    <col min="2" max="2" width="4.33203125" customWidth="1"/>
    <col min="3" max="3" width="50.5" customWidth="1"/>
    <col min="4" max="4" width="24.1640625" style="5" bestFit="1" customWidth="1"/>
    <col min="5" max="6" width="26" style="5" customWidth="1"/>
    <col min="7" max="7" width="23.5" style="5" customWidth="1"/>
    <col min="8" max="8" width="20.33203125" customWidth="1"/>
    <col min="9" max="10" width="12.6640625" customWidth="1"/>
    <col min="11" max="11" width="16.33203125" customWidth="1"/>
    <col min="12" max="12" width="13.83203125" customWidth="1"/>
    <col min="13" max="13" width="13.1640625" customWidth="1"/>
    <col min="14" max="14" width="1.5" customWidth="1"/>
    <col min="15" max="15" width="10.1640625" bestFit="1" customWidth="1"/>
  </cols>
  <sheetData>
    <row r="1" spans="1:15" x14ac:dyDescent="0.15">
      <c r="A1" t="s">
        <v>715</v>
      </c>
      <c r="D1" s="5" t="s">
        <v>270</v>
      </c>
      <c r="E1" s="5" t="s">
        <v>268</v>
      </c>
      <c r="F1" s="5" t="s">
        <v>269</v>
      </c>
      <c r="G1" s="5" t="s">
        <v>271</v>
      </c>
      <c r="H1" t="s">
        <v>272</v>
      </c>
    </row>
    <row r="2" spans="1:15" ht="14" x14ac:dyDescent="0.15">
      <c r="A2" t="s">
        <v>716</v>
      </c>
      <c r="B2" s="51"/>
      <c r="C2" s="257" t="str">
        <f>'DS-tal-alle'!C16</f>
        <v>FORBRUG I ALT</v>
      </c>
      <c r="D2" s="257">
        <f>'DS-tal-alle'!D16</f>
        <v>300480.3</v>
      </c>
      <c r="E2" s="257">
        <f>'DS-tal-alle'!F16</f>
        <v>183861.1</v>
      </c>
      <c r="F2" s="257">
        <f>'DS-tal-alle'!G16</f>
        <v>246764.4</v>
      </c>
      <c r="G2" s="257">
        <f>'DS-tal-alle'!H16</f>
        <v>330719.8</v>
      </c>
      <c r="H2" s="257">
        <f>'DS-tal-alle'!I16</f>
        <v>417210.8</v>
      </c>
      <c r="I2" s="52" t="s">
        <v>303</v>
      </c>
      <c r="J2" s="52" t="s">
        <v>723</v>
      </c>
      <c r="K2" s="103" t="s">
        <v>433</v>
      </c>
      <c r="L2" s="103" t="s">
        <v>304</v>
      </c>
      <c r="M2" s="1" t="s">
        <v>305</v>
      </c>
      <c r="N2" s="50"/>
    </row>
    <row r="3" spans="1:15" x14ac:dyDescent="0.15">
      <c r="A3">
        <f>Budget!$L$16</f>
        <v>4</v>
      </c>
      <c r="B3" s="1" t="s">
        <v>300</v>
      </c>
      <c r="C3" s="1"/>
      <c r="D3" s="54">
        <f>D13</f>
        <v>54352</v>
      </c>
      <c r="E3" s="54">
        <f t="shared" ref="E3:H3" si="0">E13</f>
        <v>27546.9</v>
      </c>
      <c r="F3" s="54">
        <f t="shared" si="0"/>
        <v>46426.600000000006</v>
      </c>
      <c r="G3" s="54">
        <f t="shared" si="0"/>
        <v>52206.7</v>
      </c>
      <c r="H3" s="54">
        <f t="shared" si="0"/>
        <v>88783.9</v>
      </c>
    </row>
    <row r="4" spans="1:15" x14ac:dyDescent="0.15">
      <c r="C4" s="5" t="str">
        <f>'DS-tal-alle'!C17</f>
        <v>01 FØDEVARER OG IKKE-ALKOHOLISKE DRIKKEVARER</v>
      </c>
      <c r="D4" s="5">
        <f>'DS-tal-alle'!D17</f>
        <v>38606</v>
      </c>
      <c r="E4" s="5">
        <f>'DS-tal-alle'!F17</f>
        <v>20252.900000000001</v>
      </c>
      <c r="F4" s="5">
        <f>'DS-tal-alle'!G17</f>
        <v>34015.5</v>
      </c>
      <c r="G4" s="5">
        <f>'DS-tal-alle'!H17</f>
        <v>39231</v>
      </c>
      <c r="H4" s="5">
        <f>'DS-tal-alle'!I17</f>
        <v>55719.1</v>
      </c>
      <c r="O4" s="5"/>
    </row>
    <row r="5" spans="1:15" x14ac:dyDescent="0.15">
      <c r="C5" s="5" t="str">
        <f>'DS-tal-alle'!C79</f>
        <v>02 ALKOHOLISKE DRIKKEVARER OG TOBAK</v>
      </c>
      <c r="D5" s="5">
        <f>'DS-tal-alle'!D79</f>
        <v>6705</v>
      </c>
      <c r="E5" s="5">
        <f>'DS-tal-alle'!F79</f>
        <v>4723.2</v>
      </c>
      <c r="F5" s="5">
        <f>'DS-tal-alle'!G79</f>
        <v>5018.3999999999996</v>
      </c>
      <c r="G5" s="5">
        <f>'DS-tal-alle'!H79</f>
        <v>8032.3</v>
      </c>
      <c r="H5" s="5">
        <f>'DS-tal-alle'!I79</f>
        <v>7011.1</v>
      </c>
    </row>
    <row r="6" spans="1:15" x14ac:dyDescent="0.15">
      <c r="C6" s="55" t="str">
        <f>'DS-tal-alle'!C165</f>
        <v>05.6.1.1 Rengøringsartikler</v>
      </c>
      <c r="D6" s="55">
        <f>'DS-tal-alle'!D165</f>
        <v>779</v>
      </c>
      <c r="E6" s="55">
        <f>'DS-tal-alle'!F165</f>
        <v>382.3</v>
      </c>
      <c r="F6" s="55">
        <f>'DS-tal-alle'!G165</f>
        <v>609.4</v>
      </c>
      <c r="G6" s="55">
        <f>'DS-tal-alle'!H165</f>
        <v>871.1</v>
      </c>
      <c r="H6" s="55">
        <f>'DS-tal-alle'!I165</f>
        <v>1220.7</v>
      </c>
    </row>
    <row r="7" spans="1:15" x14ac:dyDescent="0.15">
      <c r="C7" s="55" t="str">
        <f>'DS-tal-alle'!C166</f>
        <v>05.6.1.2 Andre ikke-varige små husholdningsartikler</v>
      </c>
      <c r="D7" s="55">
        <f>'DS-tal-alle'!D166</f>
        <v>1089</v>
      </c>
      <c r="E7" s="55">
        <f>'DS-tal-alle'!F166</f>
        <v>607.4</v>
      </c>
      <c r="F7" s="55">
        <f>'DS-tal-alle'!G166</f>
        <v>1167.3</v>
      </c>
      <c r="G7" s="55">
        <f>'DS-tal-alle'!H166</f>
        <v>1406.7</v>
      </c>
      <c r="H7" s="55">
        <f>'DS-tal-alle'!I166</f>
        <v>1703.6</v>
      </c>
    </row>
    <row r="8" spans="1:15" x14ac:dyDescent="0.15">
      <c r="C8" s="55" t="str">
        <f>'DS-tal-alle'!C169</f>
        <v>05.6.2.9 Rengøring og vinduespudsning</v>
      </c>
      <c r="D8" s="55">
        <f>'DS-tal-alle'!D169</f>
        <v>805</v>
      </c>
      <c r="E8" s="55">
        <f>'DS-tal-alle'!F169</f>
        <v>142.6</v>
      </c>
      <c r="F8" s="55">
        <f>'DS-tal-alle'!G169</f>
        <v>398.2</v>
      </c>
      <c r="G8" s="55">
        <f>'DS-tal-alle'!H169</f>
        <v>401.4</v>
      </c>
      <c r="H8" s="55">
        <f>'DS-tal-alle'!I169</f>
        <v>1178.5999999999999</v>
      </c>
    </row>
    <row r="9" spans="1:15" x14ac:dyDescent="0.15">
      <c r="C9" s="55" t="str">
        <f>'DS-tal-alle'!C282</f>
        <v>12.1.1.1 Frisør til mænd og børn</v>
      </c>
      <c r="D9" s="55">
        <f>'DS-tal-alle'!D282</f>
        <v>506</v>
      </c>
      <c r="E9" s="55">
        <f>'DS-tal-alle'!F282</f>
        <v>377.9</v>
      </c>
      <c r="F9" s="55">
        <f>'DS-tal-alle'!G282</f>
        <v>266.5</v>
      </c>
      <c r="G9" s="55">
        <f>'DS-tal-alle'!H282</f>
        <v>543.6</v>
      </c>
      <c r="H9" s="55">
        <f>'DS-tal-alle'!I282</f>
        <v>689.2</v>
      </c>
    </row>
    <row r="10" spans="1:15" x14ac:dyDescent="0.15">
      <c r="C10" s="55" t="str">
        <f>'DS-tal-alle'!C283</f>
        <v>12.1.1.2 Frisør til kvinder</v>
      </c>
      <c r="D10" s="55">
        <f>'DS-tal-alle'!D283</f>
        <v>1516</v>
      </c>
      <c r="E10" s="55">
        <f>'DS-tal-alle'!F283</f>
        <v>940.1</v>
      </c>
      <c r="F10" s="55">
        <f>'DS-tal-alle'!G283</f>
        <v>349.3</v>
      </c>
      <c r="G10" s="55">
        <f>'DS-tal-alle'!H283</f>
        <v>1300.0999999999999</v>
      </c>
      <c r="H10" s="55">
        <f>'DS-tal-alle'!I283</f>
        <v>1568.1</v>
      </c>
    </row>
    <row r="11" spans="1:15" x14ac:dyDescent="0.15">
      <c r="C11" s="55" t="str">
        <f>'DS-tal-alle'!C284</f>
        <v>12.1.1.3 Personlige plejebehandlinger</v>
      </c>
      <c r="D11" s="55">
        <f>'DS-tal-alle'!D284</f>
        <v>806</v>
      </c>
      <c r="E11" s="55">
        <f>'DS-tal-alle'!F284</f>
        <v>120.5</v>
      </c>
      <c r="F11" s="55">
        <f>'DS-tal-alle'!G284</f>
        <v>809.7</v>
      </c>
      <c r="G11" s="55">
        <f>'DS-tal-alle'!H284</f>
        <v>420.5</v>
      </c>
      <c r="H11" s="55">
        <f>'DS-tal-alle'!I284</f>
        <v>545.9</v>
      </c>
    </row>
    <row r="12" spans="1:15" x14ac:dyDescent="0.15">
      <c r="C12" s="55" t="str">
        <f>'DS-tal-alle'!C297</f>
        <v>12.4.0.1 Børnepasning</v>
      </c>
      <c r="D12" s="55">
        <f>'DS-tal-alle'!D297</f>
        <v>3540</v>
      </c>
      <c r="E12" s="55">
        <f>'DS-tal-alle'!F297</f>
        <v>0</v>
      </c>
      <c r="F12" s="55">
        <f>'DS-tal-alle'!G297</f>
        <v>3792.3</v>
      </c>
      <c r="G12" s="55">
        <f>'DS-tal-alle'!H297</f>
        <v>0</v>
      </c>
      <c r="H12" s="55">
        <f>'DS-tal-alle'!I297</f>
        <v>19147.599999999999</v>
      </c>
    </row>
    <row r="13" spans="1:15" ht="14" thickBot="1" x14ac:dyDescent="0.2">
      <c r="C13" s="13" t="s">
        <v>196</v>
      </c>
      <c r="D13" s="66">
        <f>SUM(D4:D12)</f>
        <v>54352</v>
      </c>
      <c r="E13" s="66">
        <f t="shared" ref="E13:H13" si="1">SUM(E4:E12)</f>
        <v>27546.9</v>
      </c>
      <c r="F13" s="66">
        <f t="shared" si="1"/>
        <v>46426.600000000006</v>
      </c>
      <c r="G13" s="66">
        <f t="shared" si="1"/>
        <v>52206.7</v>
      </c>
      <c r="H13" s="66">
        <f t="shared" si="1"/>
        <v>88783.9</v>
      </c>
    </row>
    <row r="14" spans="1:15" x14ac:dyDescent="0.15">
      <c r="H14" s="5"/>
    </row>
    <row r="15" spans="1:15" x14ac:dyDescent="0.15">
      <c r="B15" s="1" t="s">
        <v>301</v>
      </c>
      <c r="D15" s="54">
        <f>D22</f>
        <v>14040</v>
      </c>
      <c r="E15" s="54">
        <f t="shared" ref="E15:H15" si="2">E22</f>
        <v>7442</v>
      </c>
      <c r="F15" s="54">
        <f t="shared" si="2"/>
        <v>10404.999999999998</v>
      </c>
      <c r="G15" s="54">
        <f t="shared" si="2"/>
        <v>18031.900000000001</v>
      </c>
      <c r="H15" s="54">
        <f t="shared" si="2"/>
        <v>20342</v>
      </c>
    </row>
    <row r="16" spans="1:15" x14ac:dyDescent="0.15">
      <c r="B16" s="1"/>
      <c r="C16" s="5" t="str">
        <f>'DS-tal-alle'!C94</f>
        <v>03 BEKLÆDNING OG FODTØJ</v>
      </c>
      <c r="D16" s="5">
        <f>'DS-tal-alle'!D94</f>
        <v>12115</v>
      </c>
      <c r="E16" s="5">
        <f>'DS-tal-alle'!F94</f>
        <v>6691.3</v>
      </c>
      <c r="F16" s="5">
        <f>'DS-tal-alle'!G94</f>
        <v>9371.5</v>
      </c>
      <c r="G16" s="5">
        <f>'DS-tal-alle'!H94</f>
        <v>15252</v>
      </c>
      <c r="H16" s="5">
        <f>'DS-tal-alle'!I94</f>
        <v>18301.2</v>
      </c>
    </row>
    <row r="17" spans="2:8" x14ac:dyDescent="0.15">
      <c r="B17" s="1"/>
      <c r="C17" s="55" t="str">
        <f>'DS-tal-alle'!C290</f>
        <v>12.3.1.1 Smykker</v>
      </c>
      <c r="D17" s="55">
        <f>'DS-tal-alle'!D290</f>
        <v>497</v>
      </c>
      <c r="E17" s="55">
        <f>'DS-tal-alle'!F290</f>
        <v>334.7</v>
      </c>
      <c r="F17" s="55">
        <f>'DS-tal-alle'!G290</f>
        <v>157.30000000000001</v>
      </c>
      <c r="G17" s="55">
        <f>'DS-tal-alle'!H290</f>
        <v>355.6</v>
      </c>
      <c r="H17" s="55">
        <f>'DS-tal-alle'!I290</f>
        <v>842.5</v>
      </c>
    </row>
    <row r="18" spans="2:8" x14ac:dyDescent="0.15">
      <c r="B18" s="1"/>
      <c r="C18" s="55" t="str">
        <f>'DS-tal-alle'!C291</f>
        <v>12.3.1.2 Ure</v>
      </c>
      <c r="D18" s="55">
        <f>'DS-tal-alle'!D291</f>
        <v>666</v>
      </c>
      <c r="E18" s="55">
        <f>'DS-tal-alle'!F291</f>
        <v>134.30000000000001</v>
      </c>
      <c r="F18" s="55">
        <f>'DS-tal-alle'!G291</f>
        <v>125.9</v>
      </c>
      <c r="G18" s="55">
        <f>'DS-tal-alle'!H291</f>
        <v>766.2</v>
      </c>
      <c r="H18" s="55">
        <f>'DS-tal-alle'!I291</f>
        <v>342.6</v>
      </c>
    </row>
    <row r="19" spans="2:8" x14ac:dyDescent="0.15">
      <c r="B19" s="1"/>
      <c r="C19" s="55" t="str">
        <f>'DS-tal-alle'!C292</f>
        <v>12.3.1.3 Reparation af smykker og ure</v>
      </c>
      <c r="D19" s="55">
        <f>'DS-tal-alle'!D292</f>
        <v>3</v>
      </c>
      <c r="E19" s="55">
        <f>'DS-tal-alle'!F292</f>
        <v>125.1</v>
      </c>
      <c r="F19" s="55">
        <f>'DS-tal-alle'!G292</f>
        <v>0</v>
      </c>
      <c r="G19" s="55">
        <f>'DS-tal-alle'!H292</f>
        <v>52.2</v>
      </c>
      <c r="H19" s="55">
        <f>'DS-tal-alle'!I292</f>
        <v>8.4</v>
      </c>
    </row>
    <row r="20" spans="2:8" x14ac:dyDescent="0.15">
      <c r="B20" s="1"/>
      <c r="C20" s="55" t="str">
        <f>'DS-tal-alle'!C293</f>
        <v>12.3.2.1 Tasker, rygsække o.l.</v>
      </c>
      <c r="D20" s="55">
        <f>'DS-tal-alle'!D293</f>
        <v>582</v>
      </c>
      <c r="E20" s="55">
        <f>'DS-tal-alle'!F293</f>
        <v>156.19999999999999</v>
      </c>
      <c r="F20" s="55">
        <f>'DS-tal-alle'!G293</f>
        <v>481.4</v>
      </c>
      <c r="G20" s="55">
        <f>'DS-tal-alle'!H293</f>
        <v>447.9</v>
      </c>
      <c r="H20" s="55">
        <f>'DS-tal-alle'!I293</f>
        <v>726.3</v>
      </c>
    </row>
    <row r="21" spans="2:8" x14ac:dyDescent="0.15">
      <c r="B21" s="1"/>
      <c r="C21" s="55" t="str">
        <f>'DS-tal-alle'!C294</f>
        <v>12.3.2.2 Artikler til babyer</v>
      </c>
      <c r="D21" s="55">
        <f>'DS-tal-alle'!D294</f>
        <v>177</v>
      </c>
      <c r="E21" s="55">
        <f>'DS-tal-alle'!F294</f>
        <v>0.4</v>
      </c>
      <c r="F21" s="55">
        <f>'DS-tal-alle'!G294</f>
        <v>268.89999999999998</v>
      </c>
      <c r="G21" s="55">
        <f>'DS-tal-alle'!H294</f>
        <v>1158</v>
      </c>
      <c r="H21" s="55">
        <f>'DS-tal-alle'!I294</f>
        <v>121</v>
      </c>
    </row>
    <row r="22" spans="2:8" ht="14" thickBot="1" x14ac:dyDescent="0.2">
      <c r="B22" s="1"/>
      <c r="C22" s="13" t="s">
        <v>196</v>
      </c>
      <c r="D22" s="67">
        <f>SUM(D16:D21)</f>
        <v>14040</v>
      </c>
      <c r="E22" s="67">
        <f t="shared" ref="E22:H22" si="3">SUM(E16:E21)</f>
        <v>7442</v>
      </c>
      <c r="F22" s="67">
        <f t="shared" si="3"/>
        <v>10404.999999999998</v>
      </c>
      <c r="G22" s="67">
        <f t="shared" si="3"/>
        <v>18031.900000000001</v>
      </c>
      <c r="H22" s="67">
        <f t="shared" si="3"/>
        <v>20342</v>
      </c>
    </row>
    <row r="23" spans="2:8" x14ac:dyDescent="0.15">
      <c r="B23" s="1"/>
      <c r="H23" s="5"/>
    </row>
    <row r="24" spans="2:8" x14ac:dyDescent="0.15">
      <c r="B24" s="1" t="s">
        <v>302</v>
      </c>
      <c r="D24" s="54">
        <f>D29</f>
        <v>12960</v>
      </c>
      <c r="E24" s="54">
        <f t="shared" ref="E24:H24" si="4">E29</f>
        <v>7770.1</v>
      </c>
      <c r="F24" s="54">
        <f t="shared" si="4"/>
        <v>9248.7000000000007</v>
      </c>
      <c r="G24" s="54">
        <f t="shared" si="4"/>
        <v>17028.3</v>
      </c>
      <c r="H24" s="54">
        <f t="shared" si="4"/>
        <v>21340.300000000003</v>
      </c>
    </row>
    <row r="25" spans="2:8" x14ac:dyDescent="0.15">
      <c r="C25" t="str">
        <f>'DS-tal-alle'!C131</f>
        <v>05 MØBLER, HUSHOLDNINGSUDSTYR OG HUSHOLDNINGSTJENESTER</v>
      </c>
      <c r="D25" s="5">
        <f>'DS-tal-alle'!D131</f>
        <v>15633</v>
      </c>
      <c r="E25" s="5">
        <f>'DS-tal-alle'!F131</f>
        <v>8902.4</v>
      </c>
      <c r="F25" s="5">
        <f>'DS-tal-alle'!G131</f>
        <v>11423.6</v>
      </c>
      <c r="G25" s="5">
        <f>'DS-tal-alle'!H131</f>
        <v>19707.5</v>
      </c>
      <c r="H25" s="5">
        <f>'DS-tal-alle'!I131</f>
        <v>25443.200000000001</v>
      </c>
    </row>
    <row r="26" spans="2:8" x14ac:dyDescent="0.15">
      <c r="C26" t="str">
        <f>'DS-tal-alle'!C165</f>
        <v>05.6.1.1 Rengøringsartikler</v>
      </c>
      <c r="D26" s="5">
        <f>-'DS-tal-alle'!D165</f>
        <v>-779</v>
      </c>
      <c r="E26" s="5">
        <f>-'DS-tal-alle'!F165</f>
        <v>-382.3</v>
      </c>
      <c r="F26" s="5">
        <f>-'DS-tal-alle'!G165</f>
        <v>-609.4</v>
      </c>
      <c r="G26" s="5">
        <f>-'DS-tal-alle'!H165</f>
        <v>-871.1</v>
      </c>
      <c r="H26" s="5">
        <f>-'DS-tal-alle'!I165</f>
        <v>-1220.7</v>
      </c>
    </row>
    <row r="27" spans="2:8" x14ac:dyDescent="0.15">
      <c r="C27" t="str">
        <f>'DS-tal-alle'!C166</f>
        <v>05.6.1.2 Andre ikke-varige små husholdningsartikler</v>
      </c>
      <c r="D27" s="5">
        <f>-'DS-tal-alle'!D166</f>
        <v>-1089</v>
      </c>
      <c r="E27" s="5">
        <f>-'DS-tal-alle'!F166</f>
        <v>-607.4</v>
      </c>
      <c r="F27" s="5">
        <f>-'DS-tal-alle'!G166</f>
        <v>-1167.3</v>
      </c>
      <c r="G27" s="5">
        <f>-'DS-tal-alle'!H166</f>
        <v>-1406.7</v>
      </c>
      <c r="H27" s="5">
        <f>-'DS-tal-alle'!I166</f>
        <v>-1703.6</v>
      </c>
    </row>
    <row r="28" spans="2:8" x14ac:dyDescent="0.15">
      <c r="C28" t="str">
        <f>'DS-tal-alle'!C169</f>
        <v>05.6.2.9 Rengøring og vinduespudsning</v>
      </c>
      <c r="D28" s="5">
        <f>-'DS-tal-alle'!D169</f>
        <v>-805</v>
      </c>
      <c r="E28" s="5">
        <f>-'DS-tal-alle'!F169</f>
        <v>-142.6</v>
      </c>
      <c r="F28" s="5">
        <f>-'DS-tal-alle'!G169</f>
        <v>-398.2</v>
      </c>
      <c r="G28" s="5">
        <f>-'DS-tal-alle'!H169</f>
        <v>-401.4</v>
      </c>
      <c r="H28" s="5">
        <f>-'DS-tal-alle'!I169</f>
        <v>-1178.5999999999999</v>
      </c>
    </row>
    <row r="29" spans="2:8" ht="14" thickBot="1" x14ac:dyDescent="0.2">
      <c r="C29" s="13" t="s">
        <v>196</v>
      </c>
      <c r="D29" s="66">
        <f>SUM(D25:D28)</f>
        <v>12960</v>
      </c>
      <c r="E29" s="66">
        <f t="shared" ref="E29:H29" si="5">SUM(E25:E28)</f>
        <v>7770.1</v>
      </c>
      <c r="F29" s="66">
        <f t="shared" si="5"/>
        <v>9248.7000000000007</v>
      </c>
      <c r="G29" s="66">
        <f t="shared" si="5"/>
        <v>17028.3</v>
      </c>
      <c r="H29" s="66">
        <f t="shared" si="5"/>
        <v>21340.300000000003</v>
      </c>
    </row>
    <row r="30" spans="2:8" x14ac:dyDescent="0.15">
      <c r="H30" s="5"/>
    </row>
    <row r="31" spans="2:8" x14ac:dyDescent="0.15">
      <c r="B31" s="1" t="s">
        <v>351</v>
      </c>
      <c r="C31" s="1"/>
      <c r="D31" s="54">
        <f>D34</f>
        <v>5234</v>
      </c>
      <c r="E31" s="54">
        <f t="shared" ref="E31:H31" si="6">E34</f>
        <v>2214.5</v>
      </c>
      <c r="F31" s="54">
        <f t="shared" si="6"/>
        <v>2434.6999999999998</v>
      </c>
      <c r="G31" s="54">
        <f t="shared" si="6"/>
        <v>5278.0999999999995</v>
      </c>
      <c r="H31" s="54">
        <f t="shared" si="6"/>
        <v>4424.1000000000004</v>
      </c>
    </row>
    <row r="32" spans="2:8" x14ac:dyDescent="0.15">
      <c r="B32" s="1"/>
      <c r="C32" s="12" t="str">
        <f>'DS-tal-alle'!C170</f>
        <v>06 SUNDHED</v>
      </c>
      <c r="D32" s="56">
        <f>'DS-tal-alle'!D170</f>
        <v>8073</v>
      </c>
      <c r="E32" s="56">
        <f>'DS-tal-alle'!F170</f>
        <v>3543.7</v>
      </c>
      <c r="F32" s="56">
        <f>'DS-tal-alle'!G170</f>
        <v>4333.3999999999996</v>
      </c>
      <c r="G32" s="56">
        <f>'DS-tal-alle'!H170</f>
        <v>8316.2999999999993</v>
      </c>
      <c r="H32" s="56">
        <f>'DS-tal-alle'!I170</f>
        <v>6607</v>
      </c>
    </row>
    <row r="33" spans="2:8" x14ac:dyDescent="0.15">
      <c r="B33" s="1"/>
      <c r="C33" s="12" t="str">
        <f>'DS-tal-alle'!C180</f>
        <v>06.2.2.0 Tandlæge</v>
      </c>
      <c r="D33" s="56">
        <f>-'DS-tal-alle'!D180</f>
        <v>-2839</v>
      </c>
      <c r="E33" s="56">
        <f>-'DS-tal-alle'!F180</f>
        <v>-1329.2</v>
      </c>
      <c r="F33" s="56">
        <f>-'DS-tal-alle'!G180</f>
        <v>-1898.7</v>
      </c>
      <c r="G33" s="56">
        <f>-'DS-tal-alle'!H180</f>
        <v>-3038.2</v>
      </c>
      <c r="H33" s="56">
        <f>-'DS-tal-alle'!I180</f>
        <v>-2182.9</v>
      </c>
    </row>
    <row r="34" spans="2:8" ht="14" thickBot="1" x14ac:dyDescent="0.2">
      <c r="C34" s="13" t="s">
        <v>196</v>
      </c>
      <c r="D34" s="66">
        <f>SUM(D32:D33)</f>
        <v>5234</v>
      </c>
      <c r="E34" s="66">
        <f t="shared" ref="E34:H34" si="7">SUM(E32:E33)</f>
        <v>2214.5</v>
      </c>
      <c r="F34" s="66">
        <f t="shared" si="7"/>
        <v>2434.6999999999998</v>
      </c>
      <c r="G34" s="66">
        <f t="shared" si="7"/>
        <v>5278.0999999999995</v>
      </c>
      <c r="H34" s="66">
        <f t="shared" si="7"/>
        <v>4424.1000000000004</v>
      </c>
    </row>
    <row r="35" spans="2:8" x14ac:dyDescent="0.15">
      <c r="H35" s="5"/>
    </row>
    <row r="36" spans="2:8" x14ac:dyDescent="0.15">
      <c r="B36" s="1" t="s">
        <v>346</v>
      </c>
      <c r="D36" s="54">
        <f>D38</f>
        <v>2839</v>
      </c>
      <c r="E36" s="54">
        <f t="shared" ref="E36:H36" si="8">E38</f>
        <v>1329.2</v>
      </c>
      <c r="F36" s="54">
        <f t="shared" si="8"/>
        <v>1898.7</v>
      </c>
      <c r="G36" s="54">
        <f t="shared" si="8"/>
        <v>3038.2</v>
      </c>
      <c r="H36" s="54">
        <f t="shared" si="8"/>
        <v>2182.9</v>
      </c>
    </row>
    <row r="37" spans="2:8" x14ac:dyDescent="0.15">
      <c r="C37" t="str">
        <f>'DS-tal-alle'!C180</f>
        <v>06.2.2.0 Tandlæge</v>
      </c>
      <c r="D37" s="5">
        <f>'DS-tal-alle'!D180</f>
        <v>2839</v>
      </c>
      <c r="E37" s="5">
        <f>'DS-tal-alle'!F180</f>
        <v>1329.2</v>
      </c>
      <c r="F37" s="5">
        <f>'DS-tal-alle'!G180</f>
        <v>1898.7</v>
      </c>
      <c r="G37" s="5">
        <f>'DS-tal-alle'!H180</f>
        <v>3038.2</v>
      </c>
      <c r="H37" s="5">
        <f>'DS-tal-alle'!I180</f>
        <v>2182.9</v>
      </c>
    </row>
    <row r="38" spans="2:8" ht="14" thickBot="1" x14ac:dyDescent="0.2">
      <c r="C38" s="13" t="s">
        <v>196</v>
      </c>
      <c r="D38" s="66">
        <f>SUM(D37)</f>
        <v>2839</v>
      </c>
      <c r="E38" s="66">
        <f t="shared" ref="E38:H38" si="9">SUM(E37)</f>
        <v>1329.2</v>
      </c>
      <c r="F38" s="66">
        <f t="shared" si="9"/>
        <v>1898.7</v>
      </c>
      <c r="G38" s="66">
        <f t="shared" si="9"/>
        <v>3038.2</v>
      </c>
      <c r="H38" s="66">
        <f t="shared" si="9"/>
        <v>2182.9</v>
      </c>
    </row>
    <row r="39" spans="2:8" x14ac:dyDescent="0.15">
      <c r="H39" s="5"/>
    </row>
    <row r="40" spans="2:8" x14ac:dyDescent="0.15">
      <c r="B40" s="1" t="s">
        <v>20</v>
      </c>
      <c r="D40" s="54">
        <f t="shared" ref="D40" si="10">D54</f>
        <v>44710</v>
      </c>
      <c r="E40" s="54">
        <f t="shared" ref="E40" si="11">E54</f>
        <v>24416.099999999995</v>
      </c>
      <c r="F40" s="54">
        <f t="shared" ref="F40:H40" si="12">F54</f>
        <v>30892.499999999996</v>
      </c>
      <c r="G40" s="54">
        <f t="shared" si="12"/>
        <v>49283.500000000015</v>
      </c>
      <c r="H40" s="54">
        <f t="shared" si="12"/>
        <v>49797.5</v>
      </c>
    </row>
    <row r="41" spans="2:8" x14ac:dyDescent="0.15">
      <c r="B41" s="1"/>
      <c r="C41" t="str">
        <f>'DS-tal-alle'!C219</f>
        <v>09 FRITID OG KULTUR</v>
      </c>
      <c r="D41" s="56">
        <f>'DS-tal-alle'!D219</f>
        <v>31279</v>
      </c>
      <c r="E41" s="56">
        <f>'DS-tal-alle'!F219</f>
        <v>16387.099999999999</v>
      </c>
      <c r="F41" s="56">
        <f>'DS-tal-alle'!G219</f>
        <v>21078.3</v>
      </c>
      <c r="G41" s="56">
        <f>'DS-tal-alle'!H219</f>
        <v>34003.300000000003</v>
      </c>
      <c r="H41" s="56">
        <f>'DS-tal-alle'!I219</f>
        <v>35426.699999999997</v>
      </c>
    </row>
    <row r="42" spans="2:8" x14ac:dyDescent="0.15">
      <c r="B42" s="1"/>
      <c r="C42" t="str">
        <f>'DS-tal-alle'!C253</f>
        <v>09.4.2.3 Tv og radiolicens, abonnementer</v>
      </c>
      <c r="D42" s="5">
        <f>'DS-tal-alle'!D253</f>
        <v>5269</v>
      </c>
      <c r="E42" s="5">
        <f>'DS-tal-alle'!F253</f>
        <v>4251.5</v>
      </c>
      <c r="F42" s="5">
        <f>'DS-tal-alle'!G253</f>
        <v>4852.8</v>
      </c>
      <c r="G42" s="5">
        <f>'DS-tal-alle'!H253</f>
        <v>5999.4</v>
      </c>
      <c r="H42" s="5">
        <f>'DS-tal-alle'!I253</f>
        <v>6541.6</v>
      </c>
    </row>
    <row r="43" spans="2:8" x14ac:dyDescent="0.15">
      <c r="B43" s="1"/>
      <c r="C43" t="str">
        <f>'DS-tal-alle'!C258</f>
        <v>09.5.1.1 Skønlitteratur</v>
      </c>
      <c r="D43" s="56">
        <f>-'DS-tal-alle'!D258</f>
        <v>-351</v>
      </c>
      <c r="E43" s="56">
        <f>-'DS-tal-alle'!F258</f>
        <v>-233.3</v>
      </c>
      <c r="F43" s="56">
        <f>-'DS-tal-alle'!G258</f>
        <v>-120.9</v>
      </c>
      <c r="G43" s="56">
        <f>-'DS-tal-alle'!H258</f>
        <v>-617.1</v>
      </c>
      <c r="H43" s="56">
        <f>-'DS-tal-alle'!I258</f>
        <v>-637.20000000000005</v>
      </c>
    </row>
    <row r="44" spans="2:8" x14ac:dyDescent="0.15">
      <c r="B44" s="1"/>
      <c r="C44" t="str">
        <f>'DS-tal-alle'!C259</f>
        <v>09.5.1.2 Fag-, studiebøger</v>
      </c>
      <c r="D44" s="56">
        <f>-'DS-tal-alle'!D259</f>
        <v>-238</v>
      </c>
      <c r="E44" s="56">
        <f>-'DS-tal-alle'!F259</f>
        <v>-278</v>
      </c>
      <c r="F44" s="56">
        <f>-'DS-tal-alle'!G259</f>
        <v>-402.1</v>
      </c>
      <c r="G44" s="56">
        <f>-'DS-tal-alle'!H259</f>
        <v>-305.3</v>
      </c>
      <c r="H44" s="56">
        <f>-'DS-tal-alle'!I259</f>
        <v>-355.3</v>
      </c>
    </row>
    <row r="45" spans="2:8" x14ac:dyDescent="0.15">
      <c r="B45" s="1"/>
      <c r="C45" t="str">
        <f>'DS-tal-alle'!C260</f>
        <v>09.5.1.3 Andre fagbøger</v>
      </c>
      <c r="D45" s="56">
        <f>-'DS-tal-alle'!D260</f>
        <v>-154</v>
      </c>
      <c r="E45" s="56">
        <f>-'DS-tal-alle'!F260</f>
        <v>-107.6</v>
      </c>
      <c r="F45" s="56">
        <f>-'DS-tal-alle'!G260</f>
        <v>-46.5</v>
      </c>
      <c r="G45" s="56">
        <f>-'DS-tal-alle'!H260</f>
        <v>-142.69999999999999</v>
      </c>
      <c r="H45" s="56">
        <f>-'DS-tal-alle'!I260</f>
        <v>-99.7</v>
      </c>
    </row>
    <row r="46" spans="2:8" x14ac:dyDescent="0.15">
      <c r="B46" s="1"/>
      <c r="C46" t="str">
        <f>'DS-tal-alle'!C261</f>
        <v>09.5.1.4 E-bøger mv.</v>
      </c>
      <c r="D46" s="56">
        <f>-'DS-tal-alle'!D261</f>
        <v>-7</v>
      </c>
      <c r="E46" s="56">
        <f>-'DS-tal-alle'!F261</f>
        <v>-20.2</v>
      </c>
      <c r="F46" s="56">
        <f>-'DS-tal-alle'!G261</f>
        <v>0</v>
      </c>
      <c r="G46" s="56">
        <f>-'DS-tal-alle'!H261</f>
        <v>0</v>
      </c>
      <c r="H46" s="56">
        <f>-'DS-tal-alle'!I261</f>
        <v>-8.6999999999999993</v>
      </c>
    </row>
    <row r="47" spans="2:8" x14ac:dyDescent="0.15">
      <c r="B47" s="1"/>
      <c r="C47" t="str">
        <f>'DS-tal-alle'!C262</f>
        <v>09.5.2.1 Aviser</v>
      </c>
      <c r="D47" s="56">
        <f>-'DS-tal-alle'!D262</f>
        <v>-955</v>
      </c>
      <c r="E47" s="56">
        <f>-'DS-tal-alle'!F262</f>
        <v>-224.9</v>
      </c>
      <c r="F47" s="56">
        <f>-'DS-tal-alle'!G262</f>
        <v>-162.5</v>
      </c>
      <c r="G47" s="56">
        <f>-'DS-tal-alle'!H262</f>
        <v>-555.6</v>
      </c>
      <c r="H47" s="56">
        <f>-'DS-tal-alle'!I262</f>
        <v>-472.2</v>
      </c>
    </row>
    <row r="48" spans="2:8" x14ac:dyDescent="0.15">
      <c r="B48" s="1"/>
      <c r="C48" t="str">
        <f>'DS-tal-alle'!C263</f>
        <v>09.5.2.2 Magasiner og tidsskrifter</v>
      </c>
      <c r="D48" s="56">
        <f>-'DS-tal-alle'!D263</f>
        <v>-431</v>
      </c>
      <c r="E48" s="56">
        <f>-'DS-tal-alle'!F263</f>
        <v>-146.4</v>
      </c>
      <c r="F48" s="56">
        <f>-'DS-tal-alle'!G263</f>
        <v>-229.2</v>
      </c>
      <c r="G48" s="56">
        <f>-'DS-tal-alle'!H263</f>
        <v>-336.2</v>
      </c>
      <c r="H48" s="56">
        <f>-'DS-tal-alle'!I263</f>
        <v>-320.10000000000002</v>
      </c>
    </row>
    <row r="49" spans="2:13" x14ac:dyDescent="0.15">
      <c r="B49" s="1"/>
      <c r="C49" t="str">
        <f>'DS-tal-alle'!C264</f>
        <v>09.5.3.0 Diverse tryksager</v>
      </c>
      <c r="D49" s="56">
        <f>-'DS-tal-alle'!D264</f>
        <v>-123</v>
      </c>
      <c r="E49" s="56">
        <f>-'DS-tal-alle'!F264</f>
        <v>-66.900000000000006</v>
      </c>
      <c r="F49" s="56">
        <f>-'DS-tal-alle'!G264</f>
        <v>-65.8</v>
      </c>
      <c r="G49" s="56">
        <f>-'DS-tal-alle'!H264</f>
        <v>-238.4</v>
      </c>
      <c r="H49" s="56">
        <f>-'DS-tal-alle'!I264</f>
        <v>-202.3</v>
      </c>
    </row>
    <row r="50" spans="2:13" x14ac:dyDescent="0.15">
      <c r="B50" s="1"/>
      <c r="C50" t="str">
        <f>'DS-tal-alle'!C265</f>
        <v>09.5.4.1 Produkter af papir</v>
      </c>
      <c r="D50" s="56">
        <f>-'DS-tal-alle'!D265</f>
        <v>-114</v>
      </c>
      <c r="E50" s="56">
        <f>-'DS-tal-alle'!F265</f>
        <v>-87.7</v>
      </c>
      <c r="F50" s="56">
        <f>-'DS-tal-alle'!G265</f>
        <v>-271.5</v>
      </c>
      <c r="G50" s="56">
        <f>-'DS-tal-alle'!H265</f>
        <v>-118.1</v>
      </c>
      <c r="H50" s="56">
        <f>-'DS-tal-alle'!I265</f>
        <v>-150.5</v>
      </c>
    </row>
    <row r="51" spans="2:13" x14ac:dyDescent="0.15">
      <c r="B51" s="1"/>
      <c r="C51" t="str">
        <f>'DS-tal-alle'!C267</f>
        <v>09.6.0.1 Pakkerejser, indenrigs</v>
      </c>
      <c r="D51" s="56">
        <f>'DS-tal-alle'!D267</f>
        <v>89</v>
      </c>
      <c r="E51" s="56">
        <f>'DS-tal-alle'!F267</f>
        <v>0</v>
      </c>
      <c r="F51" s="56">
        <f>'DS-tal-alle'!G267</f>
        <v>83.5</v>
      </c>
      <c r="G51" s="56">
        <f>'DS-tal-alle'!H267</f>
        <v>90.4</v>
      </c>
      <c r="H51" s="56">
        <f>'DS-tal-alle'!I267</f>
        <v>22.6</v>
      </c>
    </row>
    <row r="52" spans="2:13" x14ac:dyDescent="0.15">
      <c r="B52" s="1"/>
      <c r="C52" s="5" t="str">
        <f>'DS-tal-alle'!C268</f>
        <v>09.6.0.2 Pakkerejser, udenrigs</v>
      </c>
      <c r="D52" s="56">
        <f>'DS-tal-alle'!D268</f>
        <v>6735</v>
      </c>
      <c r="E52" s="56">
        <f>'DS-tal-alle'!F268</f>
        <v>1664.5</v>
      </c>
      <c r="F52" s="56">
        <f>'DS-tal-alle'!G268</f>
        <v>4140.8</v>
      </c>
      <c r="G52" s="56">
        <f>'DS-tal-alle'!H268</f>
        <v>7038.8</v>
      </c>
      <c r="H52" s="56">
        <f>'DS-tal-alle'!I268</f>
        <v>4846.6000000000004</v>
      </c>
    </row>
    <row r="53" spans="2:13" x14ac:dyDescent="0.15">
      <c r="B53" s="1"/>
      <c r="C53" t="str">
        <f>'DS-tal-alle'!C276</f>
        <v>11.1.1.2 Fastfood, takeaway</v>
      </c>
      <c r="D53" s="56">
        <f>'DS-tal-alle'!D276</f>
        <v>3711</v>
      </c>
      <c r="E53" s="56">
        <f>'DS-tal-alle'!F276</f>
        <v>3278</v>
      </c>
      <c r="F53" s="56">
        <f>'DS-tal-alle'!G276</f>
        <v>2035.6</v>
      </c>
      <c r="G53" s="56">
        <f>'DS-tal-alle'!H276</f>
        <v>4465</v>
      </c>
      <c r="H53" s="56">
        <f>'DS-tal-alle'!I276</f>
        <v>5206</v>
      </c>
    </row>
    <row r="54" spans="2:13" ht="14" thickBot="1" x14ac:dyDescent="0.2">
      <c r="C54" s="13" t="s">
        <v>196</v>
      </c>
      <c r="D54" s="258">
        <f>SUM(D41:D53)</f>
        <v>44710</v>
      </c>
      <c r="E54" s="258">
        <f>SUM(E41:E53)</f>
        <v>24416.099999999995</v>
      </c>
      <c r="F54" s="258">
        <f>SUM(F41:F53)</f>
        <v>30892.499999999996</v>
      </c>
      <c r="G54" s="258">
        <f>SUM(G41:G53)</f>
        <v>49283.500000000015</v>
      </c>
      <c r="H54" s="258">
        <f>SUM(H41:H53)</f>
        <v>49797.5</v>
      </c>
    </row>
    <row r="56" spans="2:13" x14ac:dyDescent="0.15">
      <c r="B56" s="1" t="s">
        <v>92</v>
      </c>
      <c r="D56" s="54">
        <f>D64</f>
        <v>1833</v>
      </c>
      <c r="E56" s="54">
        <f t="shared" ref="E56:H56" si="13">E64</f>
        <v>641</v>
      </c>
      <c r="F56" s="54">
        <f t="shared" si="13"/>
        <v>381</v>
      </c>
      <c r="G56" s="54">
        <f t="shared" si="13"/>
        <v>2014.6</v>
      </c>
      <c r="H56" s="54">
        <f t="shared" si="13"/>
        <v>2272.1999999999998</v>
      </c>
    </row>
    <row r="57" spans="2:13" x14ac:dyDescent="0.15">
      <c r="B57" s="1"/>
      <c r="C57" s="2" t="str">
        <f>'DS-tal-alle'!C112</f>
        <v>04.3.1.0 Materialer til vedligeholdelse og reparation af bolig</v>
      </c>
      <c r="D57" s="56">
        <f>'DS-tal-alle'!D112</f>
        <v>1534</v>
      </c>
      <c r="E57" s="56">
        <f>'DS-tal-alle'!F112</f>
        <v>641</v>
      </c>
      <c r="F57" s="56">
        <f>'DS-tal-alle'!G112</f>
        <v>381</v>
      </c>
      <c r="G57" s="56">
        <f>'DS-tal-alle'!H112</f>
        <v>2014.6</v>
      </c>
      <c r="H57" s="56">
        <f>'DS-tal-alle'!I112</f>
        <v>2272.1999999999998</v>
      </c>
      <c r="I57" s="5"/>
      <c r="J57" s="5"/>
      <c r="K57" s="5"/>
      <c r="L57" s="5"/>
      <c r="M57" s="5"/>
    </row>
    <row r="58" spans="2:13" x14ac:dyDescent="0.15">
      <c r="B58" s="1"/>
      <c r="C58" s="2" t="str">
        <f>'DS-tal-alle'!C113</f>
        <v>04.3.2.1 Tjenesteydelser, blikkenslagere</v>
      </c>
      <c r="D58" s="56">
        <f>'DS-tal-alle'!D113</f>
        <v>232</v>
      </c>
      <c r="E58" s="56">
        <f>'DS-tal-alle'!F113</f>
        <v>0</v>
      </c>
      <c r="F58" s="56">
        <f>'DS-tal-alle'!G113</f>
        <v>0</v>
      </c>
      <c r="G58" s="56">
        <f>'DS-tal-alle'!H113</f>
        <v>0</v>
      </c>
      <c r="H58" s="56">
        <f>'DS-tal-alle'!I113</f>
        <v>0</v>
      </c>
      <c r="I58" s="5"/>
      <c r="J58" s="5"/>
      <c r="K58" s="5"/>
      <c r="L58" s="5"/>
      <c r="M58" s="5"/>
    </row>
    <row r="59" spans="2:13" x14ac:dyDescent="0.15">
      <c r="C59" s="2" t="str">
        <f>'DS-tal-alle'!C114</f>
        <v>04.3.2.2 Tjenesteydelser, elektrikere</v>
      </c>
      <c r="D59" s="56">
        <f>'DS-tal-alle'!D114</f>
        <v>67</v>
      </c>
      <c r="E59" s="56">
        <f>'DS-tal-alle'!F114</f>
        <v>0</v>
      </c>
      <c r="F59" s="56">
        <f>'DS-tal-alle'!G114</f>
        <v>0</v>
      </c>
      <c r="G59" s="56">
        <f>'DS-tal-alle'!H114</f>
        <v>0</v>
      </c>
      <c r="H59" s="56">
        <f>'DS-tal-alle'!I114</f>
        <v>0</v>
      </c>
      <c r="I59" s="5"/>
      <c r="J59" s="5"/>
      <c r="K59" s="5"/>
      <c r="L59" s="5"/>
      <c r="M59" s="5"/>
    </row>
    <row r="60" spans="2:13" x14ac:dyDescent="0.15">
      <c r="C60" s="2" t="str">
        <f>'DS-tal-alle'!C115</f>
        <v>04.3.2.3 Vedligeholdelse af varmeanlæg</v>
      </c>
      <c r="D60" s="56">
        <f>'DS-tal-alle'!D115</f>
        <v>224</v>
      </c>
      <c r="E60" s="56">
        <f>'DS-tal-alle'!F115</f>
        <v>31.7</v>
      </c>
      <c r="F60" s="56">
        <f>'DS-tal-alle'!G115</f>
        <v>83</v>
      </c>
      <c r="G60" s="56">
        <f>'DS-tal-alle'!H115</f>
        <v>138.30000000000001</v>
      </c>
      <c r="H60" s="56">
        <f>'DS-tal-alle'!I115</f>
        <v>358.7</v>
      </c>
      <c r="I60" s="5"/>
      <c r="J60" s="5"/>
      <c r="K60" s="5"/>
      <c r="L60" s="5"/>
      <c r="M60" s="5"/>
    </row>
    <row r="61" spans="2:13" x14ac:dyDescent="0.15">
      <c r="C61" s="2" t="str">
        <f>'DS-tal-alle'!C116</f>
        <v>04.3.2.4 Tjenesteydelser, malere</v>
      </c>
      <c r="D61" s="56">
        <f>'DS-tal-alle'!D116</f>
        <v>343</v>
      </c>
      <c r="E61" s="56">
        <f>'DS-tal-alle'!F116</f>
        <v>0</v>
      </c>
      <c r="F61" s="56">
        <f>'DS-tal-alle'!G116</f>
        <v>0</v>
      </c>
      <c r="G61" s="56">
        <f>'DS-tal-alle'!H116</f>
        <v>0</v>
      </c>
      <c r="H61" s="56">
        <f>'DS-tal-alle'!I116</f>
        <v>0</v>
      </c>
      <c r="I61" s="5"/>
      <c r="J61" s="5"/>
      <c r="K61" s="5"/>
      <c r="L61" s="5"/>
      <c r="M61" s="5"/>
    </row>
    <row r="62" spans="2:13" x14ac:dyDescent="0.15">
      <c r="C62" s="2" t="str">
        <f>'DS-tal-alle'!C117</f>
        <v>04.3.2.5 Tjenesteydelser, tømrere og snedkere</v>
      </c>
      <c r="D62" s="56">
        <f>'DS-tal-alle'!D117</f>
        <v>317</v>
      </c>
      <c r="E62" s="56">
        <f>'DS-tal-alle'!F117</f>
        <v>98.1</v>
      </c>
      <c r="F62" s="56">
        <f>'DS-tal-alle'!G117</f>
        <v>11.3</v>
      </c>
      <c r="G62" s="56">
        <f>'DS-tal-alle'!H117</f>
        <v>242.3</v>
      </c>
      <c r="H62" s="56">
        <f>'DS-tal-alle'!I117</f>
        <v>311.3</v>
      </c>
      <c r="I62" s="5"/>
      <c r="J62" s="5"/>
      <c r="K62" s="5"/>
      <c r="L62" s="5"/>
      <c r="M62" s="5"/>
    </row>
    <row r="63" spans="2:13" x14ac:dyDescent="0.15">
      <c r="C63" s="2" t="str">
        <f>'DS-tal-alle'!C118</f>
        <v>04.3.2.9 Andre tjenester til vedligeholde og reparation af bolig</v>
      </c>
      <c r="D63" s="56">
        <f>'DS-tal-alle'!D118</f>
        <v>535</v>
      </c>
      <c r="E63" s="56">
        <f>'DS-tal-alle'!F118</f>
        <v>682.6</v>
      </c>
      <c r="F63" s="56">
        <f>'DS-tal-alle'!G118</f>
        <v>128.19999999999999</v>
      </c>
      <c r="G63" s="56">
        <f>'DS-tal-alle'!H118</f>
        <v>2104</v>
      </c>
      <c r="H63" s="56">
        <f>'DS-tal-alle'!I118</f>
        <v>2570.6</v>
      </c>
      <c r="I63" s="5"/>
      <c r="J63" s="5"/>
      <c r="K63" s="5"/>
      <c r="L63" s="5"/>
      <c r="M63" s="5"/>
    </row>
    <row r="64" spans="2:13" x14ac:dyDescent="0.15">
      <c r="C64" s="2" t="s">
        <v>196</v>
      </c>
      <c r="D64" s="5">
        <f>SUM(D57:D59)</f>
        <v>1833</v>
      </c>
      <c r="E64" s="5">
        <f t="shared" ref="E64:H64" si="14">SUM(E57:E59)</f>
        <v>641</v>
      </c>
      <c r="F64" s="5">
        <f t="shared" si="14"/>
        <v>381</v>
      </c>
      <c r="G64" s="5">
        <f t="shared" si="14"/>
        <v>2014.6</v>
      </c>
      <c r="H64" s="5">
        <f t="shared" si="14"/>
        <v>2272.1999999999998</v>
      </c>
    </row>
    <row r="66" spans="2:8" x14ac:dyDescent="0.15">
      <c r="B66" s="1" t="s">
        <v>21</v>
      </c>
      <c r="D66" s="54">
        <f>D75</f>
        <v>2373</v>
      </c>
      <c r="E66" s="54">
        <f t="shared" ref="E66:H66" si="15">E75</f>
        <v>1165</v>
      </c>
      <c r="F66" s="54">
        <f t="shared" si="15"/>
        <v>1298.5</v>
      </c>
      <c r="G66" s="54">
        <f t="shared" si="15"/>
        <v>2313.4</v>
      </c>
      <c r="H66" s="54">
        <f t="shared" si="15"/>
        <v>2246.0000000000005</v>
      </c>
    </row>
    <row r="67" spans="2:8" ht="12" customHeight="1" x14ac:dyDescent="0.15">
      <c r="B67" s="1"/>
      <c r="C67" t="str">
        <f>'DS-tal-alle'!C258</f>
        <v>09.5.1.1 Skønlitteratur</v>
      </c>
      <c r="D67" s="56">
        <f>'DS-tal-alle'!D258</f>
        <v>351</v>
      </c>
      <c r="E67" s="56">
        <f>'DS-tal-alle'!F258</f>
        <v>233.3</v>
      </c>
      <c r="F67" s="56">
        <f>'DS-tal-alle'!G258</f>
        <v>120.9</v>
      </c>
      <c r="G67" s="56">
        <f>'DS-tal-alle'!H258</f>
        <v>617.1</v>
      </c>
      <c r="H67" s="56">
        <f>'DS-tal-alle'!I258</f>
        <v>637.20000000000005</v>
      </c>
    </row>
    <row r="68" spans="2:8" x14ac:dyDescent="0.15">
      <c r="C68" t="str">
        <f>'DS-tal-alle'!C259</f>
        <v>09.5.1.2 Fag-, studiebøger</v>
      </c>
      <c r="D68" s="56">
        <f>'DS-tal-alle'!D259</f>
        <v>238</v>
      </c>
      <c r="E68" s="56">
        <f>'DS-tal-alle'!F259</f>
        <v>278</v>
      </c>
      <c r="F68" s="56">
        <f>'DS-tal-alle'!G259</f>
        <v>402.1</v>
      </c>
      <c r="G68" s="56">
        <f>'DS-tal-alle'!H259</f>
        <v>305.3</v>
      </c>
      <c r="H68" s="56">
        <f>'DS-tal-alle'!I259</f>
        <v>355.3</v>
      </c>
    </row>
    <row r="69" spans="2:8" x14ac:dyDescent="0.15">
      <c r="C69" t="str">
        <f>'DS-tal-alle'!C260</f>
        <v>09.5.1.3 Andre fagbøger</v>
      </c>
      <c r="D69" s="56">
        <f>'DS-tal-alle'!D260</f>
        <v>154</v>
      </c>
      <c r="E69" s="56">
        <f>'DS-tal-alle'!F260</f>
        <v>107.6</v>
      </c>
      <c r="F69" s="56">
        <f>'DS-tal-alle'!G260</f>
        <v>46.5</v>
      </c>
      <c r="G69" s="56">
        <f>'DS-tal-alle'!H260</f>
        <v>142.69999999999999</v>
      </c>
      <c r="H69" s="56">
        <f>'DS-tal-alle'!I260</f>
        <v>99.7</v>
      </c>
    </row>
    <row r="70" spans="2:8" x14ac:dyDescent="0.15">
      <c r="C70" t="str">
        <f>'DS-tal-alle'!C261</f>
        <v>09.5.1.4 E-bøger mv.</v>
      </c>
      <c r="D70" s="56">
        <f>'DS-tal-alle'!D261</f>
        <v>7</v>
      </c>
      <c r="E70" s="56">
        <f>'DS-tal-alle'!F261</f>
        <v>20.2</v>
      </c>
      <c r="F70" s="56">
        <f>'DS-tal-alle'!G261</f>
        <v>0</v>
      </c>
      <c r="G70" s="56">
        <f>'DS-tal-alle'!H261</f>
        <v>0</v>
      </c>
      <c r="H70" s="56">
        <f>'DS-tal-alle'!I261</f>
        <v>8.6999999999999993</v>
      </c>
    </row>
    <row r="71" spans="2:8" x14ac:dyDescent="0.15">
      <c r="C71" t="str">
        <f>'DS-tal-alle'!C262</f>
        <v>09.5.2.1 Aviser</v>
      </c>
      <c r="D71" s="56">
        <f>'DS-tal-alle'!D262</f>
        <v>955</v>
      </c>
      <c r="E71" s="56">
        <f>'DS-tal-alle'!F262</f>
        <v>224.9</v>
      </c>
      <c r="F71" s="56">
        <f>'DS-tal-alle'!G262</f>
        <v>162.5</v>
      </c>
      <c r="G71" s="56">
        <f>'DS-tal-alle'!H262</f>
        <v>555.6</v>
      </c>
      <c r="H71" s="56">
        <f>'DS-tal-alle'!I262</f>
        <v>472.2</v>
      </c>
    </row>
    <row r="72" spans="2:8" x14ac:dyDescent="0.15">
      <c r="C72" t="str">
        <f>'DS-tal-alle'!C263</f>
        <v>09.5.2.2 Magasiner og tidsskrifter</v>
      </c>
      <c r="D72" s="56">
        <f>'DS-tal-alle'!D263</f>
        <v>431</v>
      </c>
      <c r="E72" s="56">
        <f>'DS-tal-alle'!F263</f>
        <v>146.4</v>
      </c>
      <c r="F72" s="56">
        <f>'DS-tal-alle'!G263</f>
        <v>229.2</v>
      </c>
      <c r="G72" s="56">
        <f>'DS-tal-alle'!H263</f>
        <v>336.2</v>
      </c>
      <c r="H72" s="56">
        <f>'DS-tal-alle'!I263</f>
        <v>320.10000000000002</v>
      </c>
    </row>
    <row r="73" spans="2:8" x14ac:dyDescent="0.15">
      <c r="C73" t="str">
        <f>'DS-tal-alle'!C264</f>
        <v>09.5.3.0 Diverse tryksager</v>
      </c>
      <c r="D73" s="56">
        <f>'DS-tal-alle'!D264</f>
        <v>123</v>
      </c>
      <c r="E73" s="56">
        <f>'DS-tal-alle'!F264</f>
        <v>66.900000000000006</v>
      </c>
      <c r="F73" s="56">
        <f>'DS-tal-alle'!G264</f>
        <v>65.8</v>
      </c>
      <c r="G73" s="56">
        <f>'DS-tal-alle'!H264</f>
        <v>238.4</v>
      </c>
      <c r="H73" s="56">
        <f>'DS-tal-alle'!I264</f>
        <v>202.3</v>
      </c>
    </row>
    <row r="74" spans="2:8" x14ac:dyDescent="0.15">
      <c r="C74" t="str">
        <f>'DS-tal-alle'!C265</f>
        <v>09.5.4.1 Produkter af papir</v>
      </c>
      <c r="D74" s="56">
        <f>'DS-tal-alle'!D265</f>
        <v>114</v>
      </c>
      <c r="E74" s="56">
        <f>'DS-tal-alle'!F265</f>
        <v>87.7</v>
      </c>
      <c r="F74" s="56">
        <f>'DS-tal-alle'!G265</f>
        <v>271.5</v>
      </c>
      <c r="G74" s="56">
        <f>'DS-tal-alle'!H265</f>
        <v>118.1</v>
      </c>
      <c r="H74" s="56">
        <f>'DS-tal-alle'!I265</f>
        <v>150.5</v>
      </c>
    </row>
    <row r="75" spans="2:8" ht="14" thickBot="1" x14ac:dyDescent="0.2">
      <c r="C75" s="95" t="s">
        <v>196</v>
      </c>
      <c r="D75" s="258">
        <f>SUM(D67:D74)</f>
        <v>2373</v>
      </c>
      <c r="E75" s="258">
        <f t="shared" ref="E75:H75" si="16">SUM(E67:E74)</f>
        <v>1165</v>
      </c>
      <c r="F75" s="258">
        <f t="shared" si="16"/>
        <v>1298.5</v>
      </c>
      <c r="G75" s="258">
        <f t="shared" si="16"/>
        <v>2313.4</v>
      </c>
      <c r="H75" s="258">
        <f t="shared" si="16"/>
        <v>2246.0000000000005</v>
      </c>
    </row>
    <row r="76" spans="2:8" x14ac:dyDescent="0.15">
      <c r="C76" s="2"/>
    </row>
    <row r="77" spans="2:8" ht="12" customHeight="1" x14ac:dyDescent="0.15">
      <c r="B77" s="1" t="s">
        <v>1123</v>
      </c>
      <c r="D77" s="54">
        <f>D83</f>
        <v>4044</v>
      </c>
      <c r="E77" s="54">
        <f t="shared" ref="E77:H77" si="17">E83</f>
        <v>2724.8</v>
      </c>
      <c r="F77" s="54">
        <f t="shared" si="17"/>
        <v>5018.8999999999996</v>
      </c>
      <c r="G77" s="54">
        <f t="shared" si="17"/>
        <v>4812.0999999999995</v>
      </c>
      <c r="H77" s="54">
        <f t="shared" si="17"/>
        <v>6706.2000000000007</v>
      </c>
    </row>
    <row r="78" spans="2:8" ht="12" customHeight="1" x14ac:dyDescent="0.15">
      <c r="B78" s="1"/>
      <c r="C78" t="str">
        <f>'DS-tal-alle'!C212</f>
        <v>08.2.0.1 Fastnettelefon, udstyr</v>
      </c>
      <c r="D78" s="56">
        <f>'DS-tal-alle'!D212</f>
        <v>3</v>
      </c>
      <c r="E78" s="56">
        <f>'DS-tal-alle'!F212</f>
        <v>0</v>
      </c>
      <c r="F78" s="56">
        <f>'DS-tal-alle'!G212</f>
        <v>0</v>
      </c>
      <c r="G78" s="56">
        <f>'DS-tal-alle'!H212</f>
        <v>3.3</v>
      </c>
      <c r="H78" s="56">
        <f>'DS-tal-alle'!I212</f>
        <v>0.6</v>
      </c>
    </row>
    <row r="79" spans="2:8" x14ac:dyDescent="0.15">
      <c r="C79" t="str">
        <f>'DS-tal-alle'!C213</f>
        <v>08.2.0.2 Mobiltelefon, udstyr</v>
      </c>
      <c r="D79" s="56">
        <f>'DS-tal-alle'!D213</f>
        <v>1715</v>
      </c>
      <c r="E79" s="56">
        <f>'DS-tal-alle'!F213</f>
        <v>899.6</v>
      </c>
      <c r="F79" s="56">
        <f>'DS-tal-alle'!G213</f>
        <v>2232.9</v>
      </c>
      <c r="G79" s="56">
        <f>'DS-tal-alle'!H213</f>
        <v>1480.6</v>
      </c>
      <c r="H79" s="56">
        <f>'DS-tal-alle'!I213</f>
        <v>2615</v>
      </c>
    </row>
    <row r="80" spans="2:8" x14ac:dyDescent="0.15">
      <c r="C80" t="str">
        <f>'DS-tal-alle'!C214</f>
        <v>08.2.0.4 Reparation af telefon mv.</v>
      </c>
      <c r="D80" s="56">
        <f>'DS-tal-alle'!D214</f>
        <v>97</v>
      </c>
      <c r="E80" s="56">
        <f>'DS-tal-alle'!F214</f>
        <v>0</v>
      </c>
      <c r="F80" s="56">
        <f>'DS-tal-alle'!G214</f>
        <v>0</v>
      </c>
      <c r="G80" s="56">
        <f>'DS-tal-alle'!H214</f>
        <v>0</v>
      </c>
      <c r="H80" s="56">
        <f>'DS-tal-alle'!I214</f>
        <v>56.4</v>
      </c>
    </row>
    <row r="81" spans="2:8" x14ac:dyDescent="0.15">
      <c r="C81" t="str">
        <f>'DS-tal-alle'!C215</f>
        <v>08.3.0.1 Fastnettelefon, tjenester</v>
      </c>
      <c r="D81" s="56">
        <f>'DS-tal-alle'!D215</f>
        <v>173</v>
      </c>
      <c r="E81" s="56">
        <f>'DS-tal-alle'!F215</f>
        <v>29.1</v>
      </c>
      <c r="F81" s="56">
        <f>'DS-tal-alle'!G215</f>
        <v>74.5</v>
      </c>
      <c r="G81" s="56">
        <f>'DS-tal-alle'!H215</f>
        <v>84</v>
      </c>
      <c r="H81" s="56">
        <f>'DS-tal-alle'!I215</f>
        <v>133.4</v>
      </c>
    </row>
    <row r="82" spans="2:8" x14ac:dyDescent="0.15">
      <c r="C82" t="str">
        <f>'DS-tal-alle'!C216</f>
        <v>08.3.0.2 Mobiltelefon, tjenester</v>
      </c>
      <c r="D82" s="56">
        <f>'DS-tal-alle'!D216</f>
        <v>2056</v>
      </c>
      <c r="E82" s="56">
        <f>'DS-tal-alle'!F216</f>
        <v>1796.1</v>
      </c>
      <c r="F82" s="56">
        <f>'DS-tal-alle'!G216</f>
        <v>2711.5</v>
      </c>
      <c r="G82" s="56">
        <f>'DS-tal-alle'!H216</f>
        <v>3244.2</v>
      </c>
      <c r="H82" s="56">
        <f>'DS-tal-alle'!I216</f>
        <v>3900.8</v>
      </c>
    </row>
    <row r="83" spans="2:8" ht="14" thickBot="1" x14ac:dyDescent="0.2">
      <c r="C83" s="13" t="s">
        <v>196</v>
      </c>
      <c r="D83" s="258">
        <f>SUM(D78:D82)</f>
        <v>4044</v>
      </c>
      <c r="E83" s="258">
        <f t="shared" ref="E83:H83" si="18">SUM(E78:E82)</f>
        <v>2724.8</v>
      </c>
      <c r="F83" s="258">
        <f t="shared" si="18"/>
        <v>5018.8999999999996</v>
      </c>
      <c r="G83" s="258">
        <f t="shared" si="18"/>
        <v>4812.0999999999995</v>
      </c>
      <c r="H83" s="258">
        <f t="shared" si="18"/>
        <v>6706.2000000000007</v>
      </c>
    </row>
    <row r="84" spans="2:8" x14ac:dyDescent="0.15">
      <c r="D84" s="56"/>
      <c r="E84" s="56"/>
      <c r="F84" s="56"/>
      <c r="G84" s="56"/>
      <c r="H84" s="56"/>
    </row>
    <row r="85" spans="2:8" x14ac:dyDescent="0.15">
      <c r="B85" s="1" t="s">
        <v>259</v>
      </c>
      <c r="D85" s="54">
        <f>D88</f>
        <v>4227</v>
      </c>
      <c r="E85" s="54">
        <f t="shared" ref="E85:H85" si="19">E88</f>
        <v>3103</v>
      </c>
      <c r="F85" s="54">
        <f t="shared" si="19"/>
        <v>3763.1</v>
      </c>
      <c r="G85" s="54">
        <f t="shared" si="19"/>
        <v>4253.3999999999996</v>
      </c>
      <c r="H85" s="54">
        <f t="shared" si="19"/>
        <v>4408.6000000000004</v>
      </c>
    </row>
    <row r="86" spans="2:8" x14ac:dyDescent="0.15">
      <c r="C86" t="str">
        <f>'DS-tal-alle'!C217</f>
        <v>08.3.0.3 Internet</v>
      </c>
      <c r="D86" s="56">
        <f>'DS-tal-alle'!D217</f>
        <v>1377</v>
      </c>
      <c r="E86" s="56">
        <f>'DS-tal-alle'!F217</f>
        <v>1694.6</v>
      </c>
      <c r="F86" s="56">
        <f>'DS-tal-alle'!G217</f>
        <v>1381.9</v>
      </c>
      <c r="G86" s="56">
        <f>'DS-tal-alle'!H217</f>
        <v>2042.3</v>
      </c>
      <c r="H86" s="56">
        <f>'DS-tal-alle'!I217</f>
        <v>1589</v>
      </c>
    </row>
    <row r="87" spans="2:8" x14ac:dyDescent="0.15">
      <c r="C87" t="str">
        <f>'DS-tal-alle'!C218</f>
        <v>08.3.0.4 Kombinerede teletjenester</v>
      </c>
      <c r="D87" s="56">
        <f>'DS-tal-alle'!D218</f>
        <v>2850</v>
      </c>
      <c r="E87" s="56">
        <f>'DS-tal-alle'!F218</f>
        <v>1408.4</v>
      </c>
      <c r="F87" s="56">
        <f>'DS-tal-alle'!G218</f>
        <v>2381.1999999999998</v>
      </c>
      <c r="G87" s="56">
        <f>'DS-tal-alle'!H218</f>
        <v>2211.1</v>
      </c>
      <c r="H87" s="56">
        <f>'DS-tal-alle'!I218</f>
        <v>2819.6</v>
      </c>
    </row>
    <row r="88" spans="2:8" ht="14" thickBot="1" x14ac:dyDescent="0.2">
      <c r="C88" s="13" t="s">
        <v>196</v>
      </c>
      <c r="D88" s="258">
        <f>SUM(D86:D87)</f>
        <v>4227</v>
      </c>
      <c r="E88" s="258">
        <f t="shared" ref="E88:H88" si="20">SUM(E86:E87)</f>
        <v>3103</v>
      </c>
      <c r="F88" s="258">
        <f t="shared" si="20"/>
        <v>3763.1</v>
      </c>
      <c r="G88" s="258">
        <f t="shared" si="20"/>
        <v>4253.3999999999996</v>
      </c>
      <c r="H88" s="258">
        <f t="shared" si="20"/>
        <v>4408.6000000000004</v>
      </c>
    </row>
    <row r="90" spans="2:8" ht="12" customHeight="1" x14ac:dyDescent="0.15">
      <c r="B90" s="1" t="s">
        <v>265</v>
      </c>
      <c r="D90" s="54">
        <f>D99</f>
        <v>3197</v>
      </c>
      <c r="E90" s="54">
        <f t="shared" ref="E90:H90" si="21">E99</f>
        <v>3812.6</v>
      </c>
      <c r="F90" s="54">
        <f t="shared" si="21"/>
        <v>3010.6</v>
      </c>
      <c r="G90" s="54">
        <f t="shared" si="21"/>
        <v>6136.3</v>
      </c>
      <c r="H90" s="54">
        <f t="shared" si="21"/>
        <v>6029.6</v>
      </c>
    </row>
    <row r="91" spans="2:8" ht="14" customHeight="1" x14ac:dyDescent="0.15">
      <c r="C91" s="2" t="str">
        <f>'DS-tal-alle'!C200</f>
        <v>07.3.1.1 Transport med tog</v>
      </c>
      <c r="D91" s="56">
        <f>'DS-tal-alle'!D200</f>
        <v>448</v>
      </c>
      <c r="E91" s="56">
        <f>'DS-tal-alle'!F200</f>
        <v>530.4</v>
      </c>
      <c r="F91" s="56">
        <f>'DS-tal-alle'!G200</f>
        <v>154.19999999999999</v>
      </c>
      <c r="G91" s="56">
        <f>'DS-tal-alle'!H200</f>
        <v>354.2</v>
      </c>
      <c r="H91" s="56">
        <f>'DS-tal-alle'!I200</f>
        <v>352.1</v>
      </c>
    </row>
    <row r="92" spans="2:8" ht="12" customHeight="1" x14ac:dyDescent="0.15">
      <c r="C92" s="2" t="str">
        <f>'DS-tal-alle'!C201</f>
        <v>07.3.1.2 Transport med metro</v>
      </c>
      <c r="D92" s="56">
        <f>'DS-tal-alle'!D201</f>
        <v>13</v>
      </c>
      <c r="E92" s="56">
        <f>'DS-tal-alle'!F201</f>
        <v>7</v>
      </c>
      <c r="F92" s="56">
        <f>'DS-tal-alle'!G201</f>
        <v>0</v>
      </c>
      <c r="G92" s="56">
        <f>'DS-tal-alle'!H201</f>
        <v>4.7</v>
      </c>
      <c r="H92" s="56">
        <f>'DS-tal-alle'!I201</f>
        <v>6</v>
      </c>
    </row>
    <row r="93" spans="2:8" ht="12" customHeight="1" x14ac:dyDescent="0.15">
      <c r="C93" s="2" t="str">
        <f>'DS-tal-alle'!C202</f>
        <v>07.3.2.1 Transport med bus</v>
      </c>
      <c r="D93" s="56">
        <f>'DS-tal-alle'!D202</f>
        <v>144</v>
      </c>
      <c r="E93" s="56">
        <f>'DS-tal-alle'!F202</f>
        <v>148.6</v>
      </c>
      <c r="F93" s="56">
        <f>'DS-tal-alle'!G202</f>
        <v>12.2</v>
      </c>
      <c r="G93" s="56">
        <f>'DS-tal-alle'!H202</f>
        <v>175</v>
      </c>
      <c r="H93" s="56">
        <f>'DS-tal-alle'!I202</f>
        <v>83.7</v>
      </c>
    </row>
    <row r="94" spans="2:8" ht="12" customHeight="1" x14ac:dyDescent="0.15">
      <c r="C94" s="2" t="str">
        <f>'DS-tal-alle'!C203</f>
        <v>07.3.2.2 Taxi</v>
      </c>
      <c r="D94" s="56">
        <f>'DS-tal-alle'!D203</f>
        <v>390</v>
      </c>
      <c r="E94" s="56">
        <f>'DS-tal-alle'!F203</f>
        <v>431.5</v>
      </c>
      <c r="F94" s="56">
        <f>'DS-tal-alle'!G203</f>
        <v>288.3</v>
      </c>
      <c r="G94" s="56">
        <f>'DS-tal-alle'!H203</f>
        <v>328.1</v>
      </c>
      <c r="H94" s="56">
        <f>'DS-tal-alle'!I203</f>
        <v>451.6</v>
      </c>
    </row>
    <row r="95" spans="2:8" ht="12" customHeight="1" x14ac:dyDescent="0.15">
      <c r="C95" s="2" t="str">
        <f>'DS-tal-alle'!C204</f>
        <v>07.3.3.1 Indensrigsflyvning</v>
      </c>
      <c r="D95" s="56">
        <f>'DS-tal-alle'!D204</f>
        <v>95</v>
      </c>
      <c r="E95" s="56">
        <f>'DS-tal-alle'!F204</f>
        <v>0</v>
      </c>
      <c r="F95" s="56">
        <f>'DS-tal-alle'!G204</f>
        <v>0</v>
      </c>
      <c r="G95" s="56">
        <f>'DS-tal-alle'!H204</f>
        <v>0</v>
      </c>
      <c r="H95" s="56">
        <f>'DS-tal-alle'!I204</f>
        <v>0</v>
      </c>
    </row>
    <row r="96" spans="2:8" ht="12" customHeight="1" x14ac:dyDescent="0.15">
      <c r="C96" s="2" t="str">
        <f>'DS-tal-alle'!C205</f>
        <v>07.3.3.2 Udenrigsflyvning</v>
      </c>
      <c r="D96" s="56">
        <v>0</v>
      </c>
      <c r="E96" s="56">
        <f>'DS-tal-alle'!F205</f>
        <v>923.7</v>
      </c>
      <c r="F96" s="56">
        <f>'DS-tal-alle'!G205</f>
        <v>812.3</v>
      </c>
      <c r="G96" s="56">
        <f>'DS-tal-alle'!H205</f>
        <v>2106.8000000000002</v>
      </c>
      <c r="H96" s="56">
        <f>'DS-tal-alle'!I205</f>
        <v>2181.3000000000002</v>
      </c>
    </row>
    <row r="97" spans="2:8" ht="12" customHeight="1" x14ac:dyDescent="0.15">
      <c r="C97" s="2" t="str">
        <f>'DS-tal-alle'!C206</f>
        <v>07.3.4.1 Personbefordring ad søvejen</v>
      </c>
      <c r="D97" s="56">
        <f>'DS-tal-alle'!D206</f>
        <v>440</v>
      </c>
      <c r="E97" s="56">
        <f>'DS-tal-alle'!F206</f>
        <v>261.3</v>
      </c>
      <c r="F97" s="56">
        <f>'DS-tal-alle'!G206</f>
        <v>20.3</v>
      </c>
      <c r="G97" s="56">
        <f>'DS-tal-alle'!H206</f>
        <v>494.8</v>
      </c>
      <c r="H97" s="56">
        <f>'DS-tal-alle'!I206</f>
        <v>882.1</v>
      </c>
    </row>
    <row r="98" spans="2:8" ht="12" customHeight="1" x14ac:dyDescent="0.15">
      <c r="C98" s="2" t="str">
        <f>'DS-tal-alle'!C207</f>
        <v>07.3.5.0 Kombineret persontransport</v>
      </c>
      <c r="D98" s="56">
        <f>'DS-tal-alle'!D207</f>
        <v>1667</v>
      </c>
      <c r="E98" s="56">
        <f>'DS-tal-alle'!F207</f>
        <v>1510.1</v>
      </c>
      <c r="F98" s="56">
        <f>'DS-tal-alle'!G207</f>
        <v>1723.3</v>
      </c>
      <c r="G98" s="56">
        <f>'DS-tal-alle'!H207</f>
        <v>2672.7</v>
      </c>
      <c r="H98" s="56">
        <f>'DS-tal-alle'!I207</f>
        <v>2072.8000000000002</v>
      </c>
    </row>
    <row r="99" spans="2:8" ht="14" thickBot="1" x14ac:dyDescent="0.2">
      <c r="C99" s="13" t="s">
        <v>196</v>
      </c>
      <c r="D99" s="66">
        <f>SUM(D91:D98)</f>
        <v>3197</v>
      </c>
      <c r="E99" s="66">
        <f t="shared" ref="E99:H99" si="22">SUM(E91:E98)</f>
        <v>3812.6</v>
      </c>
      <c r="F99" s="66">
        <f t="shared" si="22"/>
        <v>3010.6</v>
      </c>
      <c r="G99" s="66">
        <f t="shared" si="22"/>
        <v>6136.3</v>
      </c>
      <c r="H99" s="66">
        <f t="shared" si="22"/>
        <v>6029.6</v>
      </c>
    </row>
    <row r="100" spans="2:8" x14ac:dyDescent="0.15">
      <c r="H100" s="5"/>
    </row>
    <row r="101" spans="2:8" x14ac:dyDescent="0.15">
      <c r="B101" s="1" t="s">
        <v>264</v>
      </c>
      <c r="D101" s="54">
        <f>D103</f>
        <v>4253</v>
      </c>
      <c r="E101" s="54">
        <f t="shared" ref="E101:H101" si="23">E103</f>
        <v>3013.6</v>
      </c>
      <c r="F101" s="54">
        <f t="shared" si="23"/>
        <v>2334.6999999999998</v>
      </c>
      <c r="G101" s="54">
        <f t="shared" si="23"/>
        <v>4791.5</v>
      </c>
      <c r="H101" s="54">
        <f t="shared" si="23"/>
        <v>7309</v>
      </c>
    </row>
    <row r="102" spans="2:8" x14ac:dyDescent="0.15">
      <c r="C102" t="str">
        <f>'DS-tal-alle'!C196</f>
        <v>07.2.3.0 Vedligeholdelse og reparation af personlige transportmidler</v>
      </c>
      <c r="D102" s="5">
        <f>'DS-tal-alle'!D196</f>
        <v>4253</v>
      </c>
      <c r="E102" s="5">
        <f>'DS-tal-alle'!F196</f>
        <v>3013.6</v>
      </c>
      <c r="F102" s="5">
        <f>'DS-tal-alle'!G196</f>
        <v>2334.6999999999998</v>
      </c>
      <c r="G102" s="5">
        <f>'DS-tal-alle'!H196</f>
        <v>4791.5</v>
      </c>
      <c r="H102" s="56">
        <f>'DS-tal-alle'!I196</f>
        <v>7309</v>
      </c>
    </row>
    <row r="103" spans="2:8" ht="14" thickBot="1" x14ac:dyDescent="0.2">
      <c r="C103" s="13" t="s">
        <v>196</v>
      </c>
      <c r="D103" s="66">
        <f>SUM(D102:D102)</f>
        <v>4253</v>
      </c>
      <c r="E103" s="66">
        <f t="shared" ref="E103:H103" si="24">SUM(E102:E102)</f>
        <v>3013.6</v>
      </c>
      <c r="F103" s="66">
        <f t="shared" si="24"/>
        <v>2334.6999999999998</v>
      </c>
      <c r="G103" s="66">
        <f t="shared" si="24"/>
        <v>4791.5</v>
      </c>
      <c r="H103" s="66">
        <f t="shared" si="24"/>
        <v>7309</v>
      </c>
    </row>
    <row r="105" spans="2:8" x14ac:dyDescent="0.15">
      <c r="C105" s="1" t="s">
        <v>18</v>
      </c>
      <c r="D105" s="54">
        <f>D3+D15+D24+D31+D36+D40+D56+D66+D77+D85+D90+D101</f>
        <v>154062</v>
      </c>
      <c r="E105" s="54">
        <f>E3+E15+E24+E31+E36+E40+E56+E66+E77+E85+E90+E101</f>
        <v>85178.8</v>
      </c>
      <c r="F105" s="54">
        <f>F3+F15+F24+F31+F36+F40+F56+F66+F77+F85+F90+F101</f>
        <v>117113</v>
      </c>
      <c r="G105" s="54">
        <f>G3+G15+G24+G31+G36+G40+G56+G66+G77+G85+G90+G101</f>
        <v>169188</v>
      </c>
      <c r="H105" s="54">
        <f>H3+H15+H24+H31+H36+H40+H56+H66+H77+H85+H90+H101</f>
        <v>215842.30000000002</v>
      </c>
    </row>
    <row r="106" spans="2:8" x14ac:dyDescent="0.15">
      <c r="C106" s="1" t="s">
        <v>19</v>
      </c>
      <c r="D106" s="259">
        <f>'DS-tal-alle'!D16</f>
        <v>300480.3</v>
      </c>
      <c r="E106" s="259">
        <f>'DS-tal-alle'!F16</f>
        <v>183861.1</v>
      </c>
      <c r="F106" s="259">
        <f>'DS-tal-alle'!G16</f>
        <v>246764.4</v>
      </c>
      <c r="G106" s="259">
        <f>'DS-tal-alle'!H16</f>
        <v>330719.8</v>
      </c>
      <c r="H106" s="259">
        <f>'DS-tal-alle'!I16</f>
        <v>417210.8</v>
      </c>
    </row>
    <row r="107" spans="2:8" x14ac:dyDescent="0.15">
      <c r="C107" s="1" t="s">
        <v>1077</v>
      </c>
      <c r="D107" s="54">
        <f>D105*100/D106</f>
        <v>51.271913666220385</v>
      </c>
      <c r="E107" s="54">
        <f>E105*100/E106</f>
        <v>46.327798539223359</v>
      </c>
      <c r="F107" s="54">
        <f>F105*100/F106</f>
        <v>47.459439043881531</v>
      </c>
      <c r="G107" s="54">
        <f>G105*100/G106</f>
        <v>51.15750553792062</v>
      </c>
      <c r="H107" s="54">
        <f>H105*100/H106</f>
        <v>51.734590763230486</v>
      </c>
    </row>
  </sheetData>
  <phoneticPr fontId="12" type="noConversion"/>
  <pageMargins left="0.75" right="0.75" top="1" bottom="1" header="0" footer="0"/>
  <pageSetup paperSize="9" orientation="portrait"/>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AC210"/>
  <sheetViews>
    <sheetView zoomScale="130" zoomScaleNormal="130" zoomScalePageLayoutView="130" workbookViewId="0">
      <selection activeCell="E115" sqref="E115"/>
    </sheetView>
  </sheetViews>
  <sheetFormatPr baseColWidth="10" defaultColWidth="8.83203125" defaultRowHeight="13" x14ac:dyDescent="0.15"/>
  <cols>
    <col min="1" max="1" width="3.83203125" customWidth="1"/>
    <col min="2" max="2" width="7.33203125" customWidth="1"/>
    <col min="3" max="3" width="4.6640625" customWidth="1"/>
    <col min="4" max="4" width="63.5" customWidth="1"/>
    <col min="5" max="5" width="10.1640625" bestFit="1" customWidth="1"/>
    <col min="6" max="6" width="9.6640625" customWidth="1"/>
    <col min="7" max="7" width="13.1640625" customWidth="1"/>
    <col min="8" max="8" width="14.6640625" customWidth="1"/>
    <col min="10" max="10" width="11" customWidth="1"/>
    <col min="13" max="13" width="2.83203125" customWidth="1"/>
    <col min="14" max="14" width="17" customWidth="1"/>
    <col min="15" max="15" width="21.83203125" customWidth="1"/>
    <col min="16" max="16" width="32.6640625" customWidth="1"/>
    <col min="17" max="17" width="8.1640625" customWidth="1"/>
    <col min="18" max="18" width="22.33203125" customWidth="1"/>
    <col min="19" max="19" width="8.1640625" customWidth="1"/>
    <col min="20" max="20" width="9.1640625" bestFit="1" customWidth="1"/>
    <col min="26" max="26" width="12.5" customWidth="1"/>
  </cols>
  <sheetData>
    <row r="1" spans="2:29" x14ac:dyDescent="0.15">
      <c r="B1" s="1" t="s">
        <v>254</v>
      </c>
    </row>
    <row r="2" spans="2:29" ht="14" thickBot="1" x14ac:dyDescent="0.2">
      <c r="D2" s="1" t="s">
        <v>81</v>
      </c>
    </row>
    <row r="3" spans="2:29" x14ac:dyDescent="0.15">
      <c r="B3" s="3">
        <v>2020</v>
      </c>
      <c r="C3" s="14" t="s">
        <v>393</v>
      </c>
      <c r="D3" s="47"/>
      <c r="E3" s="74" t="s">
        <v>196</v>
      </c>
      <c r="F3" s="75" t="s">
        <v>193</v>
      </c>
      <c r="G3" s="75" t="s">
        <v>194</v>
      </c>
      <c r="H3" s="76" t="s">
        <v>274</v>
      </c>
      <c r="I3" s="77" t="s">
        <v>275</v>
      </c>
      <c r="J3" s="3" t="s">
        <v>392</v>
      </c>
      <c r="K3" s="40" t="s">
        <v>611</v>
      </c>
      <c r="N3" t="s">
        <v>1136</v>
      </c>
      <c r="O3" t="s">
        <v>1137</v>
      </c>
      <c r="P3" t="str">
        <f>IF($B$3=2018,Y3,"")</f>
        <v/>
      </c>
      <c r="Q3" s="12">
        <v>2014</v>
      </c>
      <c r="R3">
        <v>2014</v>
      </c>
      <c r="S3">
        <v>2015</v>
      </c>
      <c r="T3">
        <v>2015</v>
      </c>
      <c r="U3">
        <v>2016</v>
      </c>
      <c r="V3">
        <v>2016</v>
      </c>
      <c r="W3">
        <v>2017</v>
      </c>
      <c r="X3">
        <v>2017</v>
      </c>
      <c r="Y3">
        <v>2018</v>
      </c>
      <c r="Z3">
        <v>2018</v>
      </c>
      <c r="AA3">
        <v>2020</v>
      </c>
      <c r="AB3">
        <v>2020</v>
      </c>
    </row>
    <row r="4" spans="2:29" x14ac:dyDescent="0.15">
      <c r="D4" s="78" t="s">
        <v>276</v>
      </c>
      <c r="E4" s="9"/>
      <c r="F4" s="9">
        <v>4596</v>
      </c>
      <c r="G4" s="9">
        <v>3639</v>
      </c>
      <c r="H4" s="9">
        <v>2862</v>
      </c>
      <c r="I4" s="79">
        <v>954</v>
      </c>
      <c r="J4" s="3"/>
      <c r="K4" s="40" t="s">
        <v>1141</v>
      </c>
      <c r="Q4" s="12" t="s">
        <v>195</v>
      </c>
      <c r="R4" s="12" t="s">
        <v>571</v>
      </c>
      <c r="S4" s="12" t="s">
        <v>195</v>
      </c>
      <c r="T4" s="12" t="s">
        <v>571</v>
      </c>
      <c r="U4" s="12" t="s">
        <v>195</v>
      </c>
      <c r="V4" s="12" t="s">
        <v>571</v>
      </c>
      <c r="W4" s="12" t="s">
        <v>195</v>
      </c>
      <c r="X4" s="12" t="s">
        <v>571</v>
      </c>
      <c r="Y4" s="12" t="s">
        <v>195</v>
      </c>
      <c r="Z4" s="12" t="s">
        <v>571</v>
      </c>
      <c r="AA4" s="12" t="s">
        <v>195</v>
      </c>
      <c r="AB4" s="12" t="s">
        <v>571</v>
      </c>
      <c r="AC4" s="12"/>
    </row>
    <row r="5" spans="2:29" x14ac:dyDescent="0.15">
      <c r="B5" s="3"/>
      <c r="C5" s="3"/>
      <c r="D5" s="78" t="s">
        <v>195</v>
      </c>
      <c r="E5" s="9"/>
      <c r="F5" s="9">
        <f>F4*4</f>
        <v>18384</v>
      </c>
      <c r="G5" s="9">
        <f>G4*4</f>
        <v>14556</v>
      </c>
      <c r="H5" s="9">
        <f>H4*4</f>
        <v>11448</v>
      </c>
      <c r="I5" s="79">
        <f>I4*12</f>
        <v>11448</v>
      </c>
      <c r="J5" s="3"/>
      <c r="P5" s="86" t="s">
        <v>193</v>
      </c>
      <c r="Q5" s="5">
        <v>17616</v>
      </c>
      <c r="R5" s="5">
        <v>4404</v>
      </c>
      <c r="S5" s="5">
        <v>17772</v>
      </c>
      <c r="T5" s="5">
        <v>4443</v>
      </c>
      <c r="U5" s="5">
        <f>V5*4</f>
        <v>17880</v>
      </c>
      <c r="V5" s="5">
        <v>4470</v>
      </c>
      <c r="W5" s="5">
        <f>X5*4</f>
        <v>17964</v>
      </c>
      <c r="X5" s="5">
        <v>4491</v>
      </c>
      <c r="Y5" s="5">
        <f>Z5*4</f>
        <v>18024</v>
      </c>
      <c r="Z5" s="9">
        <v>4506</v>
      </c>
      <c r="AA5" s="5">
        <f>AB5*4</f>
        <v>18384</v>
      </c>
      <c r="AB5" s="9">
        <v>4596</v>
      </c>
    </row>
    <row r="6" spans="2:29" x14ac:dyDescent="0.15">
      <c r="B6" s="3"/>
      <c r="C6" s="3"/>
      <c r="D6" s="78" t="s">
        <v>278</v>
      </c>
      <c r="E6" s="9">
        <f>SUM(F6:I6)</f>
        <v>18384</v>
      </c>
      <c r="F6" s="9">
        <f>Data!G5*F5</f>
        <v>18384</v>
      </c>
      <c r="G6" s="9">
        <f>Data!I5*G5</f>
        <v>0</v>
      </c>
      <c r="H6" s="9">
        <f>Data!K5*H5</f>
        <v>0</v>
      </c>
      <c r="I6" s="79">
        <f>I5*Data!M5</f>
        <v>0</v>
      </c>
      <c r="J6" s="3"/>
      <c r="P6" s="86" t="s">
        <v>194</v>
      </c>
      <c r="Q6" s="5">
        <v>13944</v>
      </c>
      <c r="R6" s="5">
        <v>3486</v>
      </c>
      <c r="S6" s="5">
        <v>14076</v>
      </c>
      <c r="T6" s="5">
        <v>3519</v>
      </c>
      <c r="U6" s="5">
        <f t="shared" ref="U6:W7" si="0">V6*4</f>
        <v>14148</v>
      </c>
      <c r="V6" s="5">
        <v>3537</v>
      </c>
      <c r="W6" s="5">
        <f t="shared" si="0"/>
        <v>14220</v>
      </c>
      <c r="X6" s="5">
        <v>3555</v>
      </c>
      <c r="Y6" s="5">
        <f t="shared" ref="Y6:AA7" si="1">Z6*4</f>
        <v>14268</v>
      </c>
      <c r="Z6" s="9">
        <v>3567</v>
      </c>
      <c r="AA6" s="5">
        <f t="shared" si="1"/>
        <v>14556</v>
      </c>
      <c r="AB6" s="9">
        <v>3639</v>
      </c>
    </row>
    <row r="7" spans="2:29" x14ac:dyDescent="0.15">
      <c r="B7" s="3"/>
      <c r="C7" s="3"/>
      <c r="D7" s="78" t="s">
        <v>277</v>
      </c>
      <c r="E7" s="9">
        <f>E6</f>
        <v>18384</v>
      </c>
      <c r="F7" s="9"/>
      <c r="G7" s="9"/>
      <c r="H7" s="9"/>
      <c r="I7" s="79"/>
      <c r="J7" s="3" t="s">
        <v>59</v>
      </c>
      <c r="P7" s="86" t="s">
        <v>274</v>
      </c>
      <c r="Q7" s="5">
        <v>10980</v>
      </c>
      <c r="R7" s="5">
        <v>2745</v>
      </c>
      <c r="S7" s="5">
        <v>11076</v>
      </c>
      <c r="T7" s="5">
        <v>2769</v>
      </c>
      <c r="U7" s="5">
        <f t="shared" si="0"/>
        <v>11136</v>
      </c>
      <c r="V7" s="5">
        <v>2784</v>
      </c>
      <c r="W7" s="5">
        <f t="shared" si="0"/>
        <v>11184</v>
      </c>
      <c r="X7" s="5">
        <v>2796</v>
      </c>
      <c r="Y7" s="5">
        <f t="shared" si="1"/>
        <v>11232</v>
      </c>
      <c r="Z7" s="9">
        <v>2808</v>
      </c>
      <c r="AA7" s="5">
        <f t="shared" si="1"/>
        <v>11448</v>
      </c>
      <c r="AB7" s="9">
        <v>2862</v>
      </c>
    </row>
    <row r="8" spans="2:29" x14ac:dyDescent="0.15">
      <c r="B8" s="3"/>
      <c r="C8" s="3"/>
      <c r="D8" s="78" t="s">
        <v>389</v>
      </c>
      <c r="E8" s="9">
        <f>E6-E7</f>
        <v>0</v>
      </c>
      <c r="F8" s="9"/>
      <c r="G8" s="9"/>
      <c r="H8" s="9"/>
      <c r="I8" s="79"/>
      <c r="J8" s="3" t="s">
        <v>59</v>
      </c>
      <c r="P8" s="86" t="s">
        <v>275</v>
      </c>
      <c r="Q8" s="5">
        <v>10980</v>
      </c>
      <c r="R8">
        <v>915</v>
      </c>
      <c r="S8" s="5">
        <v>11076</v>
      </c>
      <c r="T8">
        <v>923</v>
      </c>
      <c r="U8" s="5">
        <f>V8*12</f>
        <v>11136</v>
      </c>
      <c r="V8">
        <v>928</v>
      </c>
      <c r="W8" s="5">
        <f>X8*12</f>
        <v>11184</v>
      </c>
      <c r="X8" s="5">
        <v>932</v>
      </c>
      <c r="Y8" s="5">
        <f>Z8*12</f>
        <v>11232</v>
      </c>
      <c r="Z8" s="9">
        <v>936</v>
      </c>
      <c r="AA8" s="5">
        <f>AB8*12</f>
        <v>11448</v>
      </c>
      <c r="AB8" s="79">
        <v>954</v>
      </c>
    </row>
    <row r="9" spans="2:29" x14ac:dyDescent="0.15">
      <c r="B9" s="3"/>
      <c r="C9" s="3"/>
      <c r="D9" s="80" t="s">
        <v>390</v>
      </c>
      <c r="E9" s="9">
        <f>IF(E8/3&lt;=0,0,E8/3)</f>
        <v>0</v>
      </c>
      <c r="F9" s="9"/>
      <c r="G9" s="9"/>
      <c r="H9" s="9"/>
      <c r="I9" s="79"/>
      <c r="J9" s="3" t="s">
        <v>59</v>
      </c>
    </row>
    <row r="10" spans="2:29" x14ac:dyDescent="0.15">
      <c r="B10" s="3"/>
      <c r="C10" s="3"/>
      <c r="D10" s="78" t="s">
        <v>391</v>
      </c>
      <c r="E10" s="9">
        <f>IF(E9&gt;=12000,12000,E9)</f>
        <v>0</v>
      </c>
      <c r="F10" s="9"/>
      <c r="G10" s="9"/>
      <c r="H10" s="9"/>
      <c r="I10" s="79"/>
      <c r="J10" s="3" t="s">
        <v>59</v>
      </c>
      <c r="P10" s="5" t="str">
        <f t="shared" ref="P10" si="2">IF($B$3=2018,Y10,"")</f>
        <v/>
      </c>
      <c r="S10" s="5">
        <v>723100</v>
      </c>
      <c r="T10" s="5"/>
      <c r="U10" s="5">
        <v>732900</v>
      </c>
      <c r="W10" s="5">
        <v>749000</v>
      </c>
      <c r="Y10">
        <v>765000</v>
      </c>
    </row>
    <row r="11" spans="2:29" ht="14" thickBot="1" x14ac:dyDescent="0.2">
      <c r="B11" s="3"/>
      <c r="C11" s="3"/>
      <c r="D11" s="78" t="s">
        <v>583</v>
      </c>
      <c r="E11" s="9">
        <f>E6</f>
        <v>18384</v>
      </c>
      <c r="F11" s="9"/>
      <c r="G11" s="29">
        <f>E11/12</f>
        <v>1532</v>
      </c>
      <c r="H11" s="9"/>
      <c r="I11" s="79"/>
      <c r="J11" s="3"/>
    </row>
    <row r="12" spans="2:29" x14ac:dyDescent="0.15">
      <c r="B12" s="3"/>
      <c r="C12" s="3"/>
      <c r="D12" s="78" t="s">
        <v>582</v>
      </c>
      <c r="E12" s="9">
        <f>Aftrapning!F21</f>
        <v>0</v>
      </c>
      <c r="F12" s="9"/>
      <c r="G12" s="9"/>
      <c r="H12" s="9"/>
      <c r="I12" s="79"/>
      <c r="J12" s="3"/>
    </row>
    <row r="13" spans="2:29" ht="14" thickBot="1" x14ac:dyDescent="0.2">
      <c r="B13" s="3"/>
      <c r="C13" s="3"/>
      <c r="D13" s="81" t="s">
        <v>619</v>
      </c>
      <c r="E13" s="29">
        <f>E11-E12</f>
        <v>18384</v>
      </c>
      <c r="F13" s="29" t="s">
        <v>620</v>
      </c>
      <c r="G13" s="29">
        <f>E13/12</f>
        <v>1532</v>
      </c>
      <c r="H13" s="29"/>
      <c r="I13" s="82"/>
      <c r="J13" s="3"/>
    </row>
    <row r="14" spans="2:29" x14ac:dyDescent="0.15">
      <c r="B14" s="3"/>
      <c r="C14" s="3"/>
      <c r="D14" s="3"/>
      <c r="E14" s="9"/>
      <c r="F14" s="9"/>
      <c r="G14" s="9"/>
      <c r="H14" s="9"/>
      <c r="I14" s="9"/>
      <c r="J14" s="3"/>
    </row>
    <row r="15" spans="2:29" ht="14" thickBot="1" x14ac:dyDescent="0.2">
      <c r="B15" s="3">
        <v>2018</v>
      </c>
      <c r="C15" s="64" t="s">
        <v>393</v>
      </c>
      <c r="D15" s="88" t="s">
        <v>358</v>
      </c>
      <c r="E15" t="s">
        <v>734</v>
      </c>
    </row>
    <row r="16" spans="2:29" x14ac:dyDescent="0.15">
      <c r="B16" s="12"/>
      <c r="D16" s="90" t="s">
        <v>443</v>
      </c>
      <c r="H16" t="s">
        <v>331</v>
      </c>
      <c r="J16" t="str">
        <f>VLOOKUP(K16,G19:J25,2)</f>
        <v>Fjernvarme</v>
      </c>
      <c r="K16">
        <f>Dialog!D3</f>
        <v>5</v>
      </c>
      <c r="P16" s="104" t="s">
        <v>477</v>
      </c>
      <c r="Q16" s="105"/>
      <c r="R16" s="106"/>
    </row>
    <row r="17" spans="2:21" x14ac:dyDescent="0.15">
      <c r="B17" s="12"/>
      <c r="D17" t="s">
        <v>435</v>
      </c>
      <c r="E17" s="5">
        <v>4816</v>
      </c>
      <c r="F17" t="s">
        <v>319</v>
      </c>
      <c r="P17" s="48"/>
      <c r="R17" s="107"/>
    </row>
    <row r="18" spans="2:21" x14ac:dyDescent="0.15">
      <c r="B18" s="3"/>
      <c r="D18" t="s">
        <v>436</v>
      </c>
      <c r="E18">
        <v>104</v>
      </c>
      <c r="F18" t="s">
        <v>319</v>
      </c>
      <c r="H18" s="1" t="s">
        <v>325</v>
      </c>
      <c r="P18" s="108" t="s">
        <v>421</v>
      </c>
      <c r="Q18" s="12" t="s">
        <v>597</v>
      </c>
      <c r="R18" s="186">
        <f>U23</f>
        <v>43838</v>
      </c>
      <c r="S18" s="12"/>
    </row>
    <row r="19" spans="2:21" x14ac:dyDescent="0.15">
      <c r="B19" s="3"/>
      <c r="D19" t="s">
        <v>333</v>
      </c>
      <c r="E19">
        <f>Input!D35</f>
        <v>0</v>
      </c>
      <c r="F19" t="s">
        <v>84</v>
      </c>
      <c r="G19">
        <v>1</v>
      </c>
      <c r="H19" t="s">
        <v>328</v>
      </c>
      <c r="J19" s="102">
        <f>Q23</f>
        <v>1.201157894736842</v>
      </c>
      <c r="K19" t="s">
        <v>330</v>
      </c>
      <c r="L19">
        <v>1</v>
      </c>
      <c r="O19" s="40"/>
      <c r="P19" s="48" t="s">
        <v>426</v>
      </c>
      <c r="Q19" s="102">
        <v>10</v>
      </c>
      <c r="R19" s="107" t="s">
        <v>423</v>
      </c>
    </row>
    <row r="20" spans="2:21" x14ac:dyDescent="0.15">
      <c r="D20" t="s">
        <v>323</v>
      </c>
      <c r="E20" s="5">
        <f>E17+E18*E19</f>
        <v>4816</v>
      </c>
      <c r="F20" t="s">
        <v>319</v>
      </c>
      <c r="G20">
        <v>2</v>
      </c>
      <c r="H20" t="s">
        <v>329</v>
      </c>
      <c r="J20" s="87">
        <f>Q24</f>
        <v>1.6301428571428571</v>
      </c>
      <c r="K20" t="s">
        <v>330</v>
      </c>
      <c r="L20">
        <v>2</v>
      </c>
      <c r="P20" s="129" t="s">
        <v>4</v>
      </c>
      <c r="Q20" s="102">
        <f>Q19*95%</f>
        <v>9.5</v>
      </c>
      <c r="R20" s="107" t="s">
        <v>423</v>
      </c>
    </row>
    <row r="21" spans="2:21" x14ac:dyDescent="0.15">
      <c r="D21" t="s">
        <v>733</v>
      </c>
      <c r="E21" s="5">
        <f>IF($K$16=6,4000,0)</f>
        <v>0</v>
      </c>
      <c r="F21" t="s">
        <v>319</v>
      </c>
      <c r="G21">
        <v>3</v>
      </c>
      <c r="H21" s="12" t="s">
        <v>6</v>
      </c>
      <c r="J21" s="87">
        <f>Q31</f>
        <v>0.49053030303030304</v>
      </c>
      <c r="K21" t="s">
        <v>330</v>
      </c>
      <c r="L21">
        <v>3</v>
      </c>
      <c r="O21" s="40"/>
      <c r="P21" s="129" t="s">
        <v>5</v>
      </c>
      <c r="Q21" s="102">
        <f>Q19*70%</f>
        <v>7</v>
      </c>
      <c r="R21" s="107" t="s">
        <v>423</v>
      </c>
      <c r="S21" t="s">
        <v>425</v>
      </c>
    </row>
    <row r="22" spans="2:21" x14ac:dyDescent="0.15">
      <c r="D22" t="s">
        <v>732</v>
      </c>
      <c r="E22" s="5">
        <f>E20-E21</f>
        <v>4816</v>
      </c>
      <c r="F22" t="s">
        <v>319</v>
      </c>
      <c r="G22">
        <v>4</v>
      </c>
      <c r="H22" s="12" t="s">
        <v>7</v>
      </c>
      <c r="J22" s="87">
        <f>Q32</f>
        <v>0.62787878787878781</v>
      </c>
      <c r="K22" t="s">
        <v>330</v>
      </c>
      <c r="L22">
        <v>4</v>
      </c>
      <c r="O22" s="40"/>
      <c r="P22" s="108" t="s">
        <v>495</v>
      </c>
      <c r="Q22" s="91">
        <f>T23/1000</f>
        <v>11.411</v>
      </c>
      <c r="R22" s="107" t="s">
        <v>496</v>
      </c>
      <c r="S22" s="40" t="s">
        <v>1270</v>
      </c>
    </row>
    <row r="23" spans="2:21" x14ac:dyDescent="0.15">
      <c r="D23" t="s">
        <v>334</v>
      </c>
      <c r="E23" s="102">
        <f>VLOOKUP(K16,G19:J25,4)</f>
        <v>0.70193370165745861</v>
      </c>
      <c r="F23" t="s">
        <v>330</v>
      </c>
      <c r="G23">
        <v>5</v>
      </c>
      <c r="H23" t="s">
        <v>86</v>
      </c>
      <c r="J23" s="87">
        <f>Q45</f>
        <v>0.70193370165745861</v>
      </c>
      <c r="K23" t="s">
        <v>330</v>
      </c>
      <c r="L23">
        <v>5</v>
      </c>
      <c r="O23" s="40"/>
      <c r="P23" s="108" t="s">
        <v>497</v>
      </c>
      <c r="Q23" s="91">
        <f>Q22/Q20</f>
        <v>1.201157894736842</v>
      </c>
      <c r="R23" s="109" t="s">
        <v>450</v>
      </c>
      <c r="S23" s="12" t="s">
        <v>614</v>
      </c>
      <c r="T23" s="102">
        <v>11411</v>
      </c>
      <c r="U23" s="186">
        <v>43838</v>
      </c>
    </row>
    <row r="24" spans="2:21" x14ac:dyDescent="0.15">
      <c r="D24" s="1" t="s">
        <v>332</v>
      </c>
      <c r="E24" s="54">
        <f>E22*E23</f>
        <v>3380.5127071823208</v>
      </c>
      <c r="F24" t="s">
        <v>335</v>
      </c>
      <c r="G24">
        <v>6</v>
      </c>
      <c r="H24" t="s">
        <v>85</v>
      </c>
      <c r="I24" s="40"/>
      <c r="J24" s="87">
        <f>J27-0.7813</f>
        <v>1.4687000000000001</v>
      </c>
      <c r="K24" t="s">
        <v>330</v>
      </c>
      <c r="L24">
        <v>6</v>
      </c>
      <c r="N24" t="s">
        <v>529</v>
      </c>
      <c r="O24" s="40"/>
      <c r="P24" s="108" t="s">
        <v>445</v>
      </c>
      <c r="Q24" s="91">
        <f>Q22/Q21</f>
        <v>1.6301428571428571</v>
      </c>
      <c r="R24" s="109" t="s">
        <v>450</v>
      </c>
    </row>
    <row r="25" spans="2:21" x14ac:dyDescent="0.15">
      <c r="G25">
        <v>7</v>
      </c>
      <c r="H25" t="s">
        <v>476</v>
      </c>
      <c r="J25" s="87">
        <f>Q40</f>
        <v>0.48225308641975306</v>
      </c>
      <c r="K25" t="s">
        <v>330</v>
      </c>
      <c r="L25">
        <v>7</v>
      </c>
      <c r="P25" s="48"/>
      <c r="Q25" s="102"/>
      <c r="R25" s="107"/>
    </row>
    <row r="26" spans="2:21" x14ac:dyDescent="0.15">
      <c r="D26" s="1" t="s">
        <v>735</v>
      </c>
      <c r="P26" s="108" t="s">
        <v>326</v>
      </c>
      <c r="Q26" s="184" t="s">
        <v>598</v>
      </c>
      <c r="R26" s="186">
        <v>43838</v>
      </c>
      <c r="S26" s="12"/>
    </row>
    <row r="27" spans="2:21" x14ac:dyDescent="0.15">
      <c r="D27" t="s">
        <v>318</v>
      </c>
      <c r="E27" s="5">
        <v>-2577</v>
      </c>
      <c r="F27" t="s">
        <v>319</v>
      </c>
      <c r="H27" t="s">
        <v>570</v>
      </c>
      <c r="I27" s="44" t="s">
        <v>616</v>
      </c>
      <c r="J27" s="11">
        <v>2.25</v>
      </c>
      <c r="K27" t="s">
        <v>330</v>
      </c>
      <c r="N27" s="40" t="s">
        <v>1271</v>
      </c>
      <c r="P27" s="48" t="s">
        <v>427</v>
      </c>
      <c r="Q27" s="102">
        <v>11</v>
      </c>
      <c r="R27" s="107" t="s">
        <v>424</v>
      </c>
    </row>
    <row r="28" spans="2:21" x14ac:dyDescent="0.15">
      <c r="D28" t="s">
        <v>320</v>
      </c>
      <c r="E28">
        <v>119</v>
      </c>
      <c r="F28" t="s">
        <v>319</v>
      </c>
      <c r="H28" t="s">
        <v>731</v>
      </c>
      <c r="J28" s="247"/>
      <c r="P28" s="48" t="s">
        <v>428</v>
      </c>
      <c r="Q28" s="102">
        <f>Q27*96%</f>
        <v>10.559999999999999</v>
      </c>
      <c r="R28" s="107" t="s">
        <v>424</v>
      </c>
    </row>
    <row r="29" spans="2:21" x14ac:dyDescent="0.15">
      <c r="D29" t="s">
        <v>321</v>
      </c>
      <c r="E29">
        <f>Input!D35</f>
        <v>0</v>
      </c>
      <c r="F29" t="s">
        <v>84</v>
      </c>
      <c r="H29" s="12"/>
      <c r="P29" s="48" t="s">
        <v>429</v>
      </c>
      <c r="Q29" s="102">
        <f>Q27*75%</f>
        <v>8.25</v>
      </c>
      <c r="R29" s="107" t="s">
        <v>424</v>
      </c>
    </row>
    <row r="30" spans="2:21" x14ac:dyDescent="0.15">
      <c r="D30" t="s">
        <v>323</v>
      </c>
      <c r="E30" s="5">
        <f>E27+E28*E29</f>
        <v>-2577</v>
      </c>
      <c r="F30" t="s">
        <v>319</v>
      </c>
      <c r="P30" s="108" t="s">
        <v>448</v>
      </c>
      <c r="Q30" s="91">
        <v>5.18</v>
      </c>
      <c r="R30" s="107" t="s">
        <v>449</v>
      </c>
      <c r="S30" s="40" t="s">
        <v>1272</v>
      </c>
    </row>
    <row r="31" spans="2:21" x14ac:dyDescent="0.15">
      <c r="D31" t="s">
        <v>733</v>
      </c>
      <c r="E31" s="5">
        <f>IF($K$16=6,4000,0)</f>
        <v>0</v>
      </c>
      <c r="F31" t="s">
        <v>319</v>
      </c>
      <c r="P31" s="108" t="s">
        <v>446</v>
      </c>
      <c r="Q31" s="91">
        <f>Q30/Q28</f>
        <v>0.49053030303030304</v>
      </c>
      <c r="R31" s="109" t="s">
        <v>450</v>
      </c>
      <c r="S31" s="12"/>
    </row>
    <row r="32" spans="2:21" x14ac:dyDescent="0.15">
      <c r="D32" t="s">
        <v>732</v>
      </c>
      <c r="E32" s="5">
        <f>E30-E31</f>
        <v>-2577</v>
      </c>
      <c r="F32" t="s">
        <v>319</v>
      </c>
      <c r="P32" s="108" t="s">
        <v>447</v>
      </c>
      <c r="Q32" s="91">
        <f>Q30/Q29</f>
        <v>0.62787878787878781</v>
      </c>
      <c r="R32" s="109" t="s">
        <v>450</v>
      </c>
    </row>
    <row r="33" spans="4:19" x14ac:dyDescent="0.15">
      <c r="D33" t="s">
        <v>334</v>
      </c>
      <c r="E33" s="102">
        <f>VLOOKUP(K16,G19:J25,4)</f>
        <v>0.70193370165745861</v>
      </c>
      <c r="F33" t="s">
        <v>330</v>
      </c>
      <c r="P33" s="48"/>
      <c r="Q33" s="102"/>
      <c r="R33" s="107"/>
    </row>
    <row r="34" spans="4:19" x14ac:dyDescent="0.15">
      <c r="D34" s="1" t="s">
        <v>332</v>
      </c>
      <c r="E34" s="54">
        <f>E30*E33</f>
        <v>-1808.8831491712708</v>
      </c>
      <c r="F34" t="s">
        <v>335</v>
      </c>
      <c r="P34" s="108" t="s">
        <v>327</v>
      </c>
      <c r="Q34" s="184" t="s">
        <v>1135</v>
      </c>
      <c r="R34" s="186">
        <v>43838</v>
      </c>
      <c r="S34" s="12"/>
    </row>
    <row r="35" spans="4:19" x14ac:dyDescent="0.15">
      <c r="P35" s="48" t="s">
        <v>422</v>
      </c>
      <c r="Q35" s="102">
        <v>4.8600000000000003</v>
      </c>
      <c r="R35" s="107" t="s">
        <v>319</v>
      </c>
    </row>
    <row r="36" spans="4:19" x14ac:dyDescent="0.15">
      <c r="D36" t="s">
        <v>337</v>
      </c>
      <c r="E36">
        <f>Dialog!$B$3</f>
        <v>1</v>
      </c>
      <c r="F36" t="str">
        <f>IF(AND(E36&gt;=1,E36&lt;=3),"Hus",IF(AND(E36&gt;=4,E36&lt;=7),"Lejlighed",""))</f>
        <v>Hus</v>
      </c>
      <c r="P36" s="48" t="s">
        <v>430</v>
      </c>
      <c r="Q36" s="102">
        <f>Q35*95%</f>
        <v>4.617</v>
      </c>
      <c r="R36" s="107" t="s">
        <v>431</v>
      </c>
      <c r="S36" s="40" t="s">
        <v>1106</v>
      </c>
    </row>
    <row r="37" spans="4:19" x14ac:dyDescent="0.15">
      <c r="D37" s="1" t="s">
        <v>336</v>
      </c>
      <c r="E37" s="54">
        <f>IF(F36="Hus",E24,E34)</f>
        <v>3380.5127071823208</v>
      </c>
      <c r="F37" t="s">
        <v>335</v>
      </c>
      <c r="P37" s="48"/>
      <c r="Q37" s="102"/>
      <c r="R37" s="107"/>
      <c r="S37" s="40"/>
    </row>
    <row r="38" spans="4:19" x14ac:dyDescent="0.15">
      <c r="D38" s="1" t="s">
        <v>713</v>
      </c>
      <c r="E38" s="54">
        <f>IF(E37&lt;=0,0,E37)</f>
        <v>3380.5127071823208</v>
      </c>
      <c r="P38" s="48"/>
      <c r="Q38" s="102"/>
      <c r="R38" s="107"/>
      <c r="S38" s="40"/>
    </row>
    <row r="39" spans="4:19" x14ac:dyDescent="0.15">
      <c r="P39" s="108" t="s">
        <v>432</v>
      </c>
      <c r="Q39" s="91">
        <f>1995/896</f>
        <v>2.2265625</v>
      </c>
      <c r="R39" s="110" t="s">
        <v>494</v>
      </c>
      <c r="S39" s="40" t="s">
        <v>1107</v>
      </c>
    </row>
    <row r="40" spans="4:19" ht="14" thickBot="1" x14ac:dyDescent="0.2">
      <c r="D40" s="89" t="s">
        <v>85</v>
      </c>
      <c r="E40" t="s">
        <v>416</v>
      </c>
      <c r="P40" s="108" t="s">
        <v>451</v>
      </c>
      <c r="Q40" s="91">
        <f>Q39/Q36</f>
        <v>0.48225308641975306</v>
      </c>
      <c r="R40" s="109" t="s">
        <v>452</v>
      </c>
    </row>
    <row r="41" spans="4:19" x14ac:dyDescent="0.15">
      <c r="D41" s="90" t="s">
        <v>442</v>
      </c>
      <c r="P41" s="48"/>
      <c r="R41" s="107"/>
    </row>
    <row r="42" spans="4:19" x14ac:dyDescent="0.15">
      <c r="D42" t="s">
        <v>435</v>
      </c>
      <c r="E42">
        <v>530</v>
      </c>
      <c r="F42" t="s">
        <v>319</v>
      </c>
      <c r="P42" s="108" t="s">
        <v>86</v>
      </c>
      <c r="R42" s="185"/>
      <c r="S42" s="40"/>
    </row>
    <row r="43" spans="4:19" x14ac:dyDescent="0.15">
      <c r="D43" t="s">
        <v>436</v>
      </c>
      <c r="E43">
        <v>12</v>
      </c>
      <c r="F43" t="s">
        <v>440</v>
      </c>
      <c r="P43" s="129" t="s">
        <v>615</v>
      </c>
      <c r="Q43" s="5">
        <v>18100</v>
      </c>
      <c r="R43" s="107" t="s">
        <v>319</v>
      </c>
      <c r="S43" s="40"/>
    </row>
    <row r="44" spans="4:19" x14ac:dyDescent="0.15">
      <c r="D44" t="s">
        <v>333</v>
      </c>
      <c r="E44">
        <f>Input!D35</f>
        <v>0</v>
      </c>
      <c r="F44" t="s">
        <v>84</v>
      </c>
      <c r="P44" s="48" t="s">
        <v>453</v>
      </c>
      <c r="Q44" s="5">
        <f>12705</f>
        <v>12705</v>
      </c>
      <c r="R44" s="107" t="s">
        <v>335</v>
      </c>
      <c r="S44" t="s">
        <v>1134</v>
      </c>
    </row>
    <row r="45" spans="4:19" ht="14" thickBot="1" x14ac:dyDescent="0.2">
      <c r="D45" t="s">
        <v>437</v>
      </c>
      <c r="E45">
        <v>690</v>
      </c>
      <c r="F45" t="s">
        <v>440</v>
      </c>
      <c r="P45" s="49" t="s">
        <v>454</v>
      </c>
      <c r="Q45" s="246">
        <f>Q44/Q43</f>
        <v>0.70193370165745861</v>
      </c>
      <c r="R45" s="111" t="s">
        <v>335</v>
      </c>
      <c r="S45" s="40" t="s">
        <v>1133</v>
      </c>
    </row>
    <row r="46" spans="4:19" x14ac:dyDescent="0.15">
      <c r="D46" t="s">
        <v>438</v>
      </c>
      <c r="E46">
        <f>Input!D8+Input!D29</f>
        <v>3</v>
      </c>
    </row>
    <row r="47" spans="4:19" x14ac:dyDescent="0.15">
      <c r="D47" t="s">
        <v>439</v>
      </c>
      <c r="E47">
        <f>E42+(E43*E44)+(E45*E46)</f>
        <v>2600</v>
      </c>
    </row>
    <row r="48" spans="4:19" x14ac:dyDescent="0.15">
      <c r="D48" t="s">
        <v>441</v>
      </c>
      <c r="E48">
        <f>J27</f>
        <v>2.25</v>
      </c>
      <c r="F48" t="s">
        <v>335</v>
      </c>
      <c r="G48" s="130" t="str">
        <f>N27</f>
        <v>https://www.seas-nve.dk/privat/el/elvarme</v>
      </c>
    </row>
    <row r="49" spans="4:6" x14ac:dyDescent="0.15">
      <c r="D49" s="1" t="s">
        <v>444</v>
      </c>
      <c r="E49" s="54">
        <f>E47*E48</f>
        <v>5850</v>
      </c>
      <c r="F49" t="s">
        <v>335</v>
      </c>
    </row>
    <row r="51" spans="4:6" x14ac:dyDescent="0.15">
      <c r="D51" s="1" t="s">
        <v>363</v>
      </c>
    </row>
    <row r="52" spans="4:6" x14ac:dyDescent="0.15">
      <c r="D52" t="s">
        <v>435</v>
      </c>
      <c r="E52">
        <v>340</v>
      </c>
    </row>
    <row r="53" spans="4:6" x14ac:dyDescent="0.15">
      <c r="D53" t="s">
        <v>436</v>
      </c>
      <c r="E53">
        <v>11</v>
      </c>
    </row>
    <row r="54" spans="4:6" x14ac:dyDescent="0.15">
      <c r="D54" t="s">
        <v>333</v>
      </c>
      <c r="E54">
        <f>Input!D35</f>
        <v>0</v>
      </c>
    </row>
    <row r="55" spans="4:6" x14ac:dyDescent="0.15">
      <c r="D55" t="s">
        <v>437</v>
      </c>
      <c r="E55">
        <v>350</v>
      </c>
    </row>
    <row r="56" spans="4:6" x14ac:dyDescent="0.15">
      <c r="D56" t="s">
        <v>438</v>
      </c>
      <c r="E56">
        <f>Input!D8+Input!D29</f>
        <v>3</v>
      </c>
    </row>
    <row r="57" spans="4:6" x14ac:dyDescent="0.15">
      <c r="D57" t="s">
        <v>439</v>
      </c>
      <c r="E57">
        <f>E52+(E53*E54)+(E55*E56)</f>
        <v>1390</v>
      </c>
    </row>
    <row r="58" spans="4:6" x14ac:dyDescent="0.15">
      <c r="D58" t="s">
        <v>441</v>
      </c>
      <c r="E58">
        <f>E48</f>
        <v>2.25</v>
      </c>
      <c r="F58" t="s">
        <v>335</v>
      </c>
    </row>
    <row r="59" spans="4:6" x14ac:dyDescent="0.15">
      <c r="D59" s="1" t="s">
        <v>444</v>
      </c>
      <c r="E59" s="54">
        <f>E57*E58</f>
        <v>3127.5</v>
      </c>
      <c r="F59" t="s">
        <v>335</v>
      </c>
    </row>
    <row r="60" spans="4:6" x14ac:dyDescent="0.15">
      <c r="D60" s="1"/>
      <c r="E60" s="54"/>
    </row>
    <row r="61" spans="4:6" x14ac:dyDescent="0.15">
      <c r="D61" t="s">
        <v>337</v>
      </c>
      <c r="E61">
        <f>Dialog!$B$3</f>
        <v>1</v>
      </c>
      <c r="F61" t="str">
        <f>IF(AND(E61&gt;=1,E61&lt;=3),"Hus",IF(AND(E61&gt;=4,E61&lt;=7),"Lejlighed",""))</f>
        <v>Hus</v>
      </c>
    </row>
    <row r="62" spans="4:6" x14ac:dyDescent="0.15">
      <c r="D62" s="1" t="s">
        <v>364</v>
      </c>
      <c r="E62" s="54">
        <f>IF(F61="Hus",E49,E59)</f>
        <v>5850</v>
      </c>
      <c r="F62" t="s">
        <v>335</v>
      </c>
    </row>
    <row r="65" spans="4:7" ht="14" thickBot="1" x14ac:dyDescent="0.2">
      <c r="D65" s="89" t="s">
        <v>409</v>
      </c>
      <c r="E65" t="s">
        <v>417</v>
      </c>
    </row>
    <row r="66" spans="4:7" x14ac:dyDescent="0.15">
      <c r="D66" s="1" t="s">
        <v>411</v>
      </c>
    </row>
    <row r="67" spans="4:7" x14ac:dyDescent="0.15">
      <c r="D67" t="s">
        <v>318</v>
      </c>
      <c r="E67">
        <v>7.9</v>
      </c>
    </row>
    <row r="68" spans="4:7" x14ac:dyDescent="0.15">
      <c r="D68" t="s">
        <v>333</v>
      </c>
      <c r="E68">
        <f>Input!D35</f>
        <v>0</v>
      </c>
    </row>
    <row r="69" spans="4:7" x14ac:dyDescent="0.15">
      <c r="D69" t="s">
        <v>318</v>
      </c>
      <c r="E69">
        <v>950</v>
      </c>
    </row>
    <row r="70" spans="4:7" x14ac:dyDescent="0.15">
      <c r="D70" t="s">
        <v>410</v>
      </c>
      <c r="E70">
        <f>Input!D8</f>
        <v>2</v>
      </c>
    </row>
    <row r="71" spans="4:7" x14ac:dyDescent="0.15">
      <c r="D71" t="s">
        <v>318</v>
      </c>
      <c r="E71">
        <v>539</v>
      </c>
    </row>
    <row r="72" spans="4:7" x14ac:dyDescent="0.15">
      <c r="D72" t="s">
        <v>412</v>
      </c>
      <c r="E72">
        <f>Input!D28</f>
        <v>0</v>
      </c>
    </row>
    <row r="73" spans="4:7" x14ac:dyDescent="0.15">
      <c r="D73" t="s">
        <v>318</v>
      </c>
      <c r="E73">
        <v>320</v>
      </c>
    </row>
    <row r="74" spans="4:7" x14ac:dyDescent="0.15">
      <c r="D74" t="s">
        <v>413</v>
      </c>
      <c r="E74">
        <f>SUM(Input!D25:D27)</f>
        <v>1</v>
      </c>
    </row>
    <row r="75" spans="4:7" x14ac:dyDescent="0.15">
      <c r="D75" t="s">
        <v>318</v>
      </c>
      <c r="E75">
        <v>1212</v>
      </c>
    </row>
    <row r="76" spans="4:7" x14ac:dyDescent="0.15">
      <c r="D76" s="1" t="s">
        <v>439</v>
      </c>
      <c r="E76" s="54">
        <f>(E67*E68)+(E69*E70)+(E71*E72)+(E73*E74)+E75</f>
        <v>3432</v>
      </c>
      <c r="F76" t="s">
        <v>415</v>
      </c>
      <c r="G76">
        <f>E47</f>
        <v>2600</v>
      </c>
    </row>
    <row r="77" spans="4:7" x14ac:dyDescent="0.15">
      <c r="D77" t="s">
        <v>441</v>
      </c>
      <c r="E77" s="161">
        <f>$J$27</f>
        <v>2.25</v>
      </c>
      <c r="F77" t="s">
        <v>335</v>
      </c>
    </row>
    <row r="78" spans="4:7" x14ac:dyDescent="0.15">
      <c r="D78" s="1" t="s">
        <v>444</v>
      </c>
      <c r="E78" s="54">
        <f>E76*E77</f>
        <v>7722</v>
      </c>
      <c r="F78" t="s">
        <v>335</v>
      </c>
    </row>
    <row r="80" spans="4:7" x14ac:dyDescent="0.15">
      <c r="D80" s="1" t="s">
        <v>414</v>
      </c>
    </row>
    <row r="81" spans="4:7" x14ac:dyDescent="0.15">
      <c r="D81" t="s">
        <v>318</v>
      </c>
      <c r="E81">
        <v>11.6</v>
      </c>
    </row>
    <row r="82" spans="4:7" x14ac:dyDescent="0.15">
      <c r="D82" t="s">
        <v>333</v>
      </c>
      <c r="E82">
        <f>Input!D35</f>
        <v>0</v>
      </c>
    </row>
    <row r="83" spans="4:7" x14ac:dyDescent="0.15">
      <c r="D83" t="s">
        <v>318</v>
      </c>
      <c r="E83">
        <v>747</v>
      </c>
    </row>
    <row r="84" spans="4:7" x14ac:dyDescent="0.15">
      <c r="D84" t="s">
        <v>410</v>
      </c>
      <c r="E84">
        <f>Input!D8</f>
        <v>2</v>
      </c>
    </row>
    <row r="85" spans="4:7" x14ac:dyDescent="0.15">
      <c r="D85" t="s">
        <v>318</v>
      </c>
      <c r="E85">
        <v>450</v>
      </c>
    </row>
    <row r="86" spans="4:7" x14ac:dyDescent="0.15">
      <c r="D86" t="s">
        <v>412</v>
      </c>
      <c r="E86">
        <f>Input!D28</f>
        <v>0</v>
      </c>
    </row>
    <row r="87" spans="4:7" x14ac:dyDescent="0.15">
      <c r="D87" t="s">
        <v>318</v>
      </c>
      <c r="E87">
        <v>303</v>
      </c>
    </row>
    <row r="88" spans="4:7" x14ac:dyDescent="0.15">
      <c r="D88" t="s">
        <v>413</v>
      </c>
      <c r="E88">
        <f>SUM(Input!D25:D27)</f>
        <v>1</v>
      </c>
    </row>
    <row r="89" spans="4:7" x14ac:dyDescent="0.15">
      <c r="D89" t="s">
        <v>318</v>
      </c>
      <c r="E89">
        <v>168</v>
      </c>
    </row>
    <row r="90" spans="4:7" x14ac:dyDescent="0.15">
      <c r="D90" s="1" t="s">
        <v>439</v>
      </c>
      <c r="E90" s="1">
        <f>(E81*E82)+(E83*E84)+(E85*E86)+(E87*E88)+E89</f>
        <v>1965</v>
      </c>
      <c r="F90" t="s">
        <v>415</v>
      </c>
      <c r="G90">
        <f>E57</f>
        <v>1390</v>
      </c>
    </row>
    <row r="91" spans="4:7" x14ac:dyDescent="0.15">
      <c r="D91" t="s">
        <v>441</v>
      </c>
      <c r="E91" s="161">
        <f>$J$27</f>
        <v>2.25</v>
      </c>
      <c r="F91" t="s">
        <v>335</v>
      </c>
    </row>
    <row r="92" spans="4:7" x14ac:dyDescent="0.15">
      <c r="D92" s="1" t="s">
        <v>444</v>
      </c>
      <c r="E92" s="54">
        <f>E90*E91</f>
        <v>4421.25</v>
      </c>
      <c r="F92" t="s">
        <v>335</v>
      </c>
    </row>
    <row r="94" spans="4:7" x14ac:dyDescent="0.15">
      <c r="D94" t="s">
        <v>337</v>
      </c>
      <c r="E94">
        <f>Dialog!$B$3</f>
        <v>1</v>
      </c>
      <c r="F94" t="str">
        <f>IF(AND(E94&gt;=1,E94&lt;=3),"Hus",IF(AND(E94&gt;=4,E94&lt;=7),"Lejlighed",""))</f>
        <v>Hus</v>
      </c>
    </row>
    <row r="95" spans="4:7" x14ac:dyDescent="0.15">
      <c r="D95" s="1" t="s">
        <v>364</v>
      </c>
      <c r="E95" s="54">
        <f>IF(F94="Hus",E78,E92)</f>
        <v>7722</v>
      </c>
      <c r="F95" t="s">
        <v>335</v>
      </c>
    </row>
    <row r="98" spans="4:15" ht="14" thickBot="1" x14ac:dyDescent="0.2">
      <c r="D98" s="89" t="s">
        <v>313</v>
      </c>
      <c r="E98" t="s">
        <v>416</v>
      </c>
    </row>
    <row r="99" spans="4:15" x14ac:dyDescent="0.15">
      <c r="D99" s="1" t="s">
        <v>369</v>
      </c>
      <c r="H99" t="s">
        <v>365</v>
      </c>
    </row>
    <row r="100" spans="4:15" x14ac:dyDescent="0.15">
      <c r="D100" s="12" t="s">
        <v>435</v>
      </c>
      <c r="E100">
        <v>52</v>
      </c>
      <c r="F100" t="s">
        <v>370</v>
      </c>
      <c r="H100" t="s">
        <v>366</v>
      </c>
    </row>
    <row r="101" spans="4:15" x14ac:dyDescent="0.15">
      <c r="D101" s="12" t="s">
        <v>436</v>
      </c>
      <c r="E101">
        <v>26</v>
      </c>
      <c r="F101" t="s">
        <v>371</v>
      </c>
    </row>
    <row r="102" spans="4:15" x14ac:dyDescent="0.15">
      <c r="D102" s="12" t="s">
        <v>372</v>
      </c>
      <c r="E102">
        <f>Input!D8+Input!D29</f>
        <v>3</v>
      </c>
      <c r="H102" t="s">
        <v>367</v>
      </c>
    </row>
    <row r="103" spans="4:15" x14ac:dyDescent="0.15">
      <c r="D103" s="1" t="s">
        <v>373</v>
      </c>
      <c r="E103" s="1">
        <f>E100+(E101*E102)</f>
        <v>130</v>
      </c>
      <c r="H103" t="s">
        <v>368</v>
      </c>
    </row>
    <row r="105" spans="4:15" x14ac:dyDescent="0.15">
      <c r="D105" s="1" t="s">
        <v>374</v>
      </c>
      <c r="N105" t="s">
        <v>607</v>
      </c>
    </row>
    <row r="106" spans="4:15" x14ac:dyDescent="0.15">
      <c r="D106" s="12" t="s">
        <v>435</v>
      </c>
      <c r="E106">
        <v>33</v>
      </c>
      <c r="F106" t="s">
        <v>370</v>
      </c>
      <c r="H106" s="271" t="s">
        <v>1299</v>
      </c>
      <c r="I106" t="s">
        <v>604</v>
      </c>
      <c r="J106" t="s">
        <v>609</v>
      </c>
      <c r="N106" t="s">
        <v>606</v>
      </c>
      <c r="O106" t="s">
        <v>605</v>
      </c>
    </row>
    <row r="107" spans="4:15" x14ac:dyDescent="0.15">
      <c r="D107" s="12" t="s">
        <v>436</v>
      </c>
      <c r="E107">
        <v>21</v>
      </c>
      <c r="F107" t="s">
        <v>371</v>
      </c>
      <c r="H107" t="s">
        <v>161</v>
      </c>
      <c r="I107" s="91">
        <f>(7930.5-600)/130</f>
        <v>56.388461538461542</v>
      </c>
      <c r="J107" s="1">
        <v>600</v>
      </c>
      <c r="K107" s="40" t="s">
        <v>1108</v>
      </c>
      <c r="O107" s="271" t="s">
        <v>393</v>
      </c>
    </row>
    <row r="108" spans="4:15" x14ac:dyDescent="0.15">
      <c r="D108" s="12" t="s">
        <v>372</v>
      </c>
      <c r="E108">
        <f>Input!D8+Input!D29</f>
        <v>3</v>
      </c>
      <c r="H108" t="s">
        <v>600</v>
      </c>
      <c r="I108" s="91">
        <v>38.46</v>
      </c>
      <c r="J108" s="1">
        <v>1150</v>
      </c>
      <c r="K108" s="40" t="s">
        <v>1109</v>
      </c>
      <c r="O108" s="271" t="s">
        <v>393</v>
      </c>
    </row>
    <row r="109" spans="4:15" x14ac:dyDescent="0.15">
      <c r="D109" s="1" t="s">
        <v>373</v>
      </c>
      <c r="E109" s="1">
        <f>E106+(E107*E108)</f>
        <v>96</v>
      </c>
      <c r="H109" t="s">
        <v>601</v>
      </c>
      <c r="I109" s="91">
        <v>62.23</v>
      </c>
      <c r="J109" s="1">
        <v>507.45</v>
      </c>
      <c r="O109" s="271" t="s">
        <v>393</v>
      </c>
    </row>
    <row r="110" spans="4:15" x14ac:dyDescent="0.15">
      <c r="H110" t="s">
        <v>602</v>
      </c>
      <c r="I110" s="91">
        <v>61.78</v>
      </c>
      <c r="J110" s="1">
        <v>125</v>
      </c>
      <c r="O110" s="271" t="s">
        <v>393</v>
      </c>
    </row>
    <row r="111" spans="4:15" x14ac:dyDescent="0.15">
      <c r="D111" t="s">
        <v>337</v>
      </c>
      <c r="E111">
        <f>Dialog!$B$3</f>
        <v>1</v>
      </c>
      <c r="F111" t="str">
        <f>IF(AND(E111&gt;=1,E111&lt;=3),"Hus",IF(AND(E111&gt;=4,E111&lt;=7),"Lejlighed",""))</f>
        <v>Hus</v>
      </c>
      <c r="H111" t="s">
        <v>603</v>
      </c>
      <c r="I111" s="91">
        <f>(7930.5-600)/130</f>
        <v>56.388461538461542</v>
      </c>
      <c r="J111" s="1">
        <f>820+750</f>
        <v>1570</v>
      </c>
      <c r="K111" s="40" t="s">
        <v>608</v>
      </c>
      <c r="O111" s="271" t="s">
        <v>393</v>
      </c>
    </row>
    <row r="112" spans="4:15" x14ac:dyDescent="0.15">
      <c r="D112" s="1" t="s">
        <v>364</v>
      </c>
      <c r="E112" s="54">
        <f>IF(F111="Hus",E103,E109)</f>
        <v>130</v>
      </c>
      <c r="H112" t="s">
        <v>46</v>
      </c>
      <c r="I112" s="91">
        <v>46.4</v>
      </c>
      <c r="J112" s="1">
        <v>0</v>
      </c>
      <c r="K112" s="40" t="s">
        <v>1110</v>
      </c>
      <c r="O112" s="271" t="s">
        <v>393</v>
      </c>
    </row>
    <row r="113" spans="2:15" x14ac:dyDescent="0.15">
      <c r="B113" s="12"/>
      <c r="D113" t="s">
        <v>375</v>
      </c>
      <c r="E113" s="102">
        <f>VLOOKUP(Dialog!M3,Kommunedata!B4:U101,19)</f>
        <v>55.287115384615376</v>
      </c>
      <c r="F113" s="36" t="s">
        <v>610</v>
      </c>
      <c r="H113" t="s">
        <v>45</v>
      </c>
      <c r="I113" s="91">
        <f>13.96+47.5</f>
        <v>61.46</v>
      </c>
      <c r="J113" s="1">
        <v>850</v>
      </c>
      <c r="K113" s="40" t="s">
        <v>1111</v>
      </c>
      <c r="O113" s="271" t="s">
        <v>393</v>
      </c>
    </row>
    <row r="114" spans="2:15" x14ac:dyDescent="0.15">
      <c r="D114" t="s">
        <v>376</v>
      </c>
      <c r="E114" s="102">
        <f>VLOOKUP(Dialog!M3,Kommunedata!B4:U101,20)</f>
        <v>728.43124999999998</v>
      </c>
      <c r="H114" t="s">
        <v>148</v>
      </c>
      <c r="I114" s="91">
        <v>59.19</v>
      </c>
      <c r="J114" s="1">
        <v>1025</v>
      </c>
      <c r="K114" s="40" t="s">
        <v>1112</v>
      </c>
      <c r="O114" s="271" t="s">
        <v>393</v>
      </c>
    </row>
    <row r="115" spans="2:15" x14ac:dyDescent="0.15">
      <c r="D115" s="1" t="s">
        <v>377</v>
      </c>
      <c r="E115" s="54">
        <f>E112*E113+E114</f>
        <v>7915.7562499999985</v>
      </c>
      <c r="F115" s="1" t="s">
        <v>335</v>
      </c>
      <c r="H115" t="s">
        <v>73</v>
      </c>
      <c r="I115" s="91">
        <f>SUM(I107:I114)/8</f>
        <v>55.287115384615376</v>
      </c>
      <c r="J115" s="91">
        <f>SUM(J107:J114)/8</f>
        <v>728.43124999999998</v>
      </c>
    </row>
    <row r="116" spans="2:15" x14ac:dyDescent="0.15">
      <c r="J116" t="s">
        <v>1113</v>
      </c>
      <c r="K116" s="40" t="s">
        <v>1114</v>
      </c>
    </row>
    <row r="118" spans="2:15" ht="14" thickBot="1" x14ac:dyDescent="0.2">
      <c r="D118" s="89" t="s">
        <v>92</v>
      </c>
      <c r="E118" t="s">
        <v>457</v>
      </c>
      <c r="G118" t="s">
        <v>418</v>
      </c>
      <c r="H118" s="40" t="s">
        <v>419</v>
      </c>
    </row>
    <row r="119" spans="2:15" x14ac:dyDescent="0.15">
      <c r="D119" t="s">
        <v>462</v>
      </c>
      <c r="E119">
        <v>139</v>
      </c>
      <c r="H119" s="40" t="s">
        <v>420</v>
      </c>
    </row>
    <row r="120" spans="2:15" x14ac:dyDescent="0.15">
      <c r="D120" t="s">
        <v>723</v>
      </c>
      <c r="E120">
        <v>139</v>
      </c>
      <c r="H120" s="40"/>
    </row>
    <row r="121" spans="2:15" x14ac:dyDescent="0.15">
      <c r="D121" t="s">
        <v>463</v>
      </c>
      <c r="E121">
        <v>100</v>
      </c>
    </row>
    <row r="122" spans="2:15" x14ac:dyDescent="0.15">
      <c r="D122" t="s">
        <v>464</v>
      </c>
      <c r="E122">
        <v>90</v>
      </c>
      <c r="H122" s="40"/>
    </row>
    <row r="123" spans="2:15" x14ac:dyDescent="0.15">
      <c r="D123" t="s">
        <v>465</v>
      </c>
      <c r="E123">
        <v>90</v>
      </c>
      <c r="H123" s="40"/>
    </row>
    <row r="124" spans="2:15" x14ac:dyDescent="0.15">
      <c r="D124" t="s">
        <v>458</v>
      </c>
      <c r="E124">
        <f>Input!D35</f>
        <v>0</v>
      </c>
      <c r="H124" s="40"/>
    </row>
    <row r="125" spans="2:15" x14ac:dyDescent="0.15">
      <c r="D125" t="s">
        <v>468</v>
      </c>
      <c r="E125">
        <f>Input!D8</f>
        <v>2</v>
      </c>
    </row>
    <row r="126" spans="2:15" x14ac:dyDescent="0.15">
      <c r="D126" t="s">
        <v>469</v>
      </c>
      <c r="E126">
        <f>Input!D29</f>
        <v>1</v>
      </c>
    </row>
    <row r="128" spans="2:15" x14ac:dyDescent="0.15">
      <c r="D128" s="1" t="s">
        <v>1276</v>
      </c>
      <c r="F128" s="1">
        <v>1</v>
      </c>
    </row>
    <row r="129" spans="4:7" x14ac:dyDescent="0.15">
      <c r="D129" s="271" t="s">
        <v>1278</v>
      </c>
      <c r="E129" s="54">
        <f>'Data-DS'!E185</f>
        <v>4611.1000000000004</v>
      </c>
    </row>
    <row r="131" spans="4:7" x14ac:dyDescent="0.15">
      <c r="D131" s="1" t="s">
        <v>456</v>
      </c>
      <c r="E131" s="54">
        <f>$E$124*E132</f>
        <v>0</v>
      </c>
      <c r="F131" s="1">
        <v>2</v>
      </c>
    </row>
    <row r="132" spans="4:7" x14ac:dyDescent="0.15">
      <c r="D132" t="s">
        <v>461</v>
      </c>
      <c r="E132" s="5">
        <v>125</v>
      </c>
      <c r="F132" t="s">
        <v>335</v>
      </c>
    </row>
    <row r="133" spans="4:7" x14ac:dyDescent="0.15">
      <c r="D133" t="s">
        <v>466</v>
      </c>
      <c r="E133" s="5">
        <f>E124-E119</f>
        <v>-139</v>
      </c>
      <c r="F133" t="s">
        <v>84</v>
      </c>
    </row>
    <row r="134" spans="4:7" x14ac:dyDescent="0.15">
      <c r="D134" s="36" t="s">
        <v>467</v>
      </c>
      <c r="E134" s="5">
        <f>E132*E133</f>
        <v>-17375</v>
      </c>
      <c r="F134" t="s">
        <v>335</v>
      </c>
    </row>
    <row r="135" spans="4:7" x14ac:dyDescent="0.15">
      <c r="D135" t="s">
        <v>471</v>
      </c>
      <c r="E135" s="5">
        <f>E131+E134</f>
        <v>-17375</v>
      </c>
      <c r="F135" t="s">
        <v>335</v>
      </c>
    </row>
    <row r="136" spans="4:7" x14ac:dyDescent="0.15">
      <c r="D136" t="s">
        <v>470</v>
      </c>
      <c r="E136" s="5">
        <v>-3000</v>
      </c>
      <c r="F136" t="s">
        <v>335</v>
      </c>
    </row>
    <row r="137" spans="4:7" x14ac:dyDescent="0.15">
      <c r="D137" t="s">
        <v>472</v>
      </c>
      <c r="E137" s="5">
        <f>IF($E$125&lt;2,E135+E136,E135)</f>
        <v>-17375</v>
      </c>
      <c r="F137" t="s">
        <v>335</v>
      </c>
    </row>
    <row r="138" spans="4:7" x14ac:dyDescent="0.15">
      <c r="D138" t="s">
        <v>726</v>
      </c>
      <c r="E138" s="5">
        <f>IF(E137&lt;=0,0,E137)</f>
        <v>0</v>
      </c>
    </row>
    <row r="139" spans="4:7" x14ac:dyDescent="0.15">
      <c r="D139" t="s">
        <v>475</v>
      </c>
      <c r="E139" s="5">
        <v>-2000</v>
      </c>
      <c r="F139" t="s">
        <v>335</v>
      </c>
    </row>
    <row r="140" spans="4:7" x14ac:dyDescent="0.15">
      <c r="D140" t="s">
        <v>473</v>
      </c>
      <c r="E140" s="5">
        <f>IF($E$126=0,E138+E139,E138)</f>
        <v>0</v>
      </c>
      <c r="F140" t="s">
        <v>335</v>
      </c>
    </row>
    <row r="141" spans="4:7" x14ac:dyDescent="0.15">
      <c r="D141" t="s">
        <v>728</v>
      </c>
      <c r="E141" s="5">
        <f>IF(E140&lt;=G141,G141,E140)</f>
        <v>6000</v>
      </c>
      <c r="F141" t="s">
        <v>727</v>
      </c>
      <c r="G141" s="5">
        <v>6000</v>
      </c>
    </row>
    <row r="142" spans="4:7" x14ac:dyDescent="0.15">
      <c r="E142" s="5"/>
    </row>
    <row r="143" spans="4:7" x14ac:dyDescent="0.15">
      <c r="D143" s="1" t="s">
        <v>725</v>
      </c>
      <c r="E143" s="54">
        <f>$E$124*E144</f>
        <v>0</v>
      </c>
      <c r="F143" s="1">
        <v>3</v>
      </c>
    </row>
    <row r="144" spans="4:7" x14ac:dyDescent="0.15">
      <c r="D144" t="s">
        <v>461</v>
      </c>
      <c r="E144" s="5">
        <v>20</v>
      </c>
      <c r="F144" t="s">
        <v>335</v>
      </c>
    </row>
    <row r="145" spans="4:7" x14ac:dyDescent="0.15">
      <c r="D145" t="s">
        <v>466</v>
      </c>
      <c r="E145" s="5">
        <f>E124-E120</f>
        <v>-139</v>
      </c>
      <c r="F145" t="s">
        <v>84</v>
      </c>
    </row>
    <row r="146" spans="4:7" x14ac:dyDescent="0.15">
      <c r="D146" s="36" t="s">
        <v>467</v>
      </c>
      <c r="E146" s="5">
        <f>E144*E145</f>
        <v>-2780</v>
      </c>
      <c r="F146" t="s">
        <v>335</v>
      </c>
    </row>
    <row r="147" spans="4:7" x14ac:dyDescent="0.15">
      <c r="D147" t="s">
        <v>471</v>
      </c>
      <c r="E147" s="5">
        <f>E143+E146</f>
        <v>-2780</v>
      </c>
      <c r="F147" t="s">
        <v>335</v>
      </c>
    </row>
    <row r="148" spans="4:7" x14ac:dyDescent="0.15">
      <c r="D148" t="s">
        <v>470</v>
      </c>
      <c r="E148" s="5">
        <v>-3000</v>
      </c>
      <c r="F148" t="s">
        <v>335</v>
      </c>
    </row>
    <row r="149" spans="4:7" x14ac:dyDescent="0.15">
      <c r="D149" t="s">
        <v>472</v>
      </c>
      <c r="E149" s="5">
        <f>IF($E$125&lt;2,E147+E148,E147)</f>
        <v>-2780</v>
      </c>
      <c r="F149" t="s">
        <v>335</v>
      </c>
    </row>
    <row r="150" spans="4:7" x14ac:dyDescent="0.15">
      <c r="D150" t="s">
        <v>726</v>
      </c>
      <c r="E150" s="5">
        <f>IF(E149&lt;=0,0,E149)</f>
        <v>0</v>
      </c>
    </row>
    <row r="151" spans="4:7" x14ac:dyDescent="0.15">
      <c r="D151" t="s">
        <v>475</v>
      </c>
      <c r="E151" s="5">
        <v>-4000</v>
      </c>
      <c r="F151" t="s">
        <v>335</v>
      </c>
    </row>
    <row r="152" spans="4:7" x14ac:dyDescent="0.15">
      <c r="D152" t="s">
        <v>473</v>
      </c>
      <c r="E152" s="5">
        <f>IF($E$126=0,E150+E151,E150)</f>
        <v>0</v>
      </c>
      <c r="F152" t="s">
        <v>335</v>
      </c>
    </row>
    <row r="153" spans="4:7" x14ac:dyDescent="0.15">
      <c r="D153" t="s">
        <v>728</v>
      </c>
      <c r="E153" s="5">
        <f>IF(E152&lt;=G153,G153,E152)</f>
        <v>2000</v>
      </c>
      <c r="F153" t="s">
        <v>727</v>
      </c>
      <c r="G153" s="5">
        <v>2000</v>
      </c>
    </row>
    <row r="154" spans="4:7" x14ac:dyDescent="0.15">
      <c r="E154" s="5"/>
    </row>
    <row r="155" spans="4:7" x14ac:dyDescent="0.15">
      <c r="D155" s="1" t="s">
        <v>433</v>
      </c>
      <c r="E155" s="54">
        <f>$E$124*E156</f>
        <v>0</v>
      </c>
      <c r="F155" s="1">
        <v>4</v>
      </c>
    </row>
    <row r="156" spans="4:7" x14ac:dyDescent="0.15">
      <c r="D156" t="s">
        <v>461</v>
      </c>
      <c r="E156" s="5">
        <v>35</v>
      </c>
      <c r="F156" t="s">
        <v>335</v>
      </c>
    </row>
    <row r="157" spans="4:7" x14ac:dyDescent="0.15">
      <c r="D157" t="s">
        <v>466</v>
      </c>
      <c r="E157" s="5">
        <f>E124-E121</f>
        <v>-100</v>
      </c>
      <c r="F157" t="s">
        <v>84</v>
      </c>
    </row>
    <row r="158" spans="4:7" x14ac:dyDescent="0.15">
      <c r="D158" s="36" t="s">
        <v>467</v>
      </c>
      <c r="E158" s="5">
        <f>E156*E157</f>
        <v>-3500</v>
      </c>
      <c r="F158" t="s">
        <v>335</v>
      </c>
    </row>
    <row r="159" spans="4:7" x14ac:dyDescent="0.15">
      <c r="D159" t="s">
        <v>471</v>
      </c>
      <c r="E159" s="5">
        <f>E155+E158</f>
        <v>-3500</v>
      </c>
      <c r="F159" t="s">
        <v>335</v>
      </c>
    </row>
    <row r="160" spans="4:7" x14ac:dyDescent="0.15">
      <c r="D160" t="s">
        <v>470</v>
      </c>
      <c r="E160" s="5">
        <v>-5000</v>
      </c>
      <c r="F160" t="s">
        <v>335</v>
      </c>
      <c r="G160" s="36" t="s">
        <v>740</v>
      </c>
    </row>
    <row r="161" spans="4:7" x14ac:dyDescent="0.15">
      <c r="D161" t="s">
        <v>472</v>
      </c>
      <c r="E161" s="5">
        <f>IF($E$125&lt;2,E159+E160,E159)</f>
        <v>-3500</v>
      </c>
      <c r="F161" t="s">
        <v>335</v>
      </c>
    </row>
    <row r="162" spans="4:7" x14ac:dyDescent="0.15">
      <c r="D162" t="s">
        <v>726</v>
      </c>
      <c r="E162" s="5">
        <f>IF(E161&lt;=0,0,E161)</f>
        <v>0</v>
      </c>
    </row>
    <row r="163" spans="4:7" x14ac:dyDescent="0.15">
      <c r="D163" t="s">
        <v>475</v>
      </c>
      <c r="E163" s="5">
        <v>-4000</v>
      </c>
      <c r="F163" t="s">
        <v>335</v>
      </c>
    </row>
    <row r="164" spans="4:7" x14ac:dyDescent="0.15">
      <c r="D164" t="s">
        <v>473</v>
      </c>
      <c r="E164" s="5">
        <f>IF($E$126=0,E162+E163,E162)</f>
        <v>0</v>
      </c>
      <c r="F164" t="s">
        <v>335</v>
      </c>
    </row>
    <row r="165" spans="4:7" x14ac:dyDescent="0.15">
      <c r="D165" t="s">
        <v>728</v>
      </c>
      <c r="E165" s="5">
        <f>IF(E164&lt;=G165,G165,E164)</f>
        <v>5000</v>
      </c>
      <c r="F165" t="s">
        <v>727</v>
      </c>
      <c r="G165" s="5">
        <v>5000</v>
      </c>
    </row>
    <row r="166" spans="4:7" x14ac:dyDescent="0.15">
      <c r="E166" s="5"/>
    </row>
    <row r="167" spans="4:7" x14ac:dyDescent="0.15">
      <c r="D167" s="1" t="s">
        <v>304</v>
      </c>
      <c r="E167" s="54">
        <f>$E$124*E168</f>
        <v>0</v>
      </c>
      <c r="F167" s="1">
        <v>5</v>
      </c>
    </row>
    <row r="168" spans="4:7" x14ac:dyDescent="0.15">
      <c r="D168" t="s">
        <v>461</v>
      </c>
      <c r="E168" s="5">
        <v>10</v>
      </c>
      <c r="F168" t="s">
        <v>335</v>
      </c>
      <c r="G168" t="s">
        <v>724</v>
      </c>
    </row>
    <row r="169" spans="4:7" x14ac:dyDescent="0.15">
      <c r="D169" t="s">
        <v>466</v>
      </c>
      <c r="E169" s="5">
        <f>E124-E122</f>
        <v>-90</v>
      </c>
      <c r="F169" t="s">
        <v>84</v>
      </c>
    </row>
    <row r="170" spans="4:7" x14ac:dyDescent="0.15">
      <c r="D170" s="36" t="s">
        <v>467</v>
      </c>
      <c r="E170" s="5">
        <f>E168*E169</f>
        <v>-900</v>
      </c>
      <c r="F170" t="s">
        <v>335</v>
      </c>
    </row>
    <row r="171" spans="4:7" x14ac:dyDescent="0.15">
      <c r="D171" t="s">
        <v>471</v>
      </c>
      <c r="E171" s="5">
        <f>E167+E170</f>
        <v>-900</v>
      </c>
      <c r="F171" t="s">
        <v>335</v>
      </c>
    </row>
    <row r="172" spans="4:7" x14ac:dyDescent="0.15">
      <c r="D172" t="s">
        <v>470</v>
      </c>
      <c r="E172" s="5">
        <v>-3200</v>
      </c>
      <c r="F172" t="s">
        <v>335</v>
      </c>
    </row>
    <row r="173" spans="4:7" x14ac:dyDescent="0.15">
      <c r="D173" t="s">
        <v>472</v>
      </c>
      <c r="E173" s="5">
        <f>IF($E$125&lt;2,E171+E172,E171)</f>
        <v>-900</v>
      </c>
      <c r="F173" t="s">
        <v>335</v>
      </c>
    </row>
    <row r="174" spans="4:7" x14ac:dyDescent="0.15">
      <c r="D174" t="s">
        <v>726</v>
      </c>
      <c r="E174" s="5">
        <f>IF(E173&lt;=0,0,E173)</f>
        <v>0</v>
      </c>
    </row>
    <row r="175" spans="4:7" x14ac:dyDescent="0.15">
      <c r="D175" t="s">
        <v>475</v>
      </c>
      <c r="E175" s="5">
        <v>-4000</v>
      </c>
      <c r="F175" t="s">
        <v>335</v>
      </c>
    </row>
    <row r="176" spans="4:7" x14ac:dyDescent="0.15">
      <c r="D176" t="s">
        <v>473</v>
      </c>
      <c r="E176" s="5">
        <f>IF($E$126=0,E174+E175,E174)</f>
        <v>0</v>
      </c>
      <c r="F176" t="s">
        <v>335</v>
      </c>
    </row>
    <row r="177" spans="4:7" x14ac:dyDescent="0.15">
      <c r="D177" t="s">
        <v>728</v>
      </c>
      <c r="E177" s="5">
        <f>IF(E176&lt;=G177,G177,E176)</f>
        <v>1000</v>
      </c>
      <c r="F177" t="s">
        <v>727</v>
      </c>
      <c r="G177" s="5">
        <v>1000</v>
      </c>
    </row>
    <row r="178" spans="4:7" x14ac:dyDescent="0.15">
      <c r="E178" s="5"/>
    </row>
    <row r="179" spans="4:7" x14ac:dyDescent="0.15">
      <c r="D179" s="1" t="s">
        <v>305</v>
      </c>
      <c r="E179" s="54">
        <f>$E$124*E180</f>
        <v>0</v>
      </c>
      <c r="F179" s="1">
        <v>6</v>
      </c>
    </row>
    <row r="180" spans="4:7" x14ac:dyDescent="0.15">
      <c r="D180" t="s">
        <v>461</v>
      </c>
      <c r="E180" s="5">
        <v>30</v>
      </c>
      <c r="F180" t="s">
        <v>335</v>
      </c>
    </row>
    <row r="181" spans="4:7" x14ac:dyDescent="0.15">
      <c r="D181" t="s">
        <v>466</v>
      </c>
      <c r="E181" s="5">
        <f>E124-E123</f>
        <v>-90</v>
      </c>
      <c r="F181" t="s">
        <v>84</v>
      </c>
    </row>
    <row r="182" spans="4:7" x14ac:dyDescent="0.15">
      <c r="D182" s="36" t="s">
        <v>467</v>
      </c>
      <c r="E182" s="5">
        <f>E180*E181</f>
        <v>-2700</v>
      </c>
      <c r="F182" t="s">
        <v>335</v>
      </c>
    </row>
    <row r="183" spans="4:7" x14ac:dyDescent="0.15">
      <c r="D183" t="s">
        <v>471</v>
      </c>
      <c r="E183" s="5">
        <f>E179+E182</f>
        <v>-2700</v>
      </c>
      <c r="F183" t="s">
        <v>335</v>
      </c>
    </row>
    <row r="184" spans="4:7" x14ac:dyDescent="0.15">
      <c r="D184" t="s">
        <v>470</v>
      </c>
      <c r="E184" s="5">
        <v>-4000</v>
      </c>
      <c r="F184" t="s">
        <v>335</v>
      </c>
    </row>
    <row r="185" spans="4:7" x14ac:dyDescent="0.15">
      <c r="D185" t="s">
        <v>472</v>
      </c>
      <c r="E185" s="5">
        <f>IF($E$125&lt;2,E183+E184,E183)</f>
        <v>-2700</v>
      </c>
      <c r="F185" t="s">
        <v>335</v>
      </c>
    </row>
    <row r="186" spans="4:7" x14ac:dyDescent="0.15">
      <c r="D186" t="s">
        <v>726</v>
      </c>
      <c r="E186" s="5">
        <f>IF(E185&lt;=0,0,E185)</f>
        <v>0</v>
      </c>
    </row>
    <row r="187" spans="4:7" x14ac:dyDescent="0.15">
      <c r="D187" t="s">
        <v>475</v>
      </c>
      <c r="E187" s="5">
        <v>-4000</v>
      </c>
      <c r="F187" t="s">
        <v>335</v>
      </c>
    </row>
    <row r="188" spans="4:7" x14ac:dyDescent="0.15">
      <c r="D188" t="s">
        <v>473</v>
      </c>
      <c r="E188" s="5">
        <f>IF($E$126=0,E186+E187,E186)</f>
        <v>0</v>
      </c>
      <c r="F188" t="s">
        <v>335</v>
      </c>
    </row>
    <row r="189" spans="4:7" x14ac:dyDescent="0.15">
      <c r="D189" t="s">
        <v>728</v>
      </c>
      <c r="E189" s="5">
        <f>IF(E188&lt;=G189,G189,E188)</f>
        <v>3000</v>
      </c>
      <c r="F189" t="s">
        <v>727</v>
      </c>
      <c r="G189" s="5">
        <v>3000</v>
      </c>
    </row>
    <row r="190" spans="4:7" x14ac:dyDescent="0.15">
      <c r="E190" s="5"/>
    </row>
    <row r="191" spans="4:7" x14ac:dyDescent="0.15">
      <c r="D191" s="1" t="s">
        <v>722</v>
      </c>
      <c r="E191" s="5"/>
      <c r="F191" s="1">
        <v>7</v>
      </c>
    </row>
    <row r="192" spans="4:7" x14ac:dyDescent="0.15">
      <c r="D192" s="271" t="s">
        <v>1277</v>
      </c>
      <c r="E192" s="54">
        <v>0</v>
      </c>
    </row>
    <row r="193" spans="4:10" x14ac:dyDescent="0.15">
      <c r="E193" s="5"/>
    </row>
    <row r="194" spans="4:10" x14ac:dyDescent="0.15">
      <c r="D194" t="s">
        <v>459</v>
      </c>
      <c r="E194" s="5">
        <f>Dialog!B3</f>
        <v>1</v>
      </c>
    </row>
    <row r="195" spans="4:10" x14ac:dyDescent="0.15">
      <c r="D195" s="1" t="s">
        <v>460</v>
      </c>
      <c r="E195" s="54">
        <f>IF(E194=1,E129,IF(E194=2,E141,IF(E194=3,E153,IF(E194=4,E165,IF(E194=5,E177,IF(E194=6,E189,E192))))))</f>
        <v>4611.1000000000004</v>
      </c>
    </row>
    <row r="196" spans="4:10" x14ac:dyDescent="0.15">
      <c r="D196" s="1"/>
      <c r="E196" s="54"/>
    </row>
    <row r="197" spans="4:10" x14ac:dyDescent="0.15">
      <c r="D197" s="1"/>
      <c r="E197" s="54"/>
    </row>
    <row r="199" spans="4:10" ht="14" thickBot="1" x14ac:dyDescent="0.2">
      <c r="D199" s="89" t="s">
        <v>503</v>
      </c>
      <c r="G199" t="s">
        <v>492</v>
      </c>
    </row>
    <row r="200" spans="4:10" x14ac:dyDescent="0.15">
      <c r="D200" s="44" t="s">
        <v>499</v>
      </c>
      <c r="E200">
        <f>Input!D25</f>
        <v>1</v>
      </c>
      <c r="F200" t="s">
        <v>498</v>
      </c>
      <c r="H200" s="113" t="s">
        <v>478</v>
      </c>
    </row>
    <row r="201" spans="4:10" x14ac:dyDescent="0.15">
      <c r="D201" s="44" t="s">
        <v>500</v>
      </c>
      <c r="E201">
        <f>Input!D26</f>
        <v>0</v>
      </c>
      <c r="F201" t="s">
        <v>498</v>
      </c>
    </row>
    <row r="202" spans="4:10" x14ac:dyDescent="0.15">
      <c r="D202" s="44" t="s">
        <v>501</v>
      </c>
      <c r="E202">
        <f>Input!D27</f>
        <v>0</v>
      </c>
      <c r="F202" t="s">
        <v>498</v>
      </c>
    </row>
    <row r="203" spans="4:10" x14ac:dyDescent="0.15">
      <c r="D203" s="86" t="s">
        <v>502</v>
      </c>
      <c r="E203">
        <f>SUM(E200:E202)</f>
        <v>1</v>
      </c>
    </row>
    <row r="204" spans="4:10" x14ac:dyDescent="0.15">
      <c r="D204" s="44" t="s">
        <v>499</v>
      </c>
      <c r="E204">
        <f>IF(E200&gt;1,(1+(E200-1)*0.5),E200)</f>
        <v>1</v>
      </c>
      <c r="F204" s="12" t="s">
        <v>656</v>
      </c>
    </row>
    <row r="205" spans="4:10" x14ac:dyDescent="0.15">
      <c r="D205" s="44" t="s">
        <v>500</v>
      </c>
      <c r="E205">
        <f>IF(E201=0,0,IF(E204&gt;0,E201*0.5,IF(AND(E204=0,E201=1),1,1+(E201-1)*0.5)))</f>
        <v>0</v>
      </c>
      <c r="F205" s="12" t="s">
        <v>656</v>
      </c>
      <c r="G205" s="36"/>
    </row>
    <row r="206" spans="4:10" x14ac:dyDescent="0.15">
      <c r="D206" s="44" t="s">
        <v>501</v>
      </c>
      <c r="E206">
        <f>IF(E202=0,0,IF(E200+E201&gt;0,E202*0.5,IF(E202=1,1,IF(E202&gt;1,1+(E202-1)*0.5))))</f>
        <v>0</v>
      </c>
      <c r="F206" s="12" t="s">
        <v>656</v>
      </c>
      <c r="J206" s="36"/>
    </row>
    <row r="208" spans="4:10" ht="14" thickBot="1" x14ac:dyDescent="0.2">
      <c r="D208" s="13"/>
      <c r="E208" s="13"/>
      <c r="F208" s="13"/>
      <c r="G208" s="13"/>
      <c r="H208" s="13"/>
      <c r="I208" s="13"/>
    </row>
    <row r="210" spans="4:4" x14ac:dyDescent="0.15">
      <c r="D210" s="1"/>
    </row>
  </sheetData>
  <phoneticPr fontId="12" type="noConversion"/>
  <hyperlinks>
    <hyperlink ref="K3" r:id="rId1" xr:uid="{00000000-0004-0000-0500-000000000000}"/>
    <hyperlink ref="H118" r:id="rId2" xr:uid="{00000000-0004-0000-0500-000001000000}"/>
    <hyperlink ref="H119" r:id="rId3" xr:uid="{00000000-0004-0000-0500-000002000000}"/>
    <hyperlink ref="S22" r:id="rId4" xr:uid="{00000000-0004-0000-0500-000003000000}"/>
    <hyperlink ref="H200" r:id="rId5" display="http://tilskuddanmark.dk/b%c3%b8rn/b%c3%b8rnepenge/s%c3%b8skendetilskud-eller-s%c3%b8skenderabat/" xr:uid="{00000000-0004-0000-0500-000004000000}"/>
    <hyperlink ref="S36" r:id="rId6" xr:uid="{00000000-0004-0000-0500-000005000000}"/>
    <hyperlink ref="K107" r:id="rId7" xr:uid="{00000000-0004-0000-0500-000006000000}"/>
    <hyperlink ref="K111" r:id="rId8" xr:uid="{00000000-0004-0000-0500-000007000000}"/>
    <hyperlink ref="K112" r:id="rId9" xr:uid="{00000000-0004-0000-0500-000008000000}"/>
    <hyperlink ref="K108" r:id="rId10" xr:uid="{00000000-0004-0000-0500-000009000000}"/>
    <hyperlink ref="K113" r:id="rId11" display="http://www.energiviborg.dk/forside/vand/vandpriser/1875-vandpriser-2014" xr:uid="{00000000-0004-0000-0500-00000A000000}"/>
    <hyperlink ref="K114" r:id="rId12" xr:uid="{00000000-0004-0000-0500-00000B000000}"/>
    <hyperlink ref="K116" r:id="rId13" xr:uid="{00000000-0004-0000-0500-00000D000000}"/>
    <hyperlink ref="S39" r:id="rId14" xr:uid="{00000000-0004-0000-0500-00000F000000}"/>
    <hyperlink ref="S45" r:id="rId15" xr:uid="{00000000-0004-0000-0500-000010000000}"/>
    <hyperlink ref="K4" r:id="rId16" xr:uid="{11871D57-2C6E-B849-BB18-4DB0789F5F23}"/>
  </hyperlinks>
  <pageMargins left="0.75" right="0.75" top="1" bottom="1" header="0" footer="0"/>
  <pageSetup paperSize="9" orientation="portrait"/>
  <legacyDrawing r:id="rId17"/>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J41"/>
  <sheetViews>
    <sheetView topLeftCell="A5" zoomScale="125" zoomScaleNormal="125" zoomScalePageLayoutView="125" workbookViewId="0">
      <selection activeCell="B1" sqref="B1"/>
    </sheetView>
  </sheetViews>
  <sheetFormatPr baseColWidth="10" defaultColWidth="8.83203125" defaultRowHeight="13" x14ac:dyDescent="0.15"/>
  <cols>
    <col min="1" max="1" width="3.6640625" customWidth="1"/>
    <col min="2" max="2" width="57.1640625" customWidth="1"/>
    <col min="3" max="3" width="11.5" customWidth="1"/>
    <col min="4" max="4" width="15.6640625" customWidth="1"/>
    <col min="5" max="5" width="13.5" customWidth="1"/>
    <col min="6" max="6" width="17" customWidth="1"/>
    <col min="7" max="7" width="12" customWidth="1"/>
    <col min="8" max="8" width="3" customWidth="1"/>
  </cols>
  <sheetData>
    <row r="1" spans="2:10" x14ac:dyDescent="0.15">
      <c r="B1" s="1" t="s">
        <v>572</v>
      </c>
      <c r="C1" s="271" t="s">
        <v>1288</v>
      </c>
    </row>
    <row r="2" spans="2:10" x14ac:dyDescent="0.15">
      <c r="B2" s="12" t="s">
        <v>573</v>
      </c>
    </row>
    <row r="3" spans="2:10" x14ac:dyDescent="0.15">
      <c r="B3" s="12"/>
    </row>
    <row r="4" spans="2:10" x14ac:dyDescent="0.15">
      <c r="B4" s="12"/>
    </row>
    <row r="5" spans="2:10" ht="31.5" customHeight="1" x14ac:dyDescent="0.15">
      <c r="B5" s="12"/>
      <c r="D5" s="164" t="s">
        <v>584</v>
      </c>
      <c r="E5" s="164" t="s">
        <v>585</v>
      </c>
      <c r="F5" s="164" t="s">
        <v>588</v>
      </c>
      <c r="G5" s="169" t="s">
        <v>586</v>
      </c>
    </row>
    <row r="6" spans="2:10" x14ac:dyDescent="0.15">
      <c r="B6" s="85" t="s">
        <v>575</v>
      </c>
      <c r="G6" s="170">
        <f>IF(Input!D8&lt;=1,1,0)</f>
        <v>0</v>
      </c>
    </row>
    <row r="7" spans="2:10" x14ac:dyDescent="0.15">
      <c r="B7" s="162" t="s">
        <v>574</v>
      </c>
      <c r="C7" s="165">
        <f>Input!E13</f>
        <v>17685.592608837138</v>
      </c>
      <c r="D7" s="163" t="str">
        <f>IF(G6=1,C7,"")</f>
        <v/>
      </c>
      <c r="E7" s="163" t="str">
        <f>IF(D7="","",D7*12)</f>
        <v/>
      </c>
      <c r="F7" s="163" t="str">
        <f>IF(E7="","",IF(E7-$C$23&gt;0,E7-$C$23,""))</f>
        <v/>
      </c>
      <c r="G7" s="170"/>
    </row>
    <row r="8" spans="2:10" x14ac:dyDescent="0.15">
      <c r="B8" s="162"/>
      <c r="G8" s="170"/>
    </row>
    <row r="9" spans="2:10" x14ac:dyDescent="0.15">
      <c r="B9" s="85" t="s">
        <v>576</v>
      </c>
      <c r="G9" s="171"/>
    </row>
    <row r="10" spans="2:10" x14ac:dyDescent="0.15">
      <c r="B10" s="162" t="s">
        <v>578</v>
      </c>
      <c r="C10" t="str">
        <f>IF(G10=1,"Ugifte","Gifte")</f>
        <v>Ugifte</v>
      </c>
      <c r="G10" s="172">
        <f>Dialog!P3</f>
        <v>1</v>
      </c>
      <c r="H10" s="12"/>
      <c r="I10" s="200" t="s">
        <v>665</v>
      </c>
      <c r="J10" s="12"/>
    </row>
    <row r="11" spans="2:10" x14ac:dyDescent="0.15">
      <c r="B11" s="162"/>
      <c r="G11" s="172"/>
      <c r="H11" s="12"/>
      <c r="J11" s="12"/>
    </row>
    <row r="12" spans="2:10" x14ac:dyDescent="0.15">
      <c r="B12" s="85" t="s">
        <v>577</v>
      </c>
      <c r="C12" s="116"/>
      <c r="D12" s="116"/>
      <c r="E12" s="116"/>
      <c r="F12" s="116"/>
      <c r="G12" s="173"/>
    </row>
    <row r="13" spans="2:10" x14ac:dyDescent="0.15">
      <c r="B13" s="12" t="s">
        <v>587</v>
      </c>
      <c r="C13" s="165">
        <f>I20</f>
        <v>17685.592608837138</v>
      </c>
      <c r="D13" s="163">
        <f>IF(AND(G6=0,G10=1),C13,"")</f>
        <v>17685.592608837138</v>
      </c>
      <c r="E13" s="163">
        <f>IF(D13="","",D13*12)</f>
        <v>212227.11130604567</v>
      </c>
      <c r="F13" s="163" t="str">
        <f>IF(E13="","",IF(E13-$C$23&gt;0,E13-$C$23,""))</f>
        <v/>
      </c>
      <c r="G13" s="163"/>
      <c r="H13" s="56"/>
      <c r="I13" s="56" t="s">
        <v>663</v>
      </c>
    </row>
    <row r="14" spans="2:10" x14ac:dyDescent="0.15">
      <c r="B14" s="12"/>
      <c r="C14" s="5"/>
      <c r="D14" s="5"/>
      <c r="E14" s="5"/>
      <c r="F14" s="5"/>
      <c r="G14" s="163"/>
      <c r="H14" s="56"/>
      <c r="I14" s="5">
        <f>Input!E13</f>
        <v>17685.592608837138</v>
      </c>
    </row>
    <row r="15" spans="2:10" x14ac:dyDescent="0.15">
      <c r="B15" s="85" t="s">
        <v>579</v>
      </c>
      <c r="C15" s="5"/>
      <c r="D15" s="5"/>
      <c r="E15" s="5"/>
      <c r="F15" s="5"/>
      <c r="G15" s="163"/>
      <c r="H15" s="56"/>
      <c r="I15" s="5">
        <f>Input!E14</f>
        <v>176855.9260883714</v>
      </c>
    </row>
    <row r="16" spans="2:10" x14ac:dyDescent="0.15">
      <c r="B16" s="162" t="s">
        <v>593</v>
      </c>
      <c r="C16" s="166">
        <f>Input!E13</f>
        <v>17685.592608837138</v>
      </c>
      <c r="D16" s="163" t="str">
        <f>IF(AND(G6=0,D13=""),C16,"")</f>
        <v/>
      </c>
      <c r="E16" s="163" t="str">
        <f>IF(D16="","",D16*12)</f>
        <v/>
      </c>
      <c r="F16" s="163" t="str">
        <f>IF(E16="","",IF(E16-$C$23&gt;0,E16-$C$23,""))</f>
        <v/>
      </c>
      <c r="G16" s="163"/>
      <c r="H16" s="5"/>
      <c r="I16" s="5">
        <f>Input!E15</f>
        <v>0</v>
      </c>
    </row>
    <row r="17" spans="2:10" x14ac:dyDescent="0.15">
      <c r="B17" s="162" t="s">
        <v>594</v>
      </c>
      <c r="C17" s="167">
        <f>Input!E14</f>
        <v>176855.9260883714</v>
      </c>
      <c r="D17" s="163" t="str">
        <f>IF(AND(G6=0,G10=2),C17,"")</f>
        <v/>
      </c>
      <c r="E17" s="163" t="str">
        <f>IF(D17="","",D17*12)</f>
        <v/>
      </c>
      <c r="F17" s="163" t="str">
        <f>IF(E17="","",IF(E17-$C$23&gt;0,E17-$C$23,""))</f>
        <v/>
      </c>
      <c r="G17" s="170"/>
      <c r="I17" s="5">
        <f>Input!E16</f>
        <v>0</v>
      </c>
    </row>
    <row r="18" spans="2:10" x14ac:dyDescent="0.15">
      <c r="B18" s="162" t="s">
        <v>580</v>
      </c>
      <c r="C18" s="5">
        <f>C16+C17</f>
        <v>194541.51869720855</v>
      </c>
      <c r="D18" s="163">
        <f>SUM(D16:D17)</f>
        <v>0</v>
      </c>
      <c r="E18" s="163">
        <f>IF(D18="","",D18*12)</f>
        <v>0</v>
      </c>
      <c r="F18" s="163">
        <f>SUM(F16:F17)</f>
        <v>0</v>
      </c>
      <c r="G18" s="163"/>
      <c r="I18" s="5">
        <f>Input!E17</f>
        <v>0</v>
      </c>
    </row>
    <row r="19" spans="2:10" x14ac:dyDescent="0.15">
      <c r="B19" s="162"/>
      <c r="C19" s="5"/>
      <c r="D19" s="5"/>
      <c r="E19" s="5"/>
      <c r="F19" s="5"/>
      <c r="G19" s="163"/>
      <c r="I19" s="199">
        <f>Input!E18</f>
        <v>0</v>
      </c>
    </row>
    <row r="20" spans="2:10" x14ac:dyDescent="0.15">
      <c r="B20" s="85" t="s">
        <v>589</v>
      </c>
      <c r="C20" s="54"/>
      <c r="D20" s="54"/>
      <c r="E20" s="54"/>
      <c r="F20" s="54">
        <f>MAX(F7,F13,F18)</f>
        <v>0</v>
      </c>
      <c r="G20" s="163"/>
      <c r="I20" s="54">
        <f>IF(I15&lt;=0,I14,IF(SUM(I16:I19)&lt;=0,MIN(I14:I15),IF(SUM(I17:I19)&lt;=0,MIN(I14:I16),IF(SUM(I18:I19)&lt;=0,MIN(I14:I17),IF(I19&lt;=0,MIN(I14:I18),MIN(I14:I19))))))</f>
        <v>17685.592608837138</v>
      </c>
      <c r="J20" s="12" t="s">
        <v>664</v>
      </c>
    </row>
    <row r="21" spans="2:10" x14ac:dyDescent="0.15">
      <c r="B21" s="85" t="s">
        <v>581</v>
      </c>
      <c r="C21" s="5"/>
      <c r="D21" s="54"/>
      <c r="E21" s="54"/>
      <c r="F21" s="54">
        <f>F20*2%</f>
        <v>0</v>
      </c>
      <c r="G21" s="163"/>
    </row>
    <row r="22" spans="2:10" x14ac:dyDescent="0.15">
      <c r="B22" s="85"/>
      <c r="C22" s="5"/>
      <c r="D22" s="54"/>
      <c r="E22" s="54"/>
      <c r="F22" s="54"/>
      <c r="G22" s="5"/>
    </row>
    <row r="23" spans="2:10" x14ac:dyDescent="0.15">
      <c r="B23" s="265" t="s">
        <v>1143</v>
      </c>
      <c r="C23" s="56">
        <f>C27</f>
        <v>869673.91304347827</v>
      </c>
      <c r="D23" s="12"/>
      <c r="E23" s="56"/>
      <c r="F23" s="56"/>
      <c r="G23" s="12"/>
    </row>
    <row r="24" spans="2:10" x14ac:dyDescent="0.15">
      <c r="B24" s="162"/>
      <c r="C24" s="56"/>
      <c r="D24" s="56"/>
      <c r="E24" s="56"/>
      <c r="F24" s="56"/>
      <c r="G24" s="5"/>
    </row>
    <row r="25" spans="2:10" x14ac:dyDescent="0.15">
      <c r="B25" s="162" t="s">
        <v>612</v>
      </c>
      <c r="C25" s="56"/>
      <c r="D25" s="56"/>
      <c r="E25" s="56"/>
      <c r="F25" s="56"/>
      <c r="G25" s="5"/>
    </row>
    <row r="26" spans="2:10" x14ac:dyDescent="0.15">
      <c r="B26" s="86" t="s">
        <v>1119</v>
      </c>
      <c r="C26" s="56">
        <v>800100</v>
      </c>
      <c r="D26" s="264" t="s">
        <v>1142</v>
      </c>
      <c r="E26" s="56"/>
      <c r="F26" s="56"/>
      <c r="G26" s="5"/>
    </row>
    <row r="27" spans="2:10" x14ac:dyDescent="0.15">
      <c r="B27" s="162" t="s">
        <v>613</v>
      </c>
      <c r="C27" s="56">
        <f>C26/(1-0.08)</f>
        <v>869673.91304347827</v>
      </c>
      <c r="D27" s="56"/>
      <c r="E27" s="56"/>
      <c r="F27" s="56"/>
      <c r="G27" s="5"/>
    </row>
    <row r="28" spans="2:10" x14ac:dyDescent="0.15">
      <c r="B28" s="162"/>
      <c r="C28" s="56"/>
      <c r="D28" s="56"/>
      <c r="E28" s="56"/>
      <c r="F28" s="56"/>
      <c r="G28" s="5"/>
    </row>
    <row r="29" spans="2:10" x14ac:dyDescent="0.15">
      <c r="B29" s="265" t="s">
        <v>1144</v>
      </c>
      <c r="C29" s="168" t="s">
        <v>1131</v>
      </c>
      <c r="D29" s="56"/>
      <c r="E29" s="56"/>
      <c r="F29" s="56"/>
      <c r="G29" s="5"/>
    </row>
    <row r="30" spans="2:10" x14ac:dyDescent="0.15">
      <c r="B30" s="162" t="s">
        <v>591</v>
      </c>
      <c r="C30" s="168" t="s">
        <v>592</v>
      </c>
      <c r="D30" s="54"/>
      <c r="E30" s="54"/>
      <c r="F30" s="54"/>
      <c r="G30" s="5"/>
    </row>
    <row r="31" spans="2:10" x14ac:dyDescent="0.15">
      <c r="B31" s="162" t="s">
        <v>618</v>
      </c>
      <c r="C31" s="168" t="s">
        <v>617</v>
      </c>
      <c r="D31" s="5"/>
      <c r="E31" s="5"/>
      <c r="F31" s="5"/>
      <c r="G31" s="5"/>
    </row>
    <row r="32" spans="2:10" x14ac:dyDescent="0.15">
      <c r="C32" s="5"/>
      <c r="D32" s="5"/>
      <c r="E32" s="5"/>
      <c r="F32" s="5"/>
      <c r="G32" s="5"/>
    </row>
    <row r="33" spans="2:7" x14ac:dyDescent="0.15">
      <c r="B33" s="86" t="s">
        <v>1132</v>
      </c>
      <c r="C33" s="168" t="s">
        <v>1131</v>
      </c>
      <c r="D33" s="5"/>
      <c r="E33" s="5"/>
      <c r="F33" s="5"/>
      <c r="G33" s="5"/>
    </row>
    <row r="34" spans="2:7" x14ac:dyDescent="0.15">
      <c r="C34" s="5"/>
      <c r="D34" s="5"/>
      <c r="E34" s="5"/>
      <c r="F34" s="5"/>
      <c r="G34" s="5"/>
    </row>
    <row r="35" spans="2:7" x14ac:dyDescent="0.15">
      <c r="C35" s="5"/>
      <c r="D35" s="5"/>
      <c r="E35" s="5"/>
      <c r="F35" s="5"/>
      <c r="G35" s="5"/>
    </row>
    <row r="36" spans="2:7" x14ac:dyDescent="0.15">
      <c r="C36" s="5"/>
      <c r="D36" s="5"/>
      <c r="E36" s="5"/>
      <c r="F36" s="5"/>
      <c r="G36" s="5"/>
    </row>
    <row r="37" spans="2:7" x14ac:dyDescent="0.15">
      <c r="C37" s="5"/>
      <c r="D37" s="5"/>
      <c r="E37" s="5"/>
      <c r="F37" s="5"/>
      <c r="G37" s="5"/>
    </row>
    <row r="38" spans="2:7" x14ac:dyDescent="0.15">
      <c r="C38" s="5"/>
      <c r="D38" s="5"/>
      <c r="E38" s="5"/>
      <c r="F38" s="5"/>
      <c r="G38" s="5"/>
    </row>
    <row r="39" spans="2:7" x14ac:dyDescent="0.15">
      <c r="C39" s="5"/>
      <c r="D39" s="5"/>
      <c r="E39" s="5"/>
      <c r="F39" s="5"/>
      <c r="G39" s="5"/>
    </row>
    <row r="40" spans="2:7" x14ac:dyDescent="0.15">
      <c r="C40" s="5"/>
      <c r="D40" s="5"/>
      <c r="E40" s="5"/>
      <c r="F40" s="5"/>
      <c r="G40" s="5"/>
    </row>
    <row r="41" spans="2:7" x14ac:dyDescent="0.15">
      <c r="C41" s="5"/>
      <c r="D41" s="5"/>
      <c r="E41" s="5"/>
      <c r="F41" s="5"/>
      <c r="G41" s="5"/>
    </row>
  </sheetData>
  <hyperlinks>
    <hyperlink ref="C30" r:id="rId1" xr:uid="{00000000-0004-0000-0600-000000000000}"/>
    <hyperlink ref="C31" r:id="rId2" xr:uid="{00000000-0004-0000-0600-000001000000}"/>
    <hyperlink ref="C33" r:id="rId3" xr:uid="{00000000-0004-0000-0600-000002000000}"/>
    <hyperlink ref="C29" r:id="rId4" xr:uid="{519AE0F2-EB2B-964E-8532-9B23186F0065}"/>
  </hyperlinks>
  <pageMargins left="0.7" right="0.7" top="0.75" bottom="0.75" header="0.3" footer="0.3"/>
  <pageSetup paperSize="9" orientation="portrait" horizontalDpi="4294967293" verticalDpi="4294967293"/>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Ark5"/>
  <dimension ref="A2:V27"/>
  <sheetViews>
    <sheetView topLeftCell="C1" zoomScale="125" zoomScaleNormal="125" zoomScalePageLayoutView="125" workbookViewId="0">
      <selection activeCell="H3" sqref="H3"/>
    </sheetView>
  </sheetViews>
  <sheetFormatPr baseColWidth="10" defaultColWidth="8.83203125" defaultRowHeight="13" x14ac:dyDescent="0.15"/>
  <cols>
    <col min="1" max="1" width="4.33203125" customWidth="1"/>
    <col min="2" max="2" width="15.5" customWidth="1"/>
    <col min="3" max="3" width="3.6640625" customWidth="1"/>
    <col min="4" max="4" width="15.5" customWidth="1"/>
    <col min="5" max="5" width="17.5" customWidth="1"/>
    <col min="6" max="6" width="5.5" customWidth="1"/>
    <col min="7" max="7" width="29.83203125" customWidth="1"/>
    <col min="8" max="8" width="12.5" customWidth="1"/>
    <col min="9" max="9" width="27.33203125" customWidth="1"/>
    <col min="10" max="10" width="9.5" customWidth="1"/>
    <col min="11" max="11" width="27.33203125" customWidth="1"/>
    <col min="12" max="12" width="12" customWidth="1"/>
    <col min="13" max="14" width="14.6640625" customWidth="1"/>
    <col min="15" max="15" width="4.83203125" customWidth="1"/>
    <col min="16" max="16" width="20.5" customWidth="1"/>
    <col min="17" max="17" width="18" customWidth="1"/>
    <col min="18" max="18" width="12.1640625" customWidth="1"/>
    <col min="19" max="19" width="12.83203125" customWidth="1"/>
    <col min="20" max="20" width="10.83203125" customWidth="1"/>
    <col min="21" max="21" width="9.83203125" customWidth="1"/>
  </cols>
  <sheetData>
    <row r="2" spans="1:22" ht="56" x14ac:dyDescent="0.15">
      <c r="B2" t="s">
        <v>100</v>
      </c>
      <c r="D2" s="12" t="s">
        <v>698</v>
      </c>
      <c r="E2" s="12"/>
      <c r="F2" s="12"/>
      <c r="G2" s="12" t="s">
        <v>682</v>
      </c>
      <c r="H2" s="164" t="s">
        <v>690</v>
      </c>
      <c r="I2" s="12" t="s">
        <v>683</v>
      </c>
      <c r="J2" s="164" t="s">
        <v>690</v>
      </c>
      <c r="K2" s="12" t="s">
        <v>684</v>
      </c>
      <c r="L2" s="164" t="s">
        <v>690</v>
      </c>
      <c r="M2" s="278" t="s">
        <v>1284</v>
      </c>
      <c r="N2" s="278" t="s">
        <v>1285</v>
      </c>
      <c r="O2" s="278"/>
      <c r="P2" s="11" t="s">
        <v>660</v>
      </c>
      <c r="Q2" s="11" t="s">
        <v>88</v>
      </c>
      <c r="R2" s="279" t="s">
        <v>94</v>
      </c>
      <c r="S2" s="11" t="s">
        <v>353</v>
      </c>
      <c r="T2" s="11" t="s">
        <v>311</v>
      </c>
      <c r="U2" s="11" t="s">
        <v>173</v>
      </c>
      <c r="V2" s="11" t="s">
        <v>174</v>
      </c>
    </row>
    <row r="3" spans="1:22" ht="14" thickBot="1" x14ac:dyDescent="0.2">
      <c r="B3">
        <v>1</v>
      </c>
      <c r="D3">
        <v>5</v>
      </c>
      <c r="E3" s="12"/>
      <c r="F3" s="12"/>
      <c r="G3">
        <v>1</v>
      </c>
      <c r="H3">
        <f>23+G3</f>
        <v>24</v>
      </c>
      <c r="I3">
        <v>1</v>
      </c>
      <c r="J3">
        <f>23+I3</f>
        <v>24</v>
      </c>
      <c r="K3">
        <v>1</v>
      </c>
      <c r="L3">
        <f>23+K3</f>
        <v>24</v>
      </c>
      <c r="M3" s="13">
        <v>1</v>
      </c>
      <c r="N3" s="13">
        <f>VLOOKUP(Dialog!M3,Kommunedata!B4:D101,2)</f>
        <v>165</v>
      </c>
      <c r="P3">
        <v>1</v>
      </c>
      <c r="Q3">
        <v>4</v>
      </c>
      <c r="R3" s="271" t="s">
        <v>1286</v>
      </c>
      <c r="S3" s="271" t="s">
        <v>1286</v>
      </c>
      <c r="T3" s="271" t="s">
        <v>1286</v>
      </c>
      <c r="U3" s="271" t="s">
        <v>1286</v>
      </c>
      <c r="V3" s="271" t="s">
        <v>1286</v>
      </c>
    </row>
    <row r="4" spans="1:22" x14ac:dyDescent="0.15">
      <c r="B4" s="1" t="s">
        <v>322</v>
      </c>
      <c r="C4" s="1"/>
      <c r="D4" s="1" t="s">
        <v>324</v>
      </c>
      <c r="E4" s="12"/>
      <c r="G4" t="s">
        <v>197</v>
      </c>
      <c r="O4">
        <v>1</v>
      </c>
      <c r="P4" s="12" t="s">
        <v>661</v>
      </c>
      <c r="Q4" t="s">
        <v>89</v>
      </c>
      <c r="R4" s="271">
        <v>21</v>
      </c>
      <c r="S4" s="271">
        <v>22</v>
      </c>
      <c r="T4" s="271">
        <v>7</v>
      </c>
      <c r="U4" s="271">
        <v>13</v>
      </c>
      <c r="V4" s="271">
        <v>16</v>
      </c>
    </row>
    <row r="5" spans="1:22" x14ac:dyDescent="0.15">
      <c r="A5">
        <v>1</v>
      </c>
      <c r="B5" s="271" t="s">
        <v>1273</v>
      </c>
      <c r="C5">
        <v>1</v>
      </c>
      <c r="D5" t="s">
        <v>328</v>
      </c>
      <c r="E5" s="12"/>
      <c r="F5" s="12">
        <v>1</v>
      </c>
      <c r="G5" s="12" t="s">
        <v>689</v>
      </c>
      <c r="H5" s="12"/>
      <c r="I5" s="12" t="s">
        <v>689</v>
      </c>
      <c r="J5" s="12"/>
      <c r="K5" s="12" t="s">
        <v>689</v>
      </c>
      <c r="L5" s="12"/>
      <c r="O5">
        <v>2</v>
      </c>
      <c r="P5" s="12" t="s">
        <v>662</v>
      </c>
      <c r="Q5">
        <v>1940</v>
      </c>
      <c r="R5" s="5">
        <f>IF((Input!D8+Input!D29)=0,0,VLOOKUP(Dialog!M3,Kommunedata!B4:W101,21))</f>
        <v>3434</v>
      </c>
      <c r="S5" s="5">
        <f>IF((Input!D8+Input!D29)=0,0,VLOOKUP(Dialog!M3,Kommunedata!B4:W101,22))</f>
        <v>5764</v>
      </c>
      <c r="T5" s="5">
        <f>VLOOKUP(Dialog!M3,Kommunedata!B4:Q101,7)*Modeller!E204</f>
        <v>3489</v>
      </c>
      <c r="U5" s="5">
        <f>VLOOKUP(Dialog!M3,Kommunedata!B4:Q101,13)*Modeller!E205</f>
        <v>0</v>
      </c>
      <c r="V5" s="5">
        <f>VLOOKUP(Dialog!M3,Kommunedata!B4:Q101,16)*Modeller!E206</f>
        <v>0</v>
      </c>
    </row>
    <row r="6" spans="1:22" x14ac:dyDescent="0.15">
      <c r="A6">
        <v>2</v>
      </c>
      <c r="B6" t="s">
        <v>455</v>
      </c>
      <c r="C6">
        <v>2</v>
      </c>
      <c r="D6" t="s">
        <v>329</v>
      </c>
      <c r="E6" s="12"/>
      <c r="F6" s="12">
        <v>2</v>
      </c>
      <c r="G6" s="12" t="s">
        <v>667</v>
      </c>
      <c r="H6" s="12"/>
      <c r="I6" s="12" t="s">
        <v>667</v>
      </c>
      <c r="J6" s="12"/>
      <c r="K6" s="12" t="s">
        <v>667</v>
      </c>
      <c r="L6" s="12"/>
      <c r="Q6">
        <v>1960</v>
      </c>
      <c r="R6" s="271" t="s">
        <v>1287</v>
      </c>
      <c r="S6" s="271" t="s">
        <v>1287</v>
      </c>
      <c r="T6" s="271" t="s">
        <v>1287</v>
      </c>
      <c r="U6" s="271" t="s">
        <v>1287</v>
      </c>
      <c r="V6" s="271" t="s">
        <v>1287</v>
      </c>
    </row>
    <row r="7" spans="1:22" x14ac:dyDescent="0.15">
      <c r="A7">
        <v>3</v>
      </c>
      <c r="B7" t="s">
        <v>723</v>
      </c>
      <c r="C7">
        <v>3</v>
      </c>
      <c r="D7" s="12" t="s">
        <v>6</v>
      </c>
      <c r="F7" s="12">
        <v>3</v>
      </c>
      <c r="G7" s="12" t="s">
        <v>668</v>
      </c>
      <c r="H7" s="12"/>
      <c r="I7" s="12" t="s">
        <v>668</v>
      </c>
      <c r="J7" s="12"/>
      <c r="K7" s="12" t="s">
        <v>668</v>
      </c>
      <c r="L7" s="12"/>
      <c r="Q7">
        <v>1980</v>
      </c>
      <c r="R7">
        <f>R4-1</f>
        <v>20</v>
      </c>
      <c r="S7">
        <f t="shared" ref="S7:V7" si="0">S4-1</f>
        <v>21</v>
      </c>
      <c r="T7">
        <f t="shared" si="0"/>
        <v>6</v>
      </c>
      <c r="U7">
        <f t="shared" si="0"/>
        <v>12</v>
      </c>
      <c r="V7">
        <f t="shared" si="0"/>
        <v>15</v>
      </c>
    </row>
    <row r="8" spans="1:22" x14ac:dyDescent="0.15">
      <c r="A8">
        <v>4</v>
      </c>
      <c r="B8" t="s">
        <v>433</v>
      </c>
      <c r="C8">
        <v>4</v>
      </c>
      <c r="D8" s="12" t="s">
        <v>7</v>
      </c>
      <c r="F8" s="12">
        <v>4</v>
      </c>
      <c r="G8" s="12" t="s">
        <v>669</v>
      </c>
      <c r="H8" s="12"/>
      <c r="I8" s="12" t="s">
        <v>669</v>
      </c>
      <c r="J8" s="12"/>
      <c r="K8" s="12" t="s">
        <v>669</v>
      </c>
      <c r="L8" s="12"/>
      <c r="Q8">
        <v>2000</v>
      </c>
      <c r="R8" s="5">
        <f>IF((Input!D8+Input!D29)=0,0,VLOOKUP(Dialog!N3,Kommunedata2!C4:W101,20))</f>
        <v>3434</v>
      </c>
      <c r="S8" s="5">
        <f>IF((Input!D8+Input!D29)=0,0,VLOOKUP(Dialog!N3,Kommunedata2!C4:W101,21))</f>
        <v>5764</v>
      </c>
      <c r="T8" s="5">
        <f>VLOOKUP(Dialog!N3,Kommunedata2!C4:Q101,6)*Modeller!E204</f>
        <v>3489</v>
      </c>
      <c r="U8" s="5">
        <f>VLOOKUP(Dialog!N3,Kommunedata2!C4:Q101,12)*Modeller!E205</f>
        <v>0</v>
      </c>
      <c r="V8" s="5">
        <f>VLOOKUP(Dialog!N3,Kommunedata2!C4:Q101,15)*Modeller!E206</f>
        <v>0</v>
      </c>
    </row>
    <row r="9" spans="1:22" x14ac:dyDescent="0.15">
      <c r="A9">
        <v>5</v>
      </c>
      <c r="B9" t="s">
        <v>434</v>
      </c>
      <c r="C9">
        <v>5</v>
      </c>
      <c r="D9" t="s">
        <v>86</v>
      </c>
      <c r="F9" s="12">
        <v>5</v>
      </c>
      <c r="G9" s="12" t="s">
        <v>670</v>
      </c>
      <c r="H9" s="12"/>
      <c r="I9" s="12" t="s">
        <v>670</v>
      </c>
      <c r="J9" s="12"/>
      <c r="K9" s="12" t="s">
        <v>670</v>
      </c>
      <c r="L9" s="12"/>
    </row>
    <row r="10" spans="1:22" x14ac:dyDescent="0.15">
      <c r="A10">
        <v>6</v>
      </c>
      <c r="B10" t="s">
        <v>305</v>
      </c>
      <c r="C10">
        <v>6</v>
      </c>
      <c r="D10" t="s">
        <v>85</v>
      </c>
      <c r="F10" s="12">
        <v>6</v>
      </c>
      <c r="G10" s="12" t="s">
        <v>671</v>
      </c>
      <c r="H10" s="12"/>
      <c r="I10" s="12" t="s">
        <v>671</v>
      </c>
      <c r="J10" s="12"/>
      <c r="K10" s="12" t="s">
        <v>671</v>
      </c>
      <c r="L10" s="12"/>
    </row>
    <row r="11" spans="1:22" x14ac:dyDescent="0.15">
      <c r="A11">
        <v>7</v>
      </c>
      <c r="B11" s="271" t="s">
        <v>722</v>
      </c>
      <c r="C11">
        <v>7</v>
      </c>
      <c r="D11" t="s">
        <v>476</v>
      </c>
      <c r="F11" s="12">
        <v>7</v>
      </c>
      <c r="G11" s="12" t="s">
        <v>672</v>
      </c>
      <c r="H11" s="12"/>
      <c r="I11" s="12" t="s">
        <v>672</v>
      </c>
      <c r="J11" s="12"/>
      <c r="K11" s="12" t="s">
        <v>672</v>
      </c>
      <c r="L11" s="12"/>
    </row>
    <row r="12" spans="1:22" x14ac:dyDescent="0.15">
      <c r="F12" s="12">
        <v>8</v>
      </c>
      <c r="G12" s="12" t="s">
        <v>673</v>
      </c>
      <c r="H12" s="12"/>
      <c r="I12" s="12" t="s">
        <v>673</v>
      </c>
      <c r="J12" s="12"/>
      <c r="K12" s="12" t="s">
        <v>673</v>
      </c>
      <c r="L12" s="12"/>
    </row>
    <row r="13" spans="1:22" x14ac:dyDescent="0.15">
      <c r="B13" s="271" t="s">
        <v>1275</v>
      </c>
      <c r="C13" s="271"/>
      <c r="F13" s="12">
        <v>9</v>
      </c>
      <c r="G13" s="12" t="s">
        <v>674</v>
      </c>
      <c r="H13" s="12"/>
      <c r="I13" s="12" t="s">
        <v>674</v>
      </c>
      <c r="J13" s="12"/>
      <c r="K13" s="12" t="s">
        <v>674</v>
      </c>
      <c r="L13" s="12"/>
    </row>
    <row r="14" spans="1:22" x14ac:dyDescent="0.15">
      <c r="B14" t="str">
        <f>IF(B3=1,B5,IF(B3=2,B6,IF(B3=3,B7,IF(B3=4,B8,IF(B3=5,B9,IF(B3=6,B10,IF(B3=7,B11,"")))))))</f>
        <v>Alle boliger</v>
      </c>
      <c r="F14" s="12">
        <v>10</v>
      </c>
      <c r="G14" s="12" t="s">
        <v>675</v>
      </c>
      <c r="H14" s="12"/>
      <c r="I14" s="12" t="s">
        <v>675</v>
      </c>
      <c r="J14" s="12"/>
      <c r="K14" s="12" t="s">
        <v>675</v>
      </c>
      <c r="L14" s="12"/>
    </row>
    <row r="15" spans="1:22" x14ac:dyDescent="0.15">
      <c r="F15" s="12">
        <v>11</v>
      </c>
      <c r="G15" s="12" t="s">
        <v>676</v>
      </c>
      <c r="H15" s="12"/>
      <c r="I15" s="12" t="s">
        <v>676</v>
      </c>
      <c r="J15" s="12"/>
      <c r="K15" s="12" t="s">
        <v>676</v>
      </c>
      <c r="L15" s="12"/>
    </row>
    <row r="16" spans="1:22" x14ac:dyDescent="0.15">
      <c r="F16" s="12">
        <v>12</v>
      </c>
      <c r="G16" s="12" t="s">
        <v>677</v>
      </c>
      <c r="H16" s="12"/>
      <c r="I16" s="12" t="s">
        <v>677</v>
      </c>
      <c r="J16" s="12"/>
      <c r="K16" s="12" t="s">
        <v>677</v>
      </c>
      <c r="L16" s="12"/>
    </row>
    <row r="17" spans="5:12" x14ac:dyDescent="0.15">
      <c r="F17" s="12">
        <v>13</v>
      </c>
      <c r="G17" s="12" t="s">
        <v>678</v>
      </c>
      <c r="I17" s="12" t="s">
        <v>678</v>
      </c>
      <c r="J17" s="12"/>
      <c r="K17" s="12" t="s">
        <v>678</v>
      </c>
      <c r="L17" s="12"/>
    </row>
    <row r="18" spans="5:12" x14ac:dyDescent="0.15">
      <c r="E18" s="12" t="s">
        <v>689</v>
      </c>
      <c r="H18">
        <f>IF(G3=1,0,0)</f>
        <v>0</v>
      </c>
      <c r="J18">
        <f>IF(I3=1,0,0)</f>
        <v>0</v>
      </c>
      <c r="L18">
        <f>IF(K3=1,0,0)</f>
        <v>0</v>
      </c>
    </row>
    <row r="19" spans="5:12" x14ac:dyDescent="0.15">
      <c r="E19" s="12" t="s">
        <v>685</v>
      </c>
      <c r="F19">
        <f>SUM(H19:L19)</f>
        <v>0</v>
      </c>
      <c r="H19">
        <f>IF(AND(G3&gt;1,G3&lt;5),1,0)</f>
        <v>0</v>
      </c>
      <c r="J19">
        <f>IF(AND(I3&gt;1,I3&lt;5),1,0)</f>
        <v>0</v>
      </c>
      <c r="L19">
        <f>IF(AND(K3&gt;1,K3&lt;5),1,0)</f>
        <v>0</v>
      </c>
    </row>
    <row r="20" spans="5:12" x14ac:dyDescent="0.15">
      <c r="E20" s="12" t="s">
        <v>686</v>
      </c>
      <c r="F20">
        <f>SUM(H20:L20)</f>
        <v>0</v>
      </c>
      <c r="H20">
        <f>IF(AND(G3&gt;4,G3&lt;8),1,0)</f>
        <v>0</v>
      </c>
      <c r="J20">
        <f>IF(AND(I3&gt;4,I3&lt;8),1,0)</f>
        <v>0</v>
      </c>
      <c r="L20">
        <f>IF(AND(K3&gt;4,K3&lt;8),1,0)</f>
        <v>0</v>
      </c>
    </row>
    <row r="21" spans="5:12" x14ac:dyDescent="0.15">
      <c r="E21" s="12" t="s">
        <v>687</v>
      </c>
      <c r="F21">
        <f>SUM(H21:L21)</f>
        <v>0</v>
      </c>
      <c r="H21">
        <f>IF(AND(G3&gt;7,G3&lt;11),1,0)</f>
        <v>0</v>
      </c>
      <c r="J21">
        <f>IF(AND(I3&gt;7,I3&lt;11),1,0)</f>
        <v>0</v>
      </c>
      <c r="L21">
        <f>IF(AND(K3&gt;7,K3&lt;11),1,0)</f>
        <v>0</v>
      </c>
    </row>
    <row r="22" spans="5:12" x14ac:dyDescent="0.15">
      <c r="E22" s="12" t="s">
        <v>688</v>
      </c>
      <c r="F22">
        <f>SUM(H22:L22)</f>
        <v>0</v>
      </c>
      <c r="H22">
        <f>IF(AND(G3&gt;10,G3&lt;=13),1,0)</f>
        <v>0</v>
      </c>
      <c r="J22">
        <f>IF(AND(I3&gt;10,I3&lt;=13),1,0)</f>
        <v>0</v>
      </c>
      <c r="L22">
        <f>IF(AND(K3&gt;10,K3&lt;=13),1,0)</f>
        <v>0</v>
      </c>
    </row>
    <row r="24" spans="5:12" x14ac:dyDescent="0.15">
      <c r="G24" s="271" t="s">
        <v>1279</v>
      </c>
      <c r="H24" s="5">
        <f>VLOOKUP(Dialog!M3,Kommunedata!B4:AK101,H3)</f>
        <v>0</v>
      </c>
      <c r="I24" s="271" t="s">
        <v>1281</v>
      </c>
      <c r="J24" s="5">
        <f>VLOOKUP(Dialog!M3,Kommunedata!B4:AK101,J3)</f>
        <v>0</v>
      </c>
      <c r="K24" s="271" t="str">
        <f>I24</f>
        <v>K-data</v>
      </c>
      <c r="L24" s="5">
        <f>VLOOKUP(Dialog!M3,Kommunedata!B4:AK101,L3)</f>
        <v>0</v>
      </c>
    </row>
    <row r="25" spans="5:12" x14ac:dyDescent="0.15">
      <c r="G25" s="271"/>
      <c r="H25" s="5"/>
      <c r="I25" s="271"/>
      <c r="J25" s="5"/>
      <c r="K25" s="271"/>
      <c r="L25" s="5"/>
    </row>
    <row r="26" spans="5:12" x14ac:dyDescent="0.15">
      <c r="G26" s="271" t="s">
        <v>1289</v>
      </c>
      <c r="H26" s="5">
        <f>H3-1</f>
        <v>23</v>
      </c>
      <c r="I26" s="271" t="str">
        <f>G26</f>
        <v>Kolonnenummer for K-data2</v>
      </c>
      <c r="J26" s="5">
        <f>J3-1</f>
        <v>23</v>
      </c>
      <c r="K26" s="271" t="str">
        <f>I26</f>
        <v>Kolonnenummer for K-data2</v>
      </c>
      <c r="L26" s="5">
        <f>L3-1</f>
        <v>23</v>
      </c>
    </row>
    <row r="27" spans="5:12" x14ac:dyDescent="0.15">
      <c r="G27" s="271" t="s">
        <v>1280</v>
      </c>
      <c r="H27" s="5">
        <f>VLOOKUP(Dialog!N3,Kommunedata2!C4:AK101,H26)</f>
        <v>0</v>
      </c>
      <c r="I27" s="271" t="s">
        <v>1282</v>
      </c>
      <c r="J27" s="5">
        <f>VLOOKUP(Dialog!N3,Kommunedata2!C4:AK101,J26)</f>
        <v>0</v>
      </c>
      <c r="K27" s="271" t="str">
        <f>I27</f>
        <v>K-data2</v>
      </c>
      <c r="L27" s="5">
        <f>VLOOKUP(Dialog!N3,Kommunedata2!C4:AK101,L26)</f>
        <v>0</v>
      </c>
    </row>
  </sheetData>
  <sheetProtection selectLockedCells="1" selectUnlockedCells="1"/>
  <phoneticPr fontId="0" type="noConversion"/>
  <pageMargins left="0.75" right="0.75" top="1" bottom="1" header="0" footer="0"/>
  <legacyDrawing r:id="rId1"/>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1057"/>
  <sheetViews>
    <sheetView zoomScale="130" zoomScaleNormal="130" zoomScalePageLayoutView="130" workbookViewId="0">
      <pane ySplit="3" topLeftCell="A197" activePane="bottomLeft" state="frozen"/>
      <selection pane="bottomLeft" activeCell="C188" sqref="C188"/>
    </sheetView>
  </sheetViews>
  <sheetFormatPr baseColWidth="10" defaultColWidth="8.83203125" defaultRowHeight="13" x14ac:dyDescent="0.15"/>
  <cols>
    <col min="1" max="1" width="3.83203125" style="115" customWidth="1"/>
    <col min="2" max="2" width="14" style="115" customWidth="1"/>
    <col min="3" max="3" width="48.1640625" style="115" customWidth="1"/>
    <col min="4" max="5" width="17.6640625" style="115" customWidth="1"/>
    <col min="6" max="6" width="20.83203125" style="115" customWidth="1"/>
    <col min="7" max="7" width="14.83203125" style="115" customWidth="1"/>
    <col min="8" max="8" width="13.6640625" style="115" customWidth="1"/>
    <col min="9" max="9" width="14.5" style="115" customWidth="1"/>
    <col min="10" max="10" width="1.83203125" style="115" customWidth="1"/>
    <col min="11" max="11" width="38.6640625" style="115" customWidth="1"/>
    <col min="12" max="12" width="8.83203125" style="274"/>
    <col min="13" max="13" width="10" style="274" customWidth="1"/>
    <col min="14" max="14" width="13.5" style="274" customWidth="1"/>
    <col min="15" max="15" width="13.33203125" style="274" customWidth="1"/>
    <col min="16" max="16" width="13.83203125" style="274" customWidth="1"/>
    <col min="17" max="17" width="8.83203125" style="274"/>
    <col min="18" max="16384" width="8.83203125" style="115"/>
  </cols>
  <sheetData>
    <row r="1" spans="1:17" ht="17" x14ac:dyDescent="0.2">
      <c r="A1" s="253" t="s">
        <v>741</v>
      </c>
    </row>
    <row r="2" spans="1:17" ht="15" x14ac:dyDescent="0.2">
      <c r="A2" s="254" t="s">
        <v>742</v>
      </c>
      <c r="D2" s="255"/>
      <c r="E2" s="255">
        <v>2018</v>
      </c>
      <c r="F2" s="115">
        <v>2016</v>
      </c>
    </row>
    <row r="3" spans="1:17" x14ac:dyDescent="0.15">
      <c r="A3" s="115" t="s">
        <v>1124</v>
      </c>
      <c r="D3" s="262" t="s">
        <v>187</v>
      </c>
      <c r="E3" s="262"/>
      <c r="F3" s="19" t="s">
        <v>188</v>
      </c>
      <c r="G3" s="19" t="s">
        <v>189</v>
      </c>
      <c r="H3" s="19" t="s">
        <v>190</v>
      </c>
      <c r="I3" s="19" t="s">
        <v>191</v>
      </c>
      <c r="L3" s="275" t="s">
        <v>243</v>
      </c>
      <c r="M3" s="275" t="s">
        <v>1263</v>
      </c>
      <c r="N3" s="275" t="s">
        <v>1264</v>
      </c>
      <c r="O3" s="275" t="s">
        <v>1265</v>
      </c>
      <c r="P3" s="275" t="s">
        <v>1266</v>
      </c>
      <c r="Q3" s="275" t="s">
        <v>1267</v>
      </c>
    </row>
    <row r="4" spans="1:17" x14ac:dyDescent="0.15">
      <c r="A4" s="255"/>
      <c r="B4" s="255" t="s">
        <v>187</v>
      </c>
      <c r="C4" s="255" t="s">
        <v>743</v>
      </c>
      <c r="D4" s="59">
        <v>2194</v>
      </c>
      <c r="E4" s="59"/>
      <c r="F4" s="59">
        <v>384</v>
      </c>
      <c r="G4" s="59">
        <v>86</v>
      </c>
      <c r="H4" s="59">
        <v>368</v>
      </c>
      <c r="I4" s="59">
        <v>429</v>
      </c>
      <c r="K4" s="115" t="s">
        <v>1160</v>
      </c>
      <c r="L4" s="274">
        <v>2192</v>
      </c>
      <c r="M4" s="274">
        <v>88</v>
      </c>
      <c r="N4" s="256">
        <v>321</v>
      </c>
      <c r="O4" s="274">
        <v>550</v>
      </c>
      <c r="P4" s="274">
        <v>570</v>
      </c>
      <c r="Q4" s="274">
        <v>663</v>
      </c>
    </row>
    <row r="5" spans="1:17" x14ac:dyDescent="0.15">
      <c r="C5" s="255" t="s">
        <v>744</v>
      </c>
      <c r="D5" s="59">
        <v>2686</v>
      </c>
      <c r="E5" s="59"/>
      <c r="F5" s="59">
        <v>534.6</v>
      </c>
      <c r="G5" s="59">
        <v>123.3</v>
      </c>
      <c r="H5" s="59">
        <v>394.8</v>
      </c>
      <c r="I5" s="59">
        <v>438</v>
      </c>
      <c r="K5" s="115" t="s">
        <v>1161</v>
      </c>
      <c r="L5" s="274">
        <v>2692.6</v>
      </c>
      <c r="M5" s="274">
        <v>171.1</v>
      </c>
      <c r="N5" s="256">
        <v>585.70000000000005</v>
      </c>
      <c r="O5" s="274">
        <v>664.1</v>
      </c>
      <c r="P5" s="274">
        <v>554.70000000000005</v>
      </c>
      <c r="Q5" s="274">
        <v>717</v>
      </c>
    </row>
    <row r="6" spans="1:17" x14ac:dyDescent="0.15">
      <c r="C6" s="255" t="s">
        <v>745</v>
      </c>
      <c r="D6" s="59">
        <v>5683.5</v>
      </c>
      <c r="E6" s="59"/>
      <c r="F6" s="59">
        <v>534.6</v>
      </c>
      <c r="G6" s="59">
        <v>305.39999999999998</v>
      </c>
      <c r="H6" s="59">
        <v>789.7</v>
      </c>
      <c r="I6" s="59">
        <v>1730.4</v>
      </c>
      <c r="K6" s="115" t="s">
        <v>1162</v>
      </c>
      <c r="L6" s="274">
        <v>5683.4</v>
      </c>
      <c r="M6" s="274">
        <v>196.4</v>
      </c>
      <c r="N6" s="256">
        <v>696.4</v>
      </c>
      <c r="O6" s="274">
        <v>1170.7</v>
      </c>
      <c r="P6" s="274">
        <v>1312</v>
      </c>
      <c r="Q6" s="274">
        <v>2307.9</v>
      </c>
    </row>
    <row r="7" spans="1:17" x14ac:dyDescent="0.15">
      <c r="C7" s="255" t="s">
        <v>746</v>
      </c>
      <c r="D7" s="59">
        <v>2.1</v>
      </c>
      <c r="E7" s="59"/>
      <c r="F7" s="59">
        <v>1</v>
      </c>
      <c r="G7" s="59">
        <v>2.5</v>
      </c>
      <c r="H7" s="59">
        <v>2</v>
      </c>
      <c r="I7" s="59">
        <v>4</v>
      </c>
      <c r="K7" s="115" t="s">
        <v>1163</v>
      </c>
      <c r="L7" s="274">
        <v>2.1</v>
      </c>
      <c r="M7" s="274">
        <v>1.1000000000000001</v>
      </c>
      <c r="N7" s="256">
        <v>1.2</v>
      </c>
      <c r="O7" s="274">
        <v>1.8</v>
      </c>
      <c r="P7" s="274">
        <v>2.4</v>
      </c>
      <c r="Q7" s="274">
        <v>3.2</v>
      </c>
    </row>
    <row r="8" spans="1:17" x14ac:dyDescent="0.15">
      <c r="C8" s="255" t="s">
        <v>747</v>
      </c>
      <c r="D8" s="59">
        <v>1.7</v>
      </c>
      <c r="E8" s="59"/>
      <c r="F8" s="59">
        <v>1</v>
      </c>
      <c r="G8" s="59">
        <v>1</v>
      </c>
      <c r="H8" s="59">
        <v>2</v>
      </c>
      <c r="I8" s="59">
        <v>2</v>
      </c>
      <c r="K8" s="115" t="s">
        <v>1164</v>
      </c>
      <c r="L8" s="274">
        <v>1.7</v>
      </c>
      <c r="M8" s="274">
        <v>1.1000000000000001</v>
      </c>
      <c r="N8" s="256">
        <v>1.1000000000000001</v>
      </c>
      <c r="O8" s="274">
        <v>1.5</v>
      </c>
      <c r="P8" s="274">
        <v>1.9</v>
      </c>
      <c r="Q8" s="274">
        <v>2.2999999999999998</v>
      </c>
    </row>
    <row r="9" spans="1:17" x14ac:dyDescent="0.15">
      <c r="C9" s="255" t="s">
        <v>748</v>
      </c>
      <c r="D9" s="59">
        <v>0.4</v>
      </c>
      <c r="E9" s="59"/>
      <c r="F9" s="59">
        <v>0</v>
      </c>
      <c r="G9" s="59">
        <v>1.5</v>
      </c>
      <c r="H9" s="59">
        <v>0</v>
      </c>
      <c r="I9" s="59">
        <v>2</v>
      </c>
      <c r="K9" s="115" t="s">
        <v>1165</v>
      </c>
      <c r="L9" s="274">
        <v>0.4</v>
      </c>
      <c r="M9" s="274">
        <v>0.1</v>
      </c>
      <c r="N9" s="256">
        <v>0.1</v>
      </c>
      <c r="O9" s="274">
        <v>0.3</v>
      </c>
      <c r="P9" s="274">
        <v>0.5</v>
      </c>
      <c r="Q9" s="274">
        <v>0.9</v>
      </c>
    </row>
    <row r="10" spans="1:17" x14ac:dyDescent="0.15">
      <c r="C10" s="255" t="s">
        <v>749</v>
      </c>
      <c r="D10" s="59">
        <v>0.5</v>
      </c>
      <c r="E10" s="59"/>
      <c r="F10" s="59">
        <v>0.2</v>
      </c>
      <c r="G10" s="59">
        <v>0.2</v>
      </c>
      <c r="H10" s="59">
        <v>0.5</v>
      </c>
      <c r="I10" s="59">
        <v>0.7</v>
      </c>
      <c r="K10" s="115" t="s">
        <v>1166</v>
      </c>
      <c r="L10" s="274">
        <v>0.5</v>
      </c>
      <c r="M10" s="274">
        <v>0.1</v>
      </c>
      <c r="N10" s="256">
        <v>0.2</v>
      </c>
      <c r="O10" s="274">
        <v>0.4</v>
      </c>
      <c r="P10" s="274">
        <v>0.6</v>
      </c>
      <c r="Q10" s="274">
        <v>0.9</v>
      </c>
    </row>
    <row r="11" spans="1:17" x14ac:dyDescent="0.15">
      <c r="C11" s="255" t="s">
        <v>750</v>
      </c>
      <c r="D11" s="59">
        <v>0.4</v>
      </c>
      <c r="E11" s="59"/>
      <c r="F11" s="59">
        <v>0.4</v>
      </c>
      <c r="G11" s="59">
        <v>0.9</v>
      </c>
      <c r="H11" s="59">
        <v>0.4</v>
      </c>
      <c r="I11" s="59">
        <v>0.3</v>
      </c>
      <c r="K11" s="115" t="s">
        <v>1167</v>
      </c>
      <c r="L11" s="274">
        <v>0.4</v>
      </c>
      <c r="M11" s="274">
        <v>0.5</v>
      </c>
      <c r="N11" s="256">
        <v>0.6</v>
      </c>
      <c r="O11" s="274">
        <v>0.5</v>
      </c>
      <c r="P11" s="274">
        <v>0.4</v>
      </c>
      <c r="Q11" s="274">
        <v>0.3</v>
      </c>
    </row>
    <row r="12" spans="1:17" x14ac:dyDescent="0.15">
      <c r="C12" s="255" t="s">
        <v>751</v>
      </c>
      <c r="D12" s="59">
        <v>52.3</v>
      </c>
      <c r="E12" s="59"/>
      <c r="F12" s="59">
        <v>37.9</v>
      </c>
      <c r="G12" s="59">
        <v>39.1</v>
      </c>
      <c r="H12" s="59">
        <v>42.1</v>
      </c>
      <c r="I12" s="59">
        <v>40.5</v>
      </c>
      <c r="K12" s="115" t="s">
        <v>1168</v>
      </c>
      <c r="L12" s="274">
        <v>52.1</v>
      </c>
      <c r="M12" s="274">
        <v>31.2</v>
      </c>
      <c r="N12" s="256">
        <v>58.9</v>
      </c>
      <c r="O12" s="274">
        <v>55.7</v>
      </c>
      <c r="P12" s="274">
        <v>50.5</v>
      </c>
      <c r="Q12" s="274">
        <v>49.5</v>
      </c>
    </row>
    <row r="13" spans="1:17" x14ac:dyDescent="0.15">
      <c r="C13" s="255" t="s">
        <v>752</v>
      </c>
      <c r="D13" s="59">
        <v>1.5</v>
      </c>
      <c r="E13" s="59"/>
      <c r="F13" s="59">
        <v>1</v>
      </c>
      <c r="G13" s="59">
        <v>1.5</v>
      </c>
      <c r="H13" s="59">
        <v>1.5</v>
      </c>
      <c r="I13" s="59">
        <v>2.1</v>
      </c>
      <c r="K13" s="115" t="s">
        <v>1169</v>
      </c>
      <c r="L13" s="274">
        <v>1.5</v>
      </c>
      <c r="M13" s="274">
        <v>1.1000000000000001</v>
      </c>
      <c r="N13" s="256">
        <v>1.1000000000000001</v>
      </c>
      <c r="O13" s="274">
        <v>1.3</v>
      </c>
      <c r="P13" s="274">
        <v>1.6</v>
      </c>
      <c r="Q13" s="274">
        <v>2</v>
      </c>
    </row>
    <row r="14" spans="1:17" x14ac:dyDescent="0.15">
      <c r="C14" s="255" t="s">
        <v>753</v>
      </c>
      <c r="D14" s="59">
        <v>112.7</v>
      </c>
      <c r="E14" s="59"/>
      <c r="F14" s="59">
        <v>75.099999999999994</v>
      </c>
      <c r="G14" s="59">
        <v>106.8</v>
      </c>
      <c r="H14" s="59">
        <v>113.9</v>
      </c>
      <c r="I14" s="59">
        <v>135.6</v>
      </c>
      <c r="K14" s="115" t="s">
        <v>1170</v>
      </c>
      <c r="L14" s="274">
        <v>112.9</v>
      </c>
      <c r="M14" s="274">
        <v>71.599999999999994</v>
      </c>
      <c r="N14" s="256">
        <v>82.9</v>
      </c>
      <c r="O14" s="274">
        <v>100</v>
      </c>
      <c r="P14" s="274">
        <v>120.7</v>
      </c>
      <c r="Q14" s="274">
        <v>153.30000000000001</v>
      </c>
    </row>
    <row r="15" spans="1:17" x14ac:dyDescent="0.15">
      <c r="C15" s="255" t="s">
        <v>754</v>
      </c>
      <c r="D15" s="59">
        <v>1953.7</v>
      </c>
      <c r="E15" s="59"/>
      <c r="F15" s="59">
        <v>1948.5</v>
      </c>
      <c r="G15" s="59">
        <v>1956.4</v>
      </c>
      <c r="H15" s="59">
        <v>1949.3</v>
      </c>
      <c r="I15" s="59">
        <v>1952.3</v>
      </c>
      <c r="K15" s="115" t="s">
        <v>1171</v>
      </c>
      <c r="L15" s="274">
        <v>1953.5</v>
      </c>
      <c r="M15" s="274">
        <v>1951.6</v>
      </c>
      <c r="N15" s="256">
        <v>1956.7</v>
      </c>
      <c r="O15" s="274">
        <v>1954.6</v>
      </c>
      <c r="P15" s="274">
        <v>1954.3</v>
      </c>
      <c r="Q15" s="274">
        <v>1949.8</v>
      </c>
    </row>
    <row r="16" spans="1:17" x14ac:dyDescent="0.15">
      <c r="C16" s="255" t="s">
        <v>192</v>
      </c>
      <c r="D16" s="256">
        <v>300480.3</v>
      </c>
      <c r="E16" s="256"/>
      <c r="F16" s="256">
        <v>183861.1</v>
      </c>
      <c r="G16" s="256">
        <v>246764.4</v>
      </c>
      <c r="H16" s="256">
        <v>330719.8</v>
      </c>
      <c r="I16" s="256">
        <v>417210.8</v>
      </c>
      <c r="K16" s="115" t="s">
        <v>192</v>
      </c>
      <c r="L16" s="274">
        <v>299116</v>
      </c>
      <c r="M16" s="274">
        <v>138418</v>
      </c>
      <c r="N16" s="256">
        <v>169475.20000000001</v>
      </c>
      <c r="O16" s="274">
        <v>241315.7</v>
      </c>
      <c r="P16" s="274">
        <v>319664.09999999998</v>
      </c>
      <c r="Q16" s="274">
        <v>481023.5</v>
      </c>
    </row>
    <row r="17" spans="3:17" x14ac:dyDescent="0.15">
      <c r="C17" s="255" t="s">
        <v>755</v>
      </c>
      <c r="D17" s="256">
        <f>E17</f>
        <v>38606</v>
      </c>
      <c r="E17" s="256">
        <v>38606</v>
      </c>
      <c r="F17" s="256">
        <v>20252.900000000001</v>
      </c>
      <c r="G17" s="256">
        <v>34015.5</v>
      </c>
      <c r="H17" s="256">
        <v>39231</v>
      </c>
      <c r="I17" s="256">
        <v>55719.1</v>
      </c>
      <c r="K17" s="115" t="s">
        <v>755</v>
      </c>
      <c r="L17" s="274">
        <v>36304</v>
      </c>
      <c r="M17" s="274">
        <v>19163.5</v>
      </c>
      <c r="N17" s="256">
        <v>20592.599999999999</v>
      </c>
      <c r="O17" s="274">
        <v>30126.9</v>
      </c>
      <c r="P17" s="274">
        <v>40326.9</v>
      </c>
      <c r="Q17" s="274">
        <v>55840.1</v>
      </c>
    </row>
    <row r="18" spans="3:17" x14ac:dyDescent="0.15">
      <c r="C18" s="255" t="s">
        <v>756</v>
      </c>
      <c r="D18" s="256">
        <f t="shared" ref="D18:D81" si="0">E18</f>
        <v>154</v>
      </c>
      <c r="E18" s="256">
        <v>154</v>
      </c>
      <c r="F18" s="256">
        <v>64.599999999999994</v>
      </c>
      <c r="G18" s="256">
        <v>123.2</v>
      </c>
      <c r="H18" s="256">
        <v>159.80000000000001</v>
      </c>
      <c r="I18" s="256">
        <v>321.2</v>
      </c>
      <c r="K18" s="115" t="s">
        <v>756</v>
      </c>
      <c r="L18" s="274">
        <v>143.80000000000001</v>
      </c>
      <c r="M18" s="274">
        <v>81.900000000000006</v>
      </c>
      <c r="N18" s="256">
        <v>64.400000000000006</v>
      </c>
      <c r="O18" s="274">
        <v>182.4</v>
      </c>
      <c r="P18" s="274">
        <v>152.19999999999999</v>
      </c>
      <c r="Q18" s="274">
        <v>181.3</v>
      </c>
    </row>
    <row r="19" spans="3:17" x14ac:dyDescent="0.15">
      <c r="C19" s="255" t="s">
        <v>757</v>
      </c>
      <c r="D19" s="256">
        <f t="shared" si="0"/>
        <v>116</v>
      </c>
      <c r="E19" s="256">
        <v>116</v>
      </c>
      <c r="F19" s="256">
        <v>43.6</v>
      </c>
      <c r="G19" s="256">
        <v>104.8</v>
      </c>
      <c r="H19" s="256">
        <v>129.30000000000001</v>
      </c>
      <c r="I19" s="256">
        <v>209.4</v>
      </c>
      <c r="K19" s="115" t="s">
        <v>757</v>
      </c>
      <c r="L19" s="274">
        <v>120.4</v>
      </c>
      <c r="M19" s="274">
        <v>31</v>
      </c>
      <c r="N19" s="256">
        <v>64.599999999999994</v>
      </c>
      <c r="O19" s="274">
        <v>106.1</v>
      </c>
      <c r="P19" s="274">
        <v>131.1</v>
      </c>
      <c r="Q19" s="274">
        <v>192.2</v>
      </c>
    </row>
    <row r="20" spans="3:17" x14ac:dyDescent="0.15">
      <c r="C20" s="255" t="s">
        <v>758</v>
      </c>
      <c r="D20" s="256">
        <f t="shared" si="0"/>
        <v>2140</v>
      </c>
      <c r="E20" s="256">
        <v>2140</v>
      </c>
      <c r="F20" s="256">
        <v>1245</v>
      </c>
      <c r="G20" s="256">
        <v>1982.7</v>
      </c>
      <c r="H20" s="256">
        <v>2309.4</v>
      </c>
      <c r="I20" s="256">
        <v>3307.4</v>
      </c>
      <c r="K20" s="115" t="s">
        <v>758</v>
      </c>
      <c r="L20" s="274">
        <v>2234.9</v>
      </c>
      <c r="M20" s="274">
        <v>1142.2</v>
      </c>
      <c r="N20" s="256">
        <v>1274.0999999999999</v>
      </c>
      <c r="O20" s="274">
        <v>1841.7</v>
      </c>
      <c r="P20" s="274">
        <v>2364</v>
      </c>
      <c r="Q20" s="274">
        <v>3544.9</v>
      </c>
    </row>
    <row r="21" spans="3:17" x14ac:dyDescent="0.15">
      <c r="C21" s="255" t="s">
        <v>759</v>
      </c>
      <c r="D21" s="256">
        <f t="shared" si="0"/>
        <v>1487</v>
      </c>
      <c r="E21" s="256">
        <v>1487</v>
      </c>
      <c r="F21" s="256">
        <v>731.1</v>
      </c>
      <c r="G21" s="256">
        <v>1064.5999999999999</v>
      </c>
      <c r="H21" s="256">
        <v>1467.4</v>
      </c>
      <c r="I21" s="256">
        <v>1922.6</v>
      </c>
      <c r="K21" s="115" t="s">
        <v>759</v>
      </c>
      <c r="L21" s="274">
        <v>1384.3</v>
      </c>
      <c r="M21" s="274">
        <v>710.5</v>
      </c>
      <c r="N21" s="256">
        <v>871.9</v>
      </c>
      <c r="O21" s="274">
        <v>1176.5999999999999</v>
      </c>
      <c r="P21" s="274">
        <v>1515</v>
      </c>
      <c r="Q21" s="274">
        <v>2055.1</v>
      </c>
    </row>
    <row r="22" spans="3:17" x14ac:dyDescent="0.15">
      <c r="C22" s="255" t="s">
        <v>760</v>
      </c>
      <c r="D22" s="256">
        <f t="shared" si="0"/>
        <v>156</v>
      </c>
      <c r="E22" s="256">
        <v>156</v>
      </c>
      <c r="F22" s="256">
        <v>166.2</v>
      </c>
      <c r="G22" s="256">
        <v>310.3</v>
      </c>
      <c r="H22" s="256">
        <v>140.30000000000001</v>
      </c>
      <c r="I22" s="256">
        <v>249.3</v>
      </c>
      <c r="K22" s="115" t="s">
        <v>760</v>
      </c>
      <c r="L22" s="274">
        <v>165</v>
      </c>
      <c r="M22" s="274">
        <v>233.4</v>
      </c>
      <c r="N22" s="256">
        <v>117.8</v>
      </c>
      <c r="O22" s="274">
        <v>166.4</v>
      </c>
      <c r="P22" s="274">
        <v>174</v>
      </c>
      <c r="Q22" s="274">
        <v>178.8</v>
      </c>
    </row>
    <row r="23" spans="3:17" x14ac:dyDescent="0.15">
      <c r="C23" s="255" t="s">
        <v>761</v>
      </c>
      <c r="D23" s="256">
        <f t="shared" si="0"/>
        <v>363</v>
      </c>
      <c r="E23" s="256">
        <v>363</v>
      </c>
      <c r="F23" s="256">
        <v>241.9</v>
      </c>
      <c r="G23" s="256">
        <v>433.4</v>
      </c>
      <c r="H23" s="256">
        <v>341.8</v>
      </c>
      <c r="I23" s="256">
        <v>646.79999999999995</v>
      </c>
      <c r="K23" s="115" t="s">
        <v>761</v>
      </c>
      <c r="L23" s="274">
        <v>364.1</v>
      </c>
      <c r="M23" s="274">
        <v>196.4</v>
      </c>
      <c r="N23" s="256">
        <v>157.69999999999999</v>
      </c>
      <c r="O23" s="274">
        <v>257</v>
      </c>
      <c r="P23" s="274">
        <v>482</v>
      </c>
      <c r="Q23" s="274">
        <v>580.79999999999995</v>
      </c>
    </row>
    <row r="24" spans="3:17" x14ac:dyDescent="0.15">
      <c r="C24" s="255" t="s">
        <v>762</v>
      </c>
      <c r="D24" s="256">
        <f t="shared" si="0"/>
        <v>393</v>
      </c>
      <c r="E24" s="256">
        <v>393</v>
      </c>
      <c r="F24" s="256">
        <v>191.5</v>
      </c>
      <c r="G24" s="256">
        <v>448.4</v>
      </c>
      <c r="H24" s="256">
        <v>326.5</v>
      </c>
      <c r="I24" s="256">
        <v>823.6</v>
      </c>
      <c r="K24" s="115" t="s">
        <v>762</v>
      </c>
      <c r="L24" s="274">
        <v>387.7</v>
      </c>
      <c r="M24" s="274">
        <v>229</v>
      </c>
      <c r="N24" s="256">
        <v>174.3</v>
      </c>
      <c r="O24" s="274">
        <v>285.60000000000002</v>
      </c>
      <c r="P24" s="274">
        <v>373.5</v>
      </c>
      <c r="Q24" s="274">
        <v>705.5</v>
      </c>
    </row>
    <row r="25" spans="3:17" x14ac:dyDescent="0.15">
      <c r="C25" s="255" t="s">
        <v>763</v>
      </c>
      <c r="D25" s="256">
        <f t="shared" si="0"/>
        <v>170</v>
      </c>
      <c r="E25" s="256">
        <v>170</v>
      </c>
      <c r="F25" s="256">
        <v>102.6</v>
      </c>
      <c r="G25" s="256">
        <v>216.7</v>
      </c>
      <c r="H25" s="256">
        <v>198.6</v>
      </c>
      <c r="I25" s="256">
        <v>264.89999999999998</v>
      </c>
      <c r="K25" s="115" t="s">
        <v>763</v>
      </c>
      <c r="L25" s="274">
        <v>174.6</v>
      </c>
      <c r="M25" s="274">
        <v>113.6</v>
      </c>
      <c r="N25" s="256">
        <v>89.3</v>
      </c>
      <c r="O25" s="274">
        <v>129.80000000000001</v>
      </c>
      <c r="P25" s="274">
        <v>198.1</v>
      </c>
      <c r="Q25" s="274">
        <v>282.2</v>
      </c>
    </row>
    <row r="26" spans="3:17" x14ac:dyDescent="0.15">
      <c r="C26" s="255" t="s">
        <v>764</v>
      </c>
      <c r="D26" s="256">
        <f t="shared" si="0"/>
        <v>2198</v>
      </c>
      <c r="E26" s="256">
        <v>2198</v>
      </c>
      <c r="F26" s="256">
        <v>1238.9000000000001</v>
      </c>
      <c r="G26" s="256">
        <v>1856.8</v>
      </c>
      <c r="H26" s="256">
        <v>2721.5</v>
      </c>
      <c r="I26" s="256">
        <v>3377.1</v>
      </c>
      <c r="K26" s="115" t="s">
        <v>764</v>
      </c>
      <c r="L26" s="274">
        <v>2203.3000000000002</v>
      </c>
      <c r="M26" s="274">
        <v>1021.9</v>
      </c>
      <c r="N26" s="256">
        <v>982.9</v>
      </c>
      <c r="O26" s="274">
        <v>1909</v>
      </c>
      <c r="P26" s="274">
        <v>2529.6</v>
      </c>
      <c r="Q26" s="274">
        <v>3502.5</v>
      </c>
    </row>
    <row r="27" spans="3:17" x14ac:dyDescent="0.15">
      <c r="C27" s="255" t="s">
        <v>765</v>
      </c>
      <c r="D27" s="256">
        <f t="shared" si="0"/>
        <v>1112</v>
      </c>
      <c r="E27" s="256">
        <v>1112</v>
      </c>
      <c r="F27" s="256">
        <v>522.29999999999995</v>
      </c>
      <c r="G27" s="256">
        <v>877.1</v>
      </c>
      <c r="H27" s="256">
        <v>1168.7</v>
      </c>
      <c r="I27" s="256">
        <v>1405.2</v>
      </c>
      <c r="K27" s="115" t="s">
        <v>765</v>
      </c>
      <c r="L27" s="274">
        <v>1108.9000000000001</v>
      </c>
      <c r="M27" s="274">
        <v>378</v>
      </c>
      <c r="N27" s="256">
        <v>556.6</v>
      </c>
      <c r="O27" s="274">
        <v>1029.7</v>
      </c>
      <c r="P27" s="274">
        <v>1471.7</v>
      </c>
      <c r="Q27" s="274">
        <v>1527.1</v>
      </c>
    </row>
    <row r="28" spans="3:17" x14ac:dyDescent="0.15">
      <c r="C28" s="255" t="s">
        <v>766</v>
      </c>
      <c r="D28" s="256">
        <f t="shared" si="0"/>
        <v>144</v>
      </c>
      <c r="E28" s="256">
        <v>144</v>
      </c>
      <c r="F28" s="256">
        <v>43.1</v>
      </c>
      <c r="G28" s="256">
        <v>32.299999999999997</v>
      </c>
      <c r="H28" s="256">
        <v>211</v>
      </c>
      <c r="I28" s="256">
        <v>227.8</v>
      </c>
      <c r="K28" s="115" t="s">
        <v>766</v>
      </c>
      <c r="L28" s="274">
        <v>162</v>
      </c>
      <c r="M28" s="274">
        <v>79</v>
      </c>
      <c r="N28" s="256">
        <v>65</v>
      </c>
      <c r="O28" s="274">
        <v>101.1</v>
      </c>
      <c r="P28" s="274">
        <v>218.1</v>
      </c>
      <c r="Q28" s="274">
        <v>274</v>
      </c>
    </row>
    <row r="29" spans="3:17" x14ac:dyDescent="0.15">
      <c r="C29" s="255" t="s">
        <v>767</v>
      </c>
      <c r="D29" s="256">
        <f t="shared" si="0"/>
        <v>1237</v>
      </c>
      <c r="E29" s="256">
        <v>1237</v>
      </c>
      <c r="F29" s="256">
        <v>594.79999999999995</v>
      </c>
      <c r="G29" s="256">
        <v>1134.0999999999999</v>
      </c>
      <c r="H29" s="256">
        <v>1214.9000000000001</v>
      </c>
      <c r="I29" s="256">
        <v>1949.1</v>
      </c>
      <c r="K29" s="115" t="s">
        <v>767</v>
      </c>
      <c r="L29" s="274">
        <v>1130</v>
      </c>
      <c r="M29" s="274">
        <v>941.1</v>
      </c>
      <c r="N29" s="256">
        <v>568.9</v>
      </c>
      <c r="O29" s="274">
        <v>886.4</v>
      </c>
      <c r="P29" s="274">
        <v>1273.9000000000001</v>
      </c>
      <c r="Q29" s="274">
        <v>1747.8</v>
      </c>
    </row>
    <row r="30" spans="3:17" x14ac:dyDescent="0.15">
      <c r="C30" s="255" t="s">
        <v>768</v>
      </c>
      <c r="D30" s="256">
        <f t="shared" si="0"/>
        <v>20</v>
      </c>
      <c r="E30" s="256">
        <v>20</v>
      </c>
      <c r="F30" s="256">
        <v>27</v>
      </c>
      <c r="G30" s="256">
        <v>5.8</v>
      </c>
      <c r="H30" s="256">
        <v>80.400000000000006</v>
      </c>
      <c r="I30" s="256">
        <v>33.200000000000003</v>
      </c>
      <c r="K30" s="115" t="s">
        <v>768</v>
      </c>
      <c r="L30" s="274">
        <v>38.200000000000003</v>
      </c>
      <c r="M30" s="274">
        <v>8.4</v>
      </c>
      <c r="N30" s="256">
        <v>2.6</v>
      </c>
      <c r="O30" s="274">
        <v>63.2</v>
      </c>
      <c r="P30" s="274">
        <v>48.8</v>
      </c>
      <c r="Q30" s="274">
        <v>43.2</v>
      </c>
    </row>
    <row r="31" spans="3:17" x14ac:dyDescent="0.15">
      <c r="C31" s="255" t="s">
        <v>769</v>
      </c>
      <c r="D31" s="256">
        <f t="shared" si="0"/>
        <v>27</v>
      </c>
      <c r="E31" s="256">
        <v>27</v>
      </c>
      <c r="F31" s="256">
        <v>24.8</v>
      </c>
      <c r="G31" s="256">
        <v>20.100000000000001</v>
      </c>
      <c r="H31" s="256">
        <v>22.7</v>
      </c>
      <c r="I31" s="256">
        <v>21.4</v>
      </c>
      <c r="K31" s="115" t="s">
        <v>769</v>
      </c>
      <c r="L31" s="274">
        <v>28</v>
      </c>
      <c r="M31" s="274">
        <v>3.8</v>
      </c>
      <c r="N31" s="256">
        <v>13.3</v>
      </c>
      <c r="O31" s="274">
        <v>40.4</v>
      </c>
      <c r="P31" s="274">
        <v>32.1</v>
      </c>
      <c r="Q31" s="274">
        <v>31</v>
      </c>
    </row>
    <row r="32" spans="3:17" x14ac:dyDescent="0.15">
      <c r="C32" s="255" t="s">
        <v>770</v>
      </c>
      <c r="D32" s="256">
        <f t="shared" si="0"/>
        <v>1511</v>
      </c>
      <c r="E32" s="256">
        <v>1511</v>
      </c>
      <c r="F32" s="256">
        <v>804.7</v>
      </c>
      <c r="G32" s="256">
        <v>1396.1</v>
      </c>
      <c r="H32" s="256">
        <v>1630.5</v>
      </c>
      <c r="I32" s="256">
        <v>2557.4</v>
      </c>
      <c r="K32" s="115" t="s">
        <v>1172</v>
      </c>
      <c r="L32" s="274">
        <v>1520.9</v>
      </c>
      <c r="M32" s="274">
        <v>701.8</v>
      </c>
      <c r="N32" s="256">
        <v>787.8</v>
      </c>
      <c r="O32" s="274">
        <v>1158.9000000000001</v>
      </c>
      <c r="P32" s="274">
        <v>1679.3</v>
      </c>
      <c r="Q32" s="274">
        <v>2528.3000000000002</v>
      </c>
    </row>
    <row r="33" spans="3:17" x14ac:dyDescent="0.15">
      <c r="C33" s="255" t="s">
        <v>771</v>
      </c>
      <c r="D33" s="256">
        <f t="shared" si="0"/>
        <v>1544</v>
      </c>
      <c r="E33" s="256">
        <v>1544</v>
      </c>
      <c r="F33" s="256">
        <v>945.2</v>
      </c>
      <c r="G33" s="256">
        <v>1427.7</v>
      </c>
      <c r="H33" s="256">
        <v>1650.1</v>
      </c>
      <c r="I33" s="256">
        <v>2380.6999999999998</v>
      </c>
      <c r="K33" s="115" t="s">
        <v>1173</v>
      </c>
      <c r="L33" s="274">
        <v>1619.4</v>
      </c>
      <c r="M33" s="274">
        <v>734.8</v>
      </c>
      <c r="N33" s="256">
        <v>981.5</v>
      </c>
      <c r="O33" s="274">
        <v>1460.8</v>
      </c>
      <c r="P33" s="274">
        <v>1789.5</v>
      </c>
      <c r="Q33" s="274">
        <v>2367</v>
      </c>
    </row>
    <row r="34" spans="3:17" x14ac:dyDescent="0.15">
      <c r="C34" s="255" t="s">
        <v>772</v>
      </c>
      <c r="D34" s="256">
        <f t="shared" si="0"/>
        <v>496</v>
      </c>
      <c r="E34" s="256">
        <v>496</v>
      </c>
      <c r="F34" s="256">
        <v>169.7</v>
      </c>
      <c r="G34" s="256">
        <v>408.2</v>
      </c>
      <c r="H34" s="256">
        <v>575.6</v>
      </c>
      <c r="I34" s="256">
        <v>648.4</v>
      </c>
      <c r="K34" s="115" t="s">
        <v>772</v>
      </c>
      <c r="L34" s="274">
        <v>547.29999999999995</v>
      </c>
      <c r="M34" s="274">
        <v>149.69999999999999</v>
      </c>
      <c r="N34" s="256">
        <v>263.7</v>
      </c>
      <c r="O34" s="274">
        <v>483.6</v>
      </c>
      <c r="P34" s="274">
        <v>623.79999999999995</v>
      </c>
      <c r="Q34" s="274">
        <v>873.9</v>
      </c>
    </row>
    <row r="35" spans="3:17" x14ac:dyDescent="0.15">
      <c r="C35" s="255" t="s">
        <v>773</v>
      </c>
      <c r="D35" s="256">
        <f t="shared" si="0"/>
        <v>105</v>
      </c>
      <c r="E35" s="256">
        <v>105</v>
      </c>
      <c r="F35" s="256">
        <v>48</v>
      </c>
      <c r="G35" s="256">
        <v>34.799999999999997</v>
      </c>
      <c r="H35" s="256">
        <v>87.2</v>
      </c>
      <c r="I35" s="256">
        <v>151.30000000000001</v>
      </c>
      <c r="K35" s="115" t="s">
        <v>773</v>
      </c>
      <c r="L35" s="274">
        <v>99.3</v>
      </c>
      <c r="M35" s="274">
        <v>57.4</v>
      </c>
      <c r="N35" s="256">
        <v>63</v>
      </c>
      <c r="O35" s="274">
        <v>103.1</v>
      </c>
      <c r="P35" s="274">
        <v>88</v>
      </c>
      <c r="Q35" s="274">
        <v>144.19999999999999</v>
      </c>
    </row>
    <row r="36" spans="3:17" x14ac:dyDescent="0.15">
      <c r="C36" s="255" t="s">
        <v>774</v>
      </c>
      <c r="D36" s="256">
        <f t="shared" si="0"/>
        <v>115</v>
      </c>
      <c r="E36" s="256">
        <v>115</v>
      </c>
      <c r="F36" s="256">
        <v>41</v>
      </c>
      <c r="G36" s="256">
        <v>41.5</v>
      </c>
      <c r="H36" s="256">
        <v>120.5</v>
      </c>
      <c r="I36" s="256">
        <v>95.8</v>
      </c>
      <c r="K36" s="115" t="s">
        <v>774</v>
      </c>
      <c r="L36" s="274">
        <v>91.9</v>
      </c>
      <c r="M36" s="274">
        <v>16.7</v>
      </c>
      <c r="N36" s="256">
        <v>23.7</v>
      </c>
      <c r="O36" s="274">
        <v>70.5</v>
      </c>
      <c r="P36" s="274">
        <v>105.4</v>
      </c>
      <c r="Q36" s="274">
        <v>175.1</v>
      </c>
    </row>
    <row r="37" spans="3:17" x14ac:dyDescent="0.15">
      <c r="C37" s="255" t="s">
        <v>775</v>
      </c>
      <c r="D37" s="256">
        <f t="shared" si="0"/>
        <v>68</v>
      </c>
      <c r="E37" s="256">
        <v>68</v>
      </c>
      <c r="F37" s="256">
        <v>28.6</v>
      </c>
      <c r="G37" s="256">
        <v>37.299999999999997</v>
      </c>
      <c r="H37" s="256">
        <v>115.5</v>
      </c>
      <c r="I37" s="256">
        <v>88.6</v>
      </c>
      <c r="K37" s="115" t="s">
        <v>775</v>
      </c>
      <c r="L37" s="274">
        <v>89.3</v>
      </c>
      <c r="M37" s="274">
        <v>12.9</v>
      </c>
      <c r="N37" s="256">
        <v>56.8</v>
      </c>
      <c r="O37" s="274">
        <v>76.3</v>
      </c>
      <c r="P37" s="274">
        <v>79.599999999999994</v>
      </c>
      <c r="Q37" s="274">
        <v>153.6</v>
      </c>
    </row>
    <row r="38" spans="3:17" x14ac:dyDescent="0.15">
      <c r="C38" s="255" t="s">
        <v>776</v>
      </c>
      <c r="D38" s="256">
        <f t="shared" si="0"/>
        <v>331</v>
      </c>
      <c r="E38" s="256">
        <v>331</v>
      </c>
      <c r="F38" s="256">
        <v>121.3</v>
      </c>
      <c r="G38" s="256">
        <v>123.2</v>
      </c>
      <c r="H38" s="256">
        <v>321.10000000000002</v>
      </c>
      <c r="I38" s="256">
        <v>337.4</v>
      </c>
      <c r="K38" s="115" t="s">
        <v>1174</v>
      </c>
      <c r="L38" s="274">
        <v>298.5</v>
      </c>
      <c r="M38" s="274">
        <v>125.5</v>
      </c>
      <c r="N38" s="256">
        <v>171.2</v>
      </c>
      <c r="O38" s="274">
        <v>235.6</v>
      </c>
      <c r="P38" s="274">
        <v>414.5</v>
      </c>
      <c r="Q38" s="274">
        <v>412.4</v>
      </c>
    </row>
    <row r="39" spans="3:17" x14ac:dyDescent="0.15">
      <c r="C39" s="255" t="s">
        <v>777</v>
      </c>
      <c r="D39" s="256">
        <f t="shared" si="0"/>
        <v>791</v>
      </c>
      <c r="E39" s="256">
        <v>791</v>
      </c>
      <c r="F39" s="256">
        <v>379.1</v>
      </c>
      <c r="G39" s="256">
        <v>501.4</v>
      </c>
      <c r="H39" s="256">
        <v>799.7</v>
      </c>
      <c r="I39" s="256">
        <v>913.6</v>
      </c>
      <c r="K39" s="115" t="s">
        <v>1175</v>
      </c>
      <c r="L39" s="274">
        <v>768.6</v>
      </c>
      <c r="M39" s="274">
        <v>419.3</v>
      </c>
      <c r="N39" s="256">
        <v>454.4</v>
      </c>
      <c r="O39" s="274">
        <v>702.4</v>
      </c>
      <c r="P39" s="274">
        <v>967.6</v>
      </c>
      <c r="Q39" s="274">
        <v>1016.2</v>
      </c>
    </row>
    <row r="40" spans="3:17" x14ac:dyDescent="0.15">
      <c r="C40" s="255" t="s">
        <v>778</v>
      </c>
      <c r="D40" s="256">
        <f t="shared" si="0"/>
        <v>532</v>
      </c>
      <c r="E40" s="256">
        <v>532</v>
      </c>
      <c r="F40" s="256">
        <v>227.2</v>
      </c>
      <c r="G40" s="256">
        <v>437.5</v>
      </c>
      <c r="H40" s="256">
        <v>358.7</v>
      </c>
      <c r="I40" s="256">
        <v>730.3</v>
      </c>
      <c r="K40" s="115" t="s">
        <v>778</v>
      </c>
      <c r="L40" s="274">
        <v>428.9</v>
      </c>
      <c r="M40" s="274">
        <v>180</v>
      </c>
      <c r="N40" s="256">
        <v>292</v>
      </c>
      <c r="O40" s="274">
        <v>388.2</v>
      </c>
      <c r="P40" s="274">
        <v>483.6</v>
      </c>
      <c r="Q40" s="274">
        <v>595.4</v>
      </c>
    </row>
    <row r="41" spans="3:17" x14ac:dyDescent="0.15">
      <c r="C41" s="255" t="s">
        <v>779</v>
      </c>
      <c r="D41" s="256">
        <f t="shared" si="0"/>
        <v>620</v>
      </c>
      <c r="E41" s="256">
        <v>620</v>
      </c>
      <c r="F41" s="256">
        <v>292.89999999999998</v>
      </c>
      <c r="G41" s="256">
        <v>620.29999999999995</v>
      </c>
      <c r="H41" s="256">
        <v>488.3</v>
      </c>
      <c r="I41" s="256">
        <v>1039.8</v>
      </c>
      <c r="K41" s="115" t="s">
        <v>779</v>
      </c>
      <c r="L41" s="274">
        <v>535.79999999999995</v>
      </c>
      <c r="M41" s="274">
        <v>278.39999999999998</v>
      </c>
      <c r="N41" s="256">
        <v>246</v>
      </c>
      <c r="O41" s="274">
        <v>376.1</v>
      </c>
      <c r="P41" s="274">
        <v>589.1</v>
      </c>
      <c r="Q41" s="274">
        <v>940.6</v>
      </c>
    </row>
    <row r="42" spans="3:17" x14ac:dyDescent="0.15">
      <c r="C42" s="255" t="s">
        <v>780</v>
      </c>
      <c r="D42" s="256">
        <f t="shared" si="0"/>
        <v>13</v>
      </c>
      <c r="E42" s="256">
        <v>13</v>
      </c>
      <c r="F42" s="256">
        <v>1.7</v>
      </c>
      <c r="G42" s="256">
        <v>12.9</v>
      </c>
      <c r="H42" s="256">
        <v>10.1</v>
      </c>
      <c r="I42" s="256">
        <v>15.5</v>
      </c>
      <c r="K42" s="115" t="s">
        <v>1176</v>
      </c>
      <c r="L42" s="274">
        <v>9.5</v>
      </c>
      <c r="M42" s="274">
        <v>25.5</v>
      </c>
      <c r="N42" s="256">
        <v>4</v>
      </c>
      <c r="O42" s="274">
        <v>7.1</v>
      </c>
      <c r="P42" s="274">
        <v>10.9</v>
      </c>
      <c r="Q42" s="274">
        <v>11.3</v>
      </c>
    </row>
    <row r="43" spans="3:17" x14ac:dyDescent="0.15">
      <c r="C43" s="255" t="s">
        <v>781</v>
      </c>
      <c r="D43" s="256">
        <f t="shared" si="0"/>
        <v>794</v>
      </c>
      <c r="E43" s="256">
        <v>794</v>
      </c>
      <c r="F43" s="256">
        <v>388.2</v>
      </c>
      <c r="G43" s="256">
        <v>620.29999999999995</v>
      </c>
      <c r="H43" s="256">
        <v>876</v>
      </c>
      <c r="I43" s="256">
        <v>1205.0999999999999</v>
      </c>
      <c r="K43" s="115" t="s">
        <v>781</v>
      </c>
      <c r="L43" s="274">
        <v>756.4</v>
      </c>
      <c r="M43" s="274">
        <v>309.10000000000002</v>
      </c>
      <c r="N43" s="256">
        <v>418.1</v>
      </c>
      <c r="O43" s="274">
        <v>631.20000000000005</v>
      </c>
      <c r="P43" s="274">
        <v>861.7</v>
      </c>
      <c r="Q43" s="274">
        <v>1173.9000000000001</v>
      </c>
    </row>
    <row r="44" spans="3:17" x14ac:dyDescent="0.15">
      <c r="C44" s="255" t="s">
        <v>782</v>
      </c>
      <c r="D44" s="256">
        <f t="shared" si="0"/>
        <v>1896</v>
      </c>
      <c r="E44" s="256">
        <v>1896</v>
      </c>
      <c r="F44" s="256">
        <v>945.7</v>
      </c>
      <c r="G44" s="256">
        <v>1278.7</v>
      </c>
      <c r="H44" s="256">
        <v>2186.4</v>
      </c>
      <c r="I44" s="256">
        <v>2395.1</v>
      </c>
      <c r="K44" s="115" t="s">
        <v>782</v>
      </c>
      <c r="L44" s="274">
        <v>1891.4</v>
      </c>
      <c r="M44" s="274">
        <v>1002.4</v>
      </c>
      <c r="N44" s="256">
        <v>1057</v>
      </c>
      <c r="O44" s="274">
        <v>1593.9</v>
      </c>
      <c r="P44" s="274">
        <v>2088</v>
      </c>
      <c r="Q44" s="274">
        <v>2908.7</v>
      </c>
    </row>
    <row r="45" spans="3:17" x14ac:dyDescent="0.15">
      <c r="C45" s="255" t="s">
        <v>783</v>
      </c>
      <c r="D45" s="256">
        <f t="shared" si="0"/>
        <v>823</v>
      </c>
      <c r="E45" s="256">
        <v>823</v>
      </c>
      <c r="F45" s="256">
        <v>434</v>
      </c>
      <c r="G45" s="256">
        <v>640</v>
      </c>
      <c r="H45" s="256">
        <v>732.7</v>
      </c>
      <c r="I45" s="256">
        <v>974.4</v>
      </c>
      <c r="K45" s="115" t="s">
        <v>783</v>
      </c>
      <c r="L45" s="274">
        <v>725.8</v>
      </c>
      <c r="M45" s="274">
        <v>411.7</v>
      </c>
      <c r="N45" s="256">
        <v>511.6</v>
      </c>
      <c r="O45" s="274">
        <v>666.1</v>
      </c>
      <c r="P45" s="274">
        <v>697.6</v>
      </c>
      <c r="Q45" s="274">
        <v>1052.8</v>
      </c>
    </row>
    <row r="46" spans="3:17" x14ac:dyDescent="0.15">
      <c r="C46" s="255" t="s">
        <v>784</v>
      </c>
      <c r="D46" s="256">
        <f t="shared" si="0"/>
        <v>650</v>
      </c>
      <c r="E46" s="256">
        <v>650</v>
      </c>
      <c r="F46" s="256">
        <v>340.8</v>
      </c>
      <c r="G46" s="256">
        <v>590</v>
      </c>
      <c r="H46" s="256">
        <v>692.3</v>
      </c>
      <c r="I46" s="256">
        <v>883.2</v>
      </c>
      <c r="K46" s="115" t="s">
        <v>784</v>
      </c>
      <c r="L46" s="274">
        <v>619.9</v>
      </c>
      <c r="M46" s="274">
        <v>386.1</v>
      </c>
      <c r="N46" s="256">
        <v>388.4</v>
      </c>
      <c r="O46" s="274">
        <v>544.29999999999995</v>
      </c>
      <c r="P46" s="274">
        <v>667.7</v>
      </c>
      <c r="Q46" s="274">
        <v>897.9</v>
      </c>
    </row>
    <row r="47" spans="3:17" x14ac:dyDescent="0.15">
      <c r="C47" s="255" t="s">
        <v>785</v>
      </c>
      <c r="D47" s="256">
        <f t="shared" si="0"/>
        <v>652</v>
      </c>
      <c r="E47" s="256">
        <v>652</v>
      </c>
      <c r="F47" s="256">
        <v>290.7</v>
      </c>
      <c r="G47" s="256">
        <v>566.70000000000005</v>
      </c>
      <c r="H47" s="256">
        <v>535.70000000000005</v>
      </c>
      <c r="I47" s="256">
        <v>810</v>
      </c>
      <c r="K47" s="115" t="s">
        <v>785</v>
      </c>
      <c r="L47" s="274">
        <v>553.79999999999995</v>
      </c>
      <c r="M47" s="274">
        <v>195.7</v>
      </c>
      <c r="N47" s="256">
        <v>414</v>
      </c>
      <c r="O47" s="274">
        <v>502.1</v>
      </c>
      <c r="P47" s="274">
        <v>616.5</v>
      </c>
      <c r="Q47" s="274">
        <v>752.7</v>
      </c>
    </row>
    <row r="48" spans="3:17" x14ac:dyDescent="0.15">
      <c r="C48" s="255" t="s">
        <v>786</v>
      </c>
      <c r="D48" s="256">
        <f t="shared" si="0"/>
        <v>153</v>
      </c>
      <c r="E48" s="256">
        <v>153</v>
      </c>
      <c r="F48" s="256">
        <v>68.099999999999994</v>
      </c>
      <c r="G48" s="256">
        <v>100.9</v>
      </c>
      <c r="H48" s="256">
        <v>110.7</v>
      </c>
      <c r="I48" s="256">
        <v>238.1</v>
      </c>
      <c r="K48" s="115" t="s">
        <v>786</v>
      </c>
      <c r="L48" s="274">
        <v>146.19999999999999</v>
      </c>
      <c r="M48" s="274">
        <v>66.8</v>
      </c>
      <c r="N48" s="256">
        <v>102.7</v>
      </c>
      <c r="O48" s="274">
        <v>144.30000000000001</v>
      </c>
      <c r="P48" s="274">
        <v>150.5</v>
      </c>
      <c r="Q48" s="274">
        <v>199.1</v>
      </c>
    </row>
    <row r="49" spans="3:17" x14ac:dyDescent="0.15">
      <c r="C49" s="255" t="s">
        <v>787</v>
      </c>
      <c r="D49" s="256">
        <f t="shared" si="0"/>
        <v>115</v>
      </c>
      <c r="E49" s="256">
        <v>115</v>
      </c>
      <c r="F49" s="256">
        <v>45.6</v>
      </c>
      <c r="G49" s="256">
        <v>77.7</v>
      </c>
      <c r="H49" s="256">
        <v>125.9</v>
      </c>
      <c r="I49" s="256">
        <v>266.2</v>
      </c>
      <c r="K49" s="115" t="s">
        <v>787</v>
      </c>
      <c r="L49" s="274">
        <v>114.3</v>
      </c>
      <c r="M49" s="274">
        <v>39.200000000000003</v>
      </c>
      <c r="N49" s="256">
        <v>49.8</v>
      </c>
      <c r="O49" s="274">
        <v>85</v>
      </c>
      <c r="P49" s="274">
        <v>110.1</v>
      </c>
      <c r="Q49" s="274">
        <v>215.4</v>
      </c>
    </row>
    <row r="50" spans="3:17" x14ac:dyDescent="0.15">
      <c r="C50" s="255" t="s">
        <v>788</v>
      </c>
      <c r="D50" s="256">
        <f t="shared" si="0"/>
        <v>104</v>
      </c>
      <c r="E50" s="256">
        <v>104</v>
      </c>
      <c r="F50" s="256">
        <v>81.400000000000006</v>
      </c>
      <c r="G50" s="256">
        <v>134.9</v>
      </c>
      <c r="H50" s="256">
        <v>76</v>
      </c>
      <c r="I50" s="256">
        <v>153.6</v>
      </c>
      <c r="K50" s="115" t="s">
        <v>1177</v>
      </c>
      <c r="L50" s="274">
        <v>90.5</v>
      </c>
      <c r="M50" s="274">
        <v>47.1</v>
      </c>
      <c r="N50" s="256">
        <v>68.400000000000006</v>
      </c>
      <c r="O50" s="274">
        <v>93.9</v>
      </c>
      <c r="P50" s="274">
        <v>104.1</v>
      </c>
      <c r="Q50" s="274">
        <v>105.4</v>
      </c>
    </row>
    <row r="51" spans="3:17" x14ac:dyDescent="0.15">
      <c r="C51" s="255" t="s">
        <v>789</v>
      </c>
      <c r="D51" s="256">
        <f t="shared" si="0"/>
        <v>12</v>
      </c>
      <c r="E51" s="256">
        <v>12</v>
      </c>
      <c r="F51" s="256">
        <v>0.7</v>
      </c>
      <c r="G51" s="256">
        <v>1.4</v>
      </c>
      <c r="H51" s="256">
        <v>7.7</v>
      </c>
      <c r="I51" s="256">
        <v>3.5</v>
      </c>
      <c r="K51" s="115" t="s">
        <v>1178</v>
      </c>
      <c r="L51" s="274">
        <v>10</v>
      </c>
      <c r="M51" s="274">
        <v>13.1</v>
      </c>
      <c r="N51" s="256">
        <v>18.8</v>
      </c>
      <c r="O51" s="274">
        <v>7.6</v>
      </c>
      <c r="P51" s="274">
        <v>9.6999999999999993</v>
      </c>
      <c r="Q51" s="274">
        <v>4.3</v>
      </c>
    </row>
    <row r="52" spans="3:17" x14ac:dyDescent="0.15">
      <c r="C52" s="255" t="s">
        <v>790</v>
      </c>
      <c r="D52" s="256">
        <f t="shared" si="0"/>
        <v>2376</v>
      </c>
      <c r="E52" s="256">
        <v>2376</v>
      </c>
      <c r="F52" s="256">
        <v>1107.7</v>
      </c>
      <c r="G52" s="256">
        <v>2179.4</v>
      </c>
      <c r="H52" s="256">
        <v>2334</v>
      </c>
      <c r="I52" s="256">
        <v>3679</v>
      </c>
      <c r="K52" s="115" t="s">
        <v>790</v>
      </c>
      <c r="L52" s="274">
        <v>2259.1</v>
      </c>
      <c r="M52" s="274">
        <v>1089.5</v>
      </c>
      <c r="N52" s="256">
        <v>1344</v>
      </c>
      <c r="O52" s="274">
        <v>1840.9</v>
      </c>
      <c r="P52" s="274">
        <v>2505.6</v>
      </c>
      <c r="Q52" s="274">
        <v>3482.5</v>
      </c>
    </row>
    <row r="53" spans="3:17" x14ac:dyDescent="0.15">
      <c r="C53" s="255" t="s">
        <v>791</v>
      </c>
      <c r="D53" s="256">
        <f t="shared" si="0"/>
        <v>65</v>
      </c>
      <c r="E53" s="256">
        <v>65</v>
      </c>
      <c r="F53" s="256">
        <v>49.3</v>
      </c>
      <c r="G53" s="256">
        <v>69.900000000000006</v>
      </c>
      <c r="H53" s="256">
        <v>46.7</v>
      </c>
      <c r="I53" s="256">
        <v>139.19999999999999</v>
      </c>
      <c r="K53" s="115" t="s">
        <v>791</v>
      </c>
      <c r="L53" s="274">
        <v>65.5</v>
      </c>
      <c r="M53" s="274">
        <v>82.7</v>
      </c>
      <c r="N53" s="256">
        <v>27.2</v>
      </c>
      <c r="O53" s="274">
        <v>45</v>
      </c>
      <c r="P53" s="274">
        <v>66.5</v>
      </c>
      <c r="Q53" s="274">
        <v>111</v>
      </c>
    </row>
    <row r="54" spans="3:17" x14ac:dyDescent="0.15">
      <c r="C54" s="255" t="s">
        <v>792</v>
      </c>
      <c r="D54" s="256">
        <f t="shared" si="0"/>
        <v>880</v>
      </c>
      <c r="E54" s="256">
        <v>880</v>
      </c>
      <c r="F54" s="256">
        <v>463.8</v>
      </c>
      <c r="G54" s="256">
        <v>744.6</v>
      </c>
      <c r="H54" s="256">
        <v>891.6</v>
      </c>
      <c r="I54" s="256">
        <v>1170.3</v>
      </c>
      <c r="K54" s="115" t="s">
        <v>1179</v>
      </c>
      <c r="L54" s="274">
        <v>779.2</v>
      </c>
      <c r="M54" s="274">
        <v>557.6</v>
      </c>
      <c r="N54" s="256">
        <v>423.3</v>
      </c>
      <c r="O54" s="274">
        <v>603.79999999999995</v>
      </c>
      <c r="P54" s="274">
        <v>840.7</v>
      </c>
      <c r="Q54" s="274">
        <v>1237.5999999999999</v>
      </c>
    </row>
    <row r="55" spans="3:17" x14ac:dyDescent="0.15">
      <c r="C55" s="255" t="s">
        <v>793</v>
      </c>
      <c r="D55" s="256">
        <f t="shared" si="0"/>
        <v>198</v>
      </c>
      <c r="E55" s="256">
        <v>198</v>
      </c>
      <c r="F55" s="256">
        <v>98.1</v>
      </c>
      <c r="G55" s="256">
        <v>252</v>
      </c>
      <c r="H55" s="256">
        <v>166.2</v>
      </c>
      <c r="I55" s="256">
        <v>362.8</v>
      </c>
      <c r="K55" s="115" t="s">
        <v>1180</v>
      </c>
      <c r="L55" s="274">
        <v>181.2</v>
      </c>
      <c r="M55" s="274">
        <v>133.19999999999999</v>
      </c>
      <c r="N55" s="256">
        <v>60.9</v>
      </c>
      <c r="O55" s="274">
        <v>122.9</v>
      </c>
      <c r="P55" s="274">
        <v>207.4</v>
      </c>
      <c r="Q55" s="274">
        <v>324.8</v>
      </c>
    </row>
    <row r="56" spans="3:17" x14ac:dyDescent="0.15">
      <c r="C56" s="255" t="s">
        <v>794</v>
      </c>
      <c r="D56" s="256">
        <f t="shared" si="0"/>
        <v>2481</v>
      </c>
      <c r="E56" s="256">
        <v>2481</v>
      </c>
      <c r="F56" s="256">
        <v>1218.7</v>
      </c>
      <c r="G56" s="256">
        <v>2311.3000000000002</v>
      </c>
      <c r="H56" s="256">
        <v>2727.7</v>
      </c>
      <c r="I56" s="256">
        <v>3805</v>
      </c>
      <c r="K56" s="115" t="s">
        <v>794</v>
      </c>
      <c r="L56" s="274">
        <v>2363.6</v>
      </c>
      <c r="M56" s="274">
        <v>1208</v>
      </c>
      <c r="N56" s="256">
        <v>1215.7</v>
      </c>
      <c r="O56" s="274">
        <v>1878.6</v>
      </c>
      <c r="P56" s="274">
        <v>2662.4</v>
      </c>
      <c r="Q56" s="274">
        <v>3795.3</v>
      </c>
    </row>
    <row r="57" spans="3:17" x14ac:dyDescent="0.15">
      <c r="C57" s="255" t="s">
        <v>795</v>
      </c>
      <c r="D57" s="256">
        <f t="shared" si="0"/>
        <v>217</v>
      </c>
      <c r="E57" s="256">
        <v>217</v>
      </c>
      <c r="F57" s="256">
        <v>160.1</v>
      </c>
      <c r="G57" s="256">
        <v>168.9</v>
      </c>
      <c r="H57" s="256">
        <v>223</v>
      </c>
      <c r="I57" s="256">
        <v>336.5</v>
      </c>
      <c r="K57" s="115" t="s">
        <v>795</v>
      </c>
      <c r="L57" s="274">
        <v>239.6</v>
      </c>
      <c r="M57" s="274">
        <v>173.5</v>
      </c>
      <c r="N57" s="256">
        <v>163</v>
      </c>
      <c r="O57" s="274">
        <v>239.6</v>
      </c>
      <c r="P57" s="274">
        <v>251.6</v>
      </c>
      <c r="Q57" s="274">
        <v>308.8</v>
      </c>
    </row>
    <row r="58" spans="3:17" x14ac:dyDescent="0.15">
      <c r="C58" s="255" t="s">
        <v>796</v>
      </c>
      <c r="D58" s="256">
        <f t="shared" si="0"/>
        <v>601</v>
      </c>
      <c r="E58" s="256">
        <v>601</v>
      </c>
      <c r="F58" s="256">
        <v>338.4</v>
      </c>
      <c r="G58" s="256">
        <v>450.8</v>
      </c>
      <c r="H58" s="256">
        <v>671.6</v>
      </c>
      <c r="I58" s="256">
        <v>805.7</v>
      </c>
      <c r="K58" s="115" t="s">
        <v>1181</v>
      </c>
      <c r="L58" s="274">
        <v>562.20000000000005</v>
      </c>
      <c r="M58" s="274">
        <v>350.1</v>
      </c>
      <c r="N58" s="256">
        <v>297.89999999999998</v>
      </c>
      <c r="O58" s="274">
        <v>524.29999999999995</v>
      </c>
      <c r="P58" s="274">
        <v>605.29999999999995</v>
      </c>
      <c r="Q58" s="274">
        <v>830.4</v>
      </c>
    </row>
    <row r="59" spans="3:17" x14ac:dyDescent="0.15">
      <c r="C59" s="255" t="s">
        <v>797</v>
      </c>
      <c r="D59" s="256">
        <f t="shared" si="0"/>
        <v>639</v>
      </c>
      <c r="E59" s="256">
        <v>639</v>
      </c>
      <c r="F59" s="256">
        <v>261.8</v>
      </c>
      <c r="G59" s="256">
        <v>505.7</v>
      </c>
      <c r="H59" s="256">
        <v>661.3</v>
      </c>
      <c r="I59" s="256">
        <v>846.1</v>
      </c>
      <c r="K59" s="115" t="s">
        <v>797</v>
      </c>
      <c r="L59" s="274">
        <v>627.4</v>
      </c>
      <c r="M59" s="274">
        <v>289.2</v>
      </c>
      <c r="N59" s="256">
        <v>383.1</v>
      </c>
      <c r="O59" s="274">
        <v>526.6</v>
      </c>
      <c r="P59" s="274">
        <v>663.5</v>
      </c>
      <c r="Q59" s="274">
        <v>973.1</v>
      </c>
    </row>
    <row r="60" spans="3:17" x14ac:dyDescent="0.15">
      <c r="C60" s="255" t="s">
        <v>798</v>
      </c>
      <c r="D60" s="256">
        <f t="shared" si="0"/>
        <v>341</v>
      </c>
      <c r="E60" s="256">
        <v>341</v>
      </c>
      <c r="F60" s="256">
        <v>263.3</v>
      </c>
      <c r="G60" s="256">
        <v>487.2</v>
      </c>
      <c r="H60" s="256">
        <v>333.6</v>
      </c>
      <c r="I60" s="256">
        <v>534.1</v>
      </c>
      <c r="K60" s="115" t="s">
        <v>798</v>
      </c>
      <c r="L60" s="274">
        <v>303.39999999999998</v>
      </c>
      <c r="M60" s="274">
        <v>258.10000000000002</v>
      </c>
      <c r="N60" s="256">
        <v>166.1</v>
      </c>
      <c r="O60" s="274">
        <v>219.6</v>
      </c>
      <c r="P60" s="274">
        <v>348.8</v>
      </c>
      <c r="Q60" s="274">
        <v>468.9</v>
      </c>
    </row>
    <row r="61" spans="3:17" x14ac:dyDescent="0.15">
      <c r="C61" s="255" t="s">
        <v>799</v>
      </c>
      <c r="D61" s="256">
        <f t="shared" si="0"/>
        <v>112</v>
      </c>
      <c r="E61" s="256">
        <v>112</v>
      </c>
      <c r="F61" s="256">
        <v>46</v>
      </c>
      <c r="G61" s="256">
        <v>61.5</v>
      </c>
      <c r="H61" s="256">
        <v>109.9</v>
      </c>
      <c r="I61" s="256">
        <v>163</v>
      </c>
      <c r="K61" s="115" t="s">
        <v>799</v>
      </c>
      <c r="L61" s="274">
        <v>98.8</v>
      </c>
      <c r="M61" s="274">
        <v>65.400000000000006</v>
      </c>
      <c r="N61" s="256">
        <v>41.9</v>
      </c>
      <c r="O61" s="274">
        <v>70.900000000000006</v>
      </c>
      <c r="P61" s="274">
        <v>112.8</v>
      </c>
      <c r="Q61" s="274">
        <v>168.3</v>
      </c>
    </row>
    <row r="62" spans="3:17" x14ac:dyDescent="0.15">
      <c r="C62" s="255" t="s">
        <v>800</v>
      </c>
      <c r="D62" s="256">
        <f t="shared" si="0"/>
        <v>107</v>
      </c>
      <c r="E62" s="256">
        <v>107</v>
      </c>
      <c r="F62" s="256">
        <v>38.1</v>
      </c>
      <c r="G62" s="256">
        <v>143.9</v>
      </c>
      <c r="H62" s="256">
        <v>108.6</v>
      </c>
      <c r="I62" s="256">
        <v>172.7</v>
      </c>
      <c r="K62" s="115" t="s">
        <v>800</v>
      </c>
      <c r="L62" s="274">
        <v>111.6</v>
      </c>
      <c r="M62" s="274">
        <v>27.2</v>
      </c>
      <c r="N62" s="256">
        <v>80.5</v>
      </c>
      <c r="O62" s="274">
        <v>123.4</v>
      </c>
      <c r="P62" s="274">
        <v>108</v>
      </c>
      <c r="Q62" s="274">
        <v>149.19999999999999</v>
      </c>
    </row>
    <row r="63" spans="3:17" x14ac:dyDescent="0.15">
      <c r="C63" s="255" t="s">
        <v>801</v>
      </c>
      <c r="D63" s="256">
        <f t="shared" si="0"/>
        <v>271</v>
      </c>
      <c r="E63" s="256">
        <v>271</v>
      </c>
      <c r="F63" s="256">
        <v>120.3</v>
      </c>
      <c r="G63" s="256">
        <v>160.30000000000001</v>
      </c>
      <c r="H63" s="256">
        <v>237.4</v>
      </c>
      <c r="I63" s="256">
        <v>439.1</v>
      </c>
      <c r="K63" s="115" t="s">
        <v>801</v>
      </c>
      <c r="L63" s="274">
        <v>269.2</v>
      </c>
      <c r="M63" s="274">
        <v>172.4</v>
      </c>
      <c r="N63" s="256">
        <v>188.5</v>
      </c>
      <c r="O63" s="274">
        <v>223.3</v>
      </c>
      <c r="P63" s="274">
        <v>273.39999999999998</v>
      </c>
      <c r="Q63" s="274">
        <v>397.4</v>
      </c>
    </row>
    <row r="64" spans="3:17" x14ac:dyDescent="0.15">
      <c r="C64" s="255" t="s">
        <v>802</v>
      </c>
      <c r="D64" s="256">
        <f t="shared" si="0"/>
        <v>1219</v>
      </c>
      <c r="E64" s="256">
        <v>1219</v>
      </c>
      <c r="F64" s="256">
        <v>690.2</v>
      </c>
      <c r="G64" s="256">
        <v>1193.2</v>
      </c>
      <c r="H64" s="256">
        <v>1086.5999999999999</v>
      </c>
      <c r="I64" s="256">
        <v>1727</v>
      </c>
      <c r="K64" s="115" t="s">
        <v>802</v>
      </c>
      <c r="L64" s="274">
        <v>1056.8</v>
      </c>
      <c r="M64" s="274">
        <v>489.9</v>
      </c>
      <c r="N64" s="256">
        <v>742.4</v>
      </c>
      <c r="O64" s="274">
        <v>790.1</v>
      </c>
      <c r="P64" s="274">
        <v>1066.4000000000001</v>
      </c>
      <c r="Q64" s="274">
        <v>1688.8</v>
      </c>
    </row>
    <row r="65" spans="3:17" x14ac:dyDescent="0.15">
      <c r="C65" s="255" t="s">
        <v>803</v>
      </c>
      <c r="D65" s="256">
        <f t="shared" si="0"/>
        <v>1332</v>
      </c>
      <c r="E65" s="256">
        <v>1332</v>
      </c>
      <c r="F65" s="256">
        <v>821.8</v>
      </c>
      <c r="G65" s="256">
        <v>1761.9</v>
      </c>
      <c r="H65" s="256">
        <v>1300.0999999999999</v>
      </c>
      <c r="I65" s="256">
        <v>2229</v>
      </c>
      <c r="K65" s="115" t="s">
        <v>803</v>
      </c>
      <c r="L65" s="274">
        <v>1288.5</v>
      </c>
      <c r="M65" s="274">
        <v>491.4</v>
      </c>
      <c r="N65" s="256">
        <v>657.6</v>
      </c>
      <c r="O65" s="274">
        <v>986.5</v>
      </c>
      <c r="P65" s="274">
        <v>1436.7</v>
      </c>
      <c r="Q65" s="274">
        <v>2159.3000000000002</v>
      </c>
    </row>
    <row r="66" spans="3:17" x14ac:dyDescent="0.15">
      <c r="C66" s="255" t="s">
        <v>804</v>
      </c>
      <c r="D66" s="256">
        <f t="shared" si="0"/>
        <v>765</v>
      </c>
      <c r="E66" s="256">
        <v>765</v>
      </c>
      <c r="F66" s="256">
        <v>322.3</v>
      </c>
      <c r="G66" s="256">
        <v>1141.5</v>
      </c>
      <c r="H66" s="256">
        <v>878.7</v>
      </c>
      <c r="I66" s="256">
        <v>1237.8</v>
      </c>
      <c r="K66" s="115" t="s">
        <v>804</v>
      </c>
      <c r="L66" s="274">
        <v>730.4</v>
      </c>
      <c r="M66" s="274">
        <v>428.1</v>
      </c>
      <c r="N66" s="256">
        <v>348.4</v>
      </c>
      <c r="O66" s="274">
        <v>552.5</v>
      </c>
      <c r="P66" s="274">
        <v>890.5</v>
      </c>
      <c r="Q66" s="274">
        <v>1155.7</v>
      </c>
    </row>
    <row r="67" spans="3:17" x14ac:dyDescent="0.15">
      <c r="C67" s="255" t="s">
        <v>805</v>
      </c>
      <c r="D67" s="256">
        <f t="shared" si="0"/>
        <v>8</v>
      </c>
      <c r="E67" s="256">
        <v>8</v>
      </c>
      <c r="F67" s="256">
        <v>7</v>
      </c>
      <c r="G67" s="256">
        <v>2</v>
      </c>
      <c r="H67" s="256">
        <v>25</v>
      </c>
      <c r="I67" s="256">
        <v>30.2</v>
      </c>
      <c r="K67" s="115" t="s">
        <v>1182</v>
      </c>
      <c r="L67" s="274">
        <v>16</v>
      </c>
      <c r="M67" s="274">
        <v>2.1</v>
      </c>
      <c r="N67" s="256">
        <v>10.3</v>
      </c>
      <c r="O67" s="274">
        <v>5.0999999999999996</v>
      </c>
      <c r="P67" s="274">
        <v>35.5</v>
      </c>
      <c r="Q67" s="274">
        <v>18.899999999999999</v>
      </c>
    </row>
    <row r="68" spans="3:17" x14ac:dyDescent="0.15">
      <c r="C68" s="255" t="s">
        <v>806</v>
      </c>
      <c r="D68" s="256">
        <f t="shared" si="0"/>
        <v>781</v>
      </c>
      <c r="E68" s="256">
        <v>781</v>
      </c>
      <c r="F68" s="256">
        <v>440.1</v>
      </c>
      <c r="G68" s="256">
        <v>896.8</v>
      </c>
      <c r="H68" s="256">
        <v>881</v>
      </c>
      <c r="I68" s="256">
        <v>1248.9000000000001</v>
      </c>
      <c r="K68" s="115" t="s">
        <v>1183</v>
      </c>
      <c r="L68" s="274">
        <v>757.6</v>
      </c>
      <c r="M68" s="274">
        <v>510.9</v>
      </c>
      <c r="N68" s="256">
        <v>404</v>
      </c>
      <c r="O68" s="274">
        <v>638.4</v>
      </c>
      <c r="P68" s="274">
        <v>841.8</v>
      </c>
      <c r="Q68" s="274">
        <v>1150.7</v>
      </c>
    </row>
    <row r="69" spans="3:17" x14ac:dyDescent="0.15">
      <c r="C69" s="255" t="s">
        <v>807</v>
      </c>
      <c r="D69" s="256">
        <f t="shared" si="0"/>
        <v>434</v>
      </c>
      <c r="E69" s="256">
        <v>434</v>
      </c>
      <c r="F69" s="256">
        <v>181.5</v>
      </c>
      <c r="G69" s="256">
        <v>287.39999999999998</v>
      </c>
      <c r="H69" s="256">
        <v>494.2</v>
      </c>
      <c r="I69" s="256">
        <v>521.79999999999995</v>
      </c>
      <c r="K69" s="115" t="s">
        <v>1184</v>
      </c>
      <c r="L69" s="274">
        <v>363.2</v>
      </c>
      <c r="M69" s="274">
        <v>216.9</v>
      </c>
      <c r="N69" s="256">
        <v>166.3</v>
      </c>
      <c r="O69" s="274">
        <v>326.89999999999998</v>
      </c>
      <c r="P69" s="274">
        <v>364.9</v>
      </c>
      <c r="Q69" s="274">
        <v>591</v>
      </c>
    </row>
    <row r="70" spans="3:17" x14ac:dyDescent="0.15">
      <c r="C70" s="255" t="s">
        <v>808</v>
      </c>
      <c r="D70" s="256">
        <f t="shared" si="0"/>
        <v>99</v>
      </c>
      <c r="E70" s="256">
        <v>99</v>
      </c>
      <c r="F70" s="256">
        <v>6.1</v>
      </c>
      <c r="G70" s="256">
        <v>134.80000000000001</v>
      </c>
      <c r="H70" s="256">
        <v>10.5</v>
      </c>
      <c r="I70" s="256">
        <v>227.8</v>
      </c>
      <c r="K70" s="115" t="s">
        <v>808</v>
      </c>
      <c r="L70" s="274">
        <v>55.1</v>
      </c>
      <c r="M70" s="274">
        <v>9</v>
      </c>
      <c r="N70" s="256">
        <v>3.2</v>
      </c>
      <c r="O70" s="274">
        <v>67.8</v>
      </c>
      <c r="P70" s="274">
        <v>55.4</v>
      </c>
      <c r="Q70" s="274">
        <v>96.3</v>
      </c>
    </row>
    <row r="71" spans="3:17" x14ac:dyDescent="0.15">
      <c r="C71" s="255" t="s">
        <v>809</v>
      </c>
      <c r="D71" s="256">
        <f t="shared" si="0"/>
        <v>888</v>
      </c>
      <c r="E71" s="256">
        <v>888</v>
      </c>
      <c r="F71" s="256">
        <v>357.2</v>
      </c>
      <c r="G71" s="256">
        <v>501</v>
      </c>
      <c r="H71" s="256">
        <v>255.8</v>
      </c>
      <c r="I71" s="256">
        <v>563.70000000000005</v>
      </c>
      <c r="K71" s="115" t="s">
        <v>809</v>
      </c>
      <c r="L71" s="274">
        <v>351.1</v>
      </c>
      <c r="M71" s="274">
        <v>160.69999999999999</v>
      </c>
      <c r="N71" s="256">
        <v>361</v>
      </c>
      <c r="O71" s="274">
        <v>188.2</v>
      </c>
      <c r="P71" s="274">
        <v>316.89999999999998</v>
      </c>
      <c r="Q71" s="274">
        <v>565.9</v>
      </c>
    </row>
    <row r="72" spans="3:17" x14ac:dyDescent="0.15">
      <c r="C72" s="255" t="s">
        <v>810</v>
      </c>
      <c r="D72" s="256">
        <f t="shared" si="0"/>
        <v>212</v>
      </c>
      <c r="E72" s="256">
        <v>212</v>
      </c>
      <c r="F72" s="256">
        <v>119.6</v>
      </c>
      <c r="G72" s="256">
        <v>314.7</v>
      </c>
      <c r="H72" s="256">
        <v>205.3</v>
      </c>
      <c r="I72" s="256">
        <v>285.60000000000002</v>
      </c>
      <c r="K72" s="115" t="s">
        <v>810</v>
      </c>
      <c r="L72" s="274">
        <v>225.4</v>
      </c>
      <c r="M72" s="274">
        <v>141.69999999999999</v>
      </c>
      <c r="N72" s="256">
        <v>180.3</v>
      </c>
      <c r="O72" s="274">
        <v>184.6</v>
      </c>
      <c r="P72" s="274">
        <v>207.9</v>
      </c>
      <c r="Q72" s="274">
        <v>333.6</v>
      </c>
    </row>
    <row r="73" spans="3:17" x14ac:dyDescent="0.15">
      <c r="C73" s="255" t="s">
        <v>811</v>
      </c>
      <c r="D73" s="256">
        <f t="shared" si="0"/>
        <v>1098</v>
      </c>
      <c r="E73" s="256">
        <v>1098</v>
      </c>
      <c r="F73" s="256">
        <v>554</v>
      </c>
      <c r="G73" s="256">
        <v>600.70000000000005</v>
      </c>
      <c r="H73" s="256">
        <v>1061.9000000000001</v>
      </c>
      <c r="I73" s="256">
        <v>1296.7</v>
      </c>
      <c r="K73" s="115" t="s">
        <v>811</v>
      </c>
      <c r="L73" s="274">
        <v>1019.1</v>
      </c>
      <c r="M73" s="274">
        <v>342.4</v>
      </c>
      <c r="N73" s="256">
        <v>690.7</v>
      </c>
      <c r="O73" s="274">
        <v>847.4</v>
      </c>
      <c r="P73" s="274">
        <v>1199.3</v>
      </c>
      <c r="Q73" s="274">
        <v>1468.4</v>
      </c>
    </row>
    <row r="74" spans="3:17" x14ac:dyDescent="0.15">
      <c r="C74" s="255" t="s">
        <v>812</v>
      </c>
      <c r="D74" s="256">
        <f t="shared" si="0"/>
        <v>178</v>
      </c>
      <c r="E74" s="256">
        <v>178</v>
      </c>
      <c r="F74" s="256">
        <v>112</v>
      </c>
      <c r="G74" s="256">
        <v>108.8</v>
      </c>
      <c r="H74" s="256">
        <v>190.4</v>
      </c>
      <c r="I74" s="256">
        <v>177.9</v>
      </c>
      <c r="K74" s="115" t="s">
        <v>812</v>
      </c>
      <c r="L74" s="274">
        <v>160.4</v>
      </c>
      <c r="M74" s="274">
        <v>55.1</v>
      </c>
      <c r="N74" s="256">
        <v>104.4</v>
      </c>
      <c r="O74" s="274">
        <v>118.7</v>
      </c>
      <c r="P74" s="274">
        <v>204.6</v>
      </c>
      <c r="Q74" s="274">
        <v>235.7</v>
      </c>
    </row>
    <row r="75" spans="3:17" x14ac:dyDescent="0.15">
      <c r="C75" s="255" t="s">
        <v>813</v>
      </c>
      <c r="D75" s="256">
        <f t="shared" si="0"/>
        <v>26</v>
      </c>
      <c r="E75" s="256">
        <v>26</v>
      </c>
      <c r="F75" s="256">
        <v>14.3</v>
      </c>
      <c r="G75" s="256">
        <v>56.6</v>
      </c>
      <c r="H75" s="256">
        <v>28.8</v>
      </c>
      <c r="I75" s="256">
        <v>72.099999999999994</v>
      </c>
      <c r="K75" s="115" t="s">
        <v>1185</v>
      </c>
      <c r="L75" s="274">
        <v>36.9</v>
      </c>
      <c r="M75" s="274">
        <v>9.6999999999999993</v>
      </c>
      <c r="N75" s="256">
        <v>16.100000000000001</v>
      </c>
      <c r="O75" s="274">
        <v>37.1</v>
      </c>
      <c r="P75" s="274">
        <v>29.5</v>
      </c>
      <c r="Q75" s="274">
        <v>65.900000000000006</v>
      </c>
    </row>
    <row r="76" spans="3:17" x14ac:dyDescent="0.15">
      <c r="C76" s="255" t="s">
        <v>814</v>
      </c>
      <c r="D76" s="256">
        <f t="shared" si="0"/>
        <v>224</v>
      </c>
      <c r="E76" s="256">
        <v>224</v>
      </c>
      <c r="F76" s="256">
        <v>141.69999999999999</v>
      </c>
      <c r="G76" s="256">
        <v>138.5</v>
      </c>
      <c r="H76" s="256">
        <v>250</v>
      </c>
      <c r="I76" s="256">
        <v>311.5</v>
      </c>
      <c r="K76" s="115" t="s">
        <v>814</v>
      </c>
      <c r="L76" s="274">
        <v>185.5</v>
      </c>
      <c r="M76" s="274">
        <v>107</v>
      </c>
      <c r="N76" s="256">
        <v>101.2</v>
      </c>
      <c r="O76" s="274">
        <v>133</v>
      </c>
      <c r="P76" s="274">
        <v>206.5</v>
      </c>
      <c r="Q76" s="274">
        <v>305.39999999999998</v>
      </c>
    </row>
    <row r="77" spans="3:17" x14ac:dyDescent="0.15">
      <c r="C77" s="255" t="s">
        <v>815</v>
      </c>
      <c r="D77" s="256">
        <f t="shared" si="0"/>
        <v>1274</v>
      </c>
      <c r="E77" s="256">
        <v>1274</v>
      </c>
      <c r="F77" s="256">
        <v>1043</v>
      </c>
      <c r="G77" s="256">
        <v>1061.8</v>
      </c>
      <c r="H77" s="256">
        <v>1440.1</v>
      </c>
      <c r="I77" s="256">
        <v>1727.4</v>
      </c>
      <c r="K77" s="115" t="s">
        <v>815</v>
      </c>
      <c r="L77" s="274">
        <v>1028.5999999999999</v>
      </c>
      <c r="M77" s="274">
        <v>1048.2</v>
      </c>
      <c r="N77" s="256">
        <v>703</v>
      </c>
      <c r="O77" s="274">
        <v>824.9</v>
      </c>
      <c r="P77" s="274">
        <v>1098</v>
      </c>
      <c r="Q77" s="274">
        <v>1425</v>
      </c>
    </row>
    <row r="78" spans="3:17" x14ac:dyDescent="0.15">
      <c r="C78" s="255" t="s">
        <v>816</v>
      </c>
      <c r="D78" s="256">
        <f t="shared" si="0"/>
        <v>738</v>
      </c>
      <c r="E78" s="256">
        <v>738</v>
      </c>
      <c r="F78" s="256">
        <v>384</v>
      </c>
      <c r="G78" s="256">
        <v>618.4</v>
      </c>
      <c r="H78" s="256">
        <v>618.29999999999995</v>
      </c>
      <c r="I78" s="256">
        <v>961.7</v>
      </c>
      <c r="K78" s="115" t="s">
        <v>1186</v>
      </c>
      <c r="L78" s="274">
        <v>605.70000000000005</v>
      </c>
      <c r="M78" s="274">
        <v>400</v>
      </c>
      <c r="N78" s="256">
        <v>335.4</v>
      </c>
      <c r="O78" s="274">
        <v>500.6</v>
      </c>
      <c r="P78" s="274">
        <v>625.20000000000005</v>
      </c>
      <c r="Q78" s="274">
        <v>957.9</v>
      </c>
    </row>
    <row r="79" spans="3:17" x14ac:dyDescent="0.15">
      <c r="C79" s="255" t="s">
        <v>817</v>
      </c>
      <c r="D79" s="256">
        <f t="shared" si="0"/>
        <v>6705</v>
      </c>
      <c r="E79" s="256">
        <v>6705</v>
      </c>
      <c r="F79" s="256">
        <v>4723.2</v>
      </c>
      <c r="G79" s="256">
        <v>5018.3999999999996</v>
      </c>
      <c r="H79" s="256">
        <v>8032.3</v>
      </c>
      <c r="I79" s="256">
        <v>7011.1</v>
      </c>
      <c r="K79" s="115" t="s">
        <v>817</v>
      </c>
      <c r="L79" s="274">
        <v>6692.3</v>
      </c>
      <c r="M79" s="274">
        <v>4175.6000000000004</v>
      </c>
      <c r="N79" s="256">
        <v>5018.5</v>
      </c>
      <c r="O79" s="274">
        <v>6058.4</v>
      </c>
      <c r="P79" s="274">
        <v>7333.2</v>
      </c>
      <c r="Q79" s="274">
        <v>8751.7999999999993</v>
      </c>
    </row>
    <row r="80" spans="3:17" x14ac:dyDescent="0.15">
      <c r="C80" s="255" t="s">
        <v>818</v>
      </c>
      <c r="D80" s="256">
        <f t="shared" si="0"/>
        <v>746</v>
      </c>
      <c r="E80" s="256">
        <v>746</v>
      </c>
      <c r="F80" s="256">
        <v>510.2</v>
      </c>
      <c r="G80" s="256">
        <v>184.1</v>
      </c>
      <c r="H80" s="256">
        <v>645.4</v>
      </c>
      <c r="I80" s="256">
        <v>669.3</v>
      </c>
      <c r="K80" s="115" t="s">
        <v>818</v>
      </c>
      <c r="L80" s="274">
        <v>640.5</v>
      </c>
      <c r="M80" s="274">
        <v>488.9</v>
      </c>
      <c r="N80" s="256">
        <v>447.9</v>
      </c>
      <c r="O80" s="274">
        <v>562.70000000000005</v>
      </c>
      <c r="P80" s="274">
        <v>654.79999999999995</v>
      </c>
      <c r="Q80" s="274">
        <v>895.1</v>
      </c>
    </row>
    <row r="81" spans="3:17" x14ac:dyDescent="0.15">
      <c r="C81" s="255" t="s">
        <v>819</v>
      </c>
      <c r="D81" s="256">
        <f t="shared" si="0"/>
        <v>9</v>
      </c>
      <c r="E81" s="256">
        <v>9</v>
      </c>
      <c r="F81" s="256">
        <v>8.9</v>
      </c>
      <c r="G81" s="256">
        <v>58.2</v>
      </c>
      <c r="H81" s="256">
        <v>9.6999999999999993</v>
      </c>
      <c r="I81" s="256">
        <v>3.8</v>
      </c>
      <c r="K81" s="115" t="s">
        <v>819</v>
      </c>
      <c r="L81" s="274">
        <v>10.199999999999999</v>
      </c>
      <c r="M81" s="274">
        <v>18.3</v>
      </c>
      <c r="N81" s="256">
        <v>10.4</v>
      </c>
      <c r="O81" s="274">
        <v>11.7</v>
      </c>
      <c r="P81" s="274">
        <v>2.8</v>
      </c>
      <c r="Q81" s="274">
        <v>12.3</v>
      </c>
    </row>
    <row r="82" spans="3:17" x14ac:dyDescent="0.15">
      <c r="C82" s="255" t="s">
        <v>820</v>
      </c>
      <c r="D82" s="256">
        <f t="shared" ref="D82:D145" si="1">E82</f>
        <v>2580</v>
      </c>
      <c r="E82" s="256">
        <v>2580</v>
      </c>
      <c r="F82" s="256">
        <v>937.6</v>
      </c>
      <c r="G82" s="256">
        <v>1546.8</v>
      </c>
      <c r="H82" s="256">
        <v>2522.1</v>
      </c>
      <c r="I82" s="256">
        <v>2661.2</v>
      </c>
      <c r="K82" s="115" t="s">
        <v>820</v>
      </c>
      <c r="L82" s="274">
        <v>2416.4</v>
      </c>
      <c r="M82" s="274">
        <v>829.4</v>
      </c>
      <c r="N82" s="256">
        <v>1121.9000000000001</v>
      </c>
      <c r="O82" s="274">
        <v>2152</v>
      </c>
      <c r="P82" s="274">
        <v>2474.3000000000002</v>
      </c>
      <c r="Q82" s="274">
        <v>4052.7</v>
      </c>
    </row>
    <row r="83" spans="3:17" x14ac:dyDescent="0.15">
      <c r="C83" s="255" t="s">
        <v>821</v>
      </c>
      <c r="D83" s="256">
        <f t="shared" si="1"/>
        <v>44</v>
      </c>
      <c r="E83" s="256">
        <v>44</v>
      </c>
      <c r="F83" s="256">
        <v>18.600000000000001</v>
      </c>
      <c r="G83" s="256">
        <v>23.1</v>
      </c>
      <c r="H83" s="256">
        <v>69.599999999999994</v>
      </c>
      <c r="I83" s="256">
        <v>93.9</v>
      </c>
      <c r="K83" s="115" t="s">
        <v>821</v>
      </c>
      <c r="L83" s="274">
        <v>40.200000000000003</v>
      </c>
      <c r="M83" s="274">
        <v>30.2</v>
      </c>
      <c r="N83" s="256">
        <v>32.200000000000003</v>
      </c>
      <c r="O83" s="274">
        <v>21.1</v>
      </c>
      <c r="P83" s="274">
        <v>33.1</v>
      </c>
      <c r="Q83" s="274">
        <v>72.3</v>
      </c>
    </row>
    <row r="84" spans="3:17" x14ac:dyDescent="0.15">
      <c r="C84" s="255" t="s">
        <v>822</v>
      </c>
      <c r="D84" s="256">
        <f t="shared" si="1"/>
        <v>129</v>
      </c>
      <c r="E84" s="256">
        <v>129</v>
      </c>
      <c r="F84" s="256">
        <v>63</v>
      </c>
      <c r="G84" s="256">
        <v>231.9</v>
      </c>
      <c r="H84" s="256">
        <v>181.8</v>
      </c>
      <c r="I84" s="256">
        <v>131.69999999999999</v>
      </c>
      <c r="K84" s="115" t="s">
        <v>822</v>
      </c>
      <c r="L84" s="274">
        <v>131.9</v>
      </c>
      <c r="M84" s="274">
        <v>100.2</v>
      </c>
      <c r="N84" s="256">
        <v>99.8</v>
      </c>
      <c r="O84" s="274">
        <v>61.1</v>
      </c>
      <c r="P84" s="274">
        <v>133.4</v>
      </c>
      <c r="Q84" s="274">
        <v>230</v>
      </c>
    </row>
    <row r="85" spans="3:17" x14ac:dyDescent="0.15">
      <c r="C85" s="255" t="s">
        <v>823</v>
      </c>
      <c r="D85" s="256">
        <f t="shared" si="1"/>
        <v>5</v>
      </c>
      <c r="E85" s="256">
        <v>5</v>
      </c>
      <c r="F85" s="256">
        <v>1.1000000000000001</v>
      </c>
      <c r="G85" s="256">
        <v>2</v>
      </c>
      <c r="H85" s="256">
        <v>2.4</v>
      </c>
      <c r="I85" s="256">
        <v>3.7</v>
      </c>
      <c r="K85" s="115" t="s">
        <v>823</v>
      </c>
      <c r="L85" s="274">
        <v>2.9</v>
      </c>
      <c r="M85" s="274">
        <v>1.3</v>
      </c>
      <c r="N85" s="256">
        <v>0.5</v>
      </c>
      <c r="O85" s="274">
        <v>4.7</v>
      </c>
      <c r="P85" s="274">
        <v>2.1</v>
      </c>
      <c r="Q85" s="274">
        <v>4.0999999999999996</v>
      </c>
    </row>
    <row r="86" spans="3:17" x14ac:dyDescent="0.15">
      <c r="C86" s="255" t="s">
        <v>824</v>
      </c>
      <c r="D86" s="256">
        <f t="shared" si="1"/>
        <v>1072</v>
      </c>
      <c r="E86" s="256">
        <v>1072</v>
      </c>
      <c r="F86" s="256">
        <v>344.1</v>
      </c>
      <c r="G86" s="256">
        <v>133.4</v>
      </c>
      <c r="H86" s="256">
        <v>776.6</v>
      </c>
      <c r="I86" s="256">
        <v>756.2</v>
      </c>
      <c r="K86" s="115" t="s">
        <v>1187</v>
      </c>
      <c r="L86" s="274">
        <v>575.5</v>
      </c>
      <c r="M86" s="274">
        <v>335.7</v>
      </c>
      <c r="N86" s="256">
        <v>438.3</v>
      </c>
      <c r="O86" s="274">
        <v>446.2</v>
      </c>
      <c r="P86" s="274">
        <v>614.70000000000005</v>
      </c>
      <c r="Q86" s="274">
        <v>834.2</v>
      </c>
    </row>
    <row r="87" spans="3:17" x14ac:dyDescent="0.15">
      <c r="C87" s="255" t="s">
        <v>825</v>
      </c>
      <c r="D87" s="256">
        <f t="shared" si="1"/>
        <v>155</v>
      </c>
      <c r="E87" s="256">
        <v>155</v>
      </c>
      <c r="F87" s="256">
        <v>491.1</v>
      </c>
      <c r="G87" s="256">
        <v>400.8</v>
      </c>
      <c r="H87" s="256">
        <v>702.4</v>
      </c>
      <c r="I87" s="256">
        <v>713.1</v>
      </c>
      <c r="K87" s="115" t="s">
        <v>1188</v>
      </c>
      <c r="L87" s="274">
        <v>558.9</v>
      </c>
      <c r="M87" s="274">
        <v>382</v>
      </c>
      <c r="N87" s="256">
        <v>421.6</v>
      </c>
      <c r="O87" s="274">
        <v>412.1</v>
      </c>
      <c r="P87" s="274">
        <v>532.4</v>
      </c>
      <c r="Q87" s="274">
        <v>869.6</v>
      </c>
    </row>
    <row r="88" spans="3:17" x14ac:dyDescent="0.15">
      <c r="C88" s="255" t="s">
        <v>826</v>
      </c>
      <c r="D88" s="256">
        <f t="shared" si="1"/>
        <v>20</v>
      </c>
      <c r="E88" s="256">
        <v>20</v>
      </c>
      <c r="F88" s="256">
        <v>6.9</v>
      </c>
      <c r="G88" s="256">
        <v>14</v>
      </c>
      <c r="H88" s="256">
        <v>6.7</v>
      </c>
      <c r="I88" s="256">
        <v>7.9</v>
      </c>
      <c r="K88" s="115" t="s">
        <v>1189</v>
      </c>
      <c r="L88" s="274">
        <v>5.9</v>
      </c>
      <c r="M88" s="274">
        <v>1.4</v>
      </c>
      <c r="N88" s="256">
        <v>2.5</v>
      </c>
      <c r="O88" s="274">
        <v>1</v>
      </c>
      <c r="P88" s="274">
        <v>7.2</v>
      </c>
      <c r="Q88" s="274">
        <v>13.2</v>
      </c>
    </row>
    <row r="89" spans="3:17" x14ac:dyDescent="0.15">
      <c r="C89" s="255" t="s">
        <v>827</v>
      </c>
      <c r="D89" s="256">
        <f t="shared" si="1"/>
        <v>6</v>
      </c>
      <c r="E89" s="256">
        <v>6</v>
      </c>
      <c r="F89" s="256">
        <v>3.6</v>
      </c>
      <c r="G89" s="256">
        <v>0</v>
      </c>
      <c r="H89" s="256">
        <v>10.7</v>
      </c>
      <c r="I89" s="256">
        <v>0.7</v>
      </c>
      <c r="K89" s="115" t="s">
        <v>827</v>
      </c>
      <c r="L89" s="274">
        <v>2.5</v>
      </c>
      <c r="M89" s="274">
        <v>0</v>
      </c>
      <c r="N89" s="256">
        <v>0</v>
      </c>
      <c r="O89" s="274">
        <v>7</v>
      </c>
      <c r="P89" s="274">
        <v>2.9</v>
      </c>
      <c r="Q89" s="274">
        <v>0.6</v>
      </c>
    </row>
    <row r="90" spans="3:17" x14ac:dyDescent="0.15">
      <c r="C90" s="255" t="s">
        <v>828</v>
      </c>
      <c r="D90" s="256">
        <f t="shared" si="1"/>
        <v>1601</v>
      </c>
      <c r="E90" s="256">
        <v>1601</v>
      </c>
      <c r="F90" s="256">
        <v>2061.6</v>
      </c>
      <c r="G90" s="256">
        <v>2375.1999999999998</v>
      </c>
      <c r="H90" s="256">
        <v>2465.5</v>
      </c>
      <c r="I90" s="256">
        <v>1670.6</v>
      </c>
      <c r="K90" s="115" t="s">
        <v>828</v>
      </c>
      <c r="L90" s="274">
        <v>1856.2</v>
      </c>
      <c r="M90" s="274">
        <v>1884.4</v>
      </c>
      <c r="N90" s="256">
        <v>1829.1</v>
      </c>
      <c r="O90" s="274">
        <v>1868.1</v>
      </c>
      <c r="P90" s="274">
        <v>2356.5</v>
      </c>
      <c r="Q90" s="274">
        <v>1473.5</v>
      </c>
    </row>
    <row r="91" spans="3:17" x14ac:dyDescent="0.15">
      <c r="C91" s="255" t="s">
        <v>829</v>
      </c>
      <c r="D91" s="256">
        <f t="shared" si="1"/>
        <v>13</v>
      </c>
      <c r="E91" s="256">
        <v>13</v>
      </c>
      <c r="F91" s="256">
        <v>1.8</v>
      </c>
      <c r="G91" s="256">
        <v>4.7</v>
      </c>
      <c r="H91" s="256">
        <v>11.4</v>
      </c>
      <c r="I91" s="256">
        <v>10.1</v>
      </c>
      <c r="K91" s="115" t="s">
        <v>829</v>
      </c>
      <c r="L91" s="274">
        <v>9</v>
      </c>
      <c r="M91" s="274">
        <v>5.0999999999999996</v>
      </c>
      <c r="N91" s="256">
        <v>0.8</v>
      </c>
      <c r="O91" s="274">
        <v>4.7</v>
      </c>
      <c r="P91" s="274">
        <v>24.2</v>
      </c>
      <c r="Q91" s="274">
        <v>8.9</v>
      </c>
    </row>
    <row r="92" spans="3:17" x14ac:dyDescent="0.15">
      <c r="C92" s="255" t="s">
        <v>830</v>
      </c>
      <c r="D92" s="256">
        <f t="shared" si="1"/>
        <v>326</v>
      </c>
      <c r="E92" s="256">
        <v>326</v>
      </c>
      <c r="F92" s="256">
        <v>274.8</v>
      </c>
      <c r="G92" s="256">
        <v>44.1</v>
      </c>
      <c r="H92" s="256">
        <v>627.79999999999995</v>
      </c>
      <c r="I92" s="256">
        <v>288.89999999999998</v>
      </c>
      <c r="K92" s="115" t="s">
        <v>830</v>
      </c>
      <c r="L92" s="274">
        <v>442.4</v>
      </c>
      <c r="M92" s="274">
        <v>98.8</v>
      </c>
      <c r="N92" s="256">
        <v>613.29999999999995</v>
      </c>
      <c r="O92" s="274">
        <v>505.9</v>
      </c>
      <c r="P92" s="274">
        <v>494.8</v>
      </c>
      <c r="Q92" s="274">
        <v>285.39999999999998</v>
      </c>
    </row>
    <row r="93" spans="3:17" x14ac:dyDescent="0.15">
      <c r="C93" s="255" t="s">
        <v>831</v>
      </c>
      <c r="D93" s="256">
        <f t="shared" si="1"/>
        <v>0</v>
      </c>
      <c r="E93" s="256">
        <v>0</v>
      </c>
      <c r="F93" s="256">
        <v>0</v>
      </c>
      <c r="G93" s="256">
        <v>0</v>
      </c>
      <c r="H93" s="256">
        <v>0</v>
      </c>
      <c r="I93" s="256">
        <v>0</v>
      </c>
      <c r="K93" s="115" t="s">
        <v>831</v>
      </c>
      <c r="L93" s="274">
        <v>0</v>
      </c>
      <c r="M93" s="274">
        <v>0</v>
      </c>
      <c r="N93" s="256">
        <v>0</v>
      </c>
      <c r="O93" s="274">
        <v>0</v>
      </c>
      <c r="P93" s="274">
        <v>0</v>
      </c>
      <c r="Q93" s="274">
        <v>0</v>
      </c>
    </row>
    <row r="94" spans="3:17" x14ac:dyDescent="0.15">
      <c r="C94" s="255" t="s">
        <v>832</v>
      </c>
      <c r="D94" s="256">
        <f t="shared" si="1"/>
        <v>12115</v>
      </c>
      <c r="E94" s="256">
        <v>12115</v>
      </c>
      <c r="F94" s="256">
        <v>6691.3</v>
      </c>
      <c r="G94" s="256">
        <v>9371.5</v>
      </c>
      <c r="H94" s="256">
        <v>15252</v>
      </c>
      <c r="I94" s="256">
        <v>18301.2</v>
      </c>
      <c r="K94" s="115" t="s">
        <v>832</v>
      </c>
      <c r="L94" s="274">
        <v>11351.9</v>
      </c>
      <c r="M94" s="274">
        <v>5103</v>
      </c>
      <c r="N94" s="256">
        <v>4687.6000000000004</v>
      </c>
      <c r="O94" s="274">
        <v>7876.8</v>
      </c>
      <c r="P94" s="274">
        <v>12275.1</v>
      </c>
      <c r="Q94" s="274">
        <v>20792.5</v>
      </c>
    </row>
    <row r="95" spans="3:17" x14ac:dyDescent="0.15">
      <c r="C95" s="255" t="s">
        <v>833</v>
      </c>
      <c r="D95" s="256">
        <f t="shared" si="1"/>
        <v>64</v>
      </c>
      <c r="E95" s="256">
        <v>64</v>
      </c>
      <c r="F95" s="256">
        <v>31.1</v>
      </c>
      <c r="G95" s="256">
        <v>38.6</v>
      </c>
      <c r="H95" s="256">
        <v>115.7</v>
      </c>
      <c r="I95" s="256">
        <v>46.3</v>
      </c>
      <c r="K95" s="115" t="s">
        <v>833</v>
      </c>
      <c r="L95" s="274">
        <v>62.5</v>
      </c>
      <c r="M95" s="274">
        <v>73</v>
      </c>
      <c r="N95" s="256">
        <v>49.9</v>
      </c>
      <c r="O95" s="274">
        <v>18.5</v>
      </c>
      <c r="P95" s="274">
        <v>59.1</v>
      </c>
      <c r="Q95" s="274">
        <v>113.5</v>
      </c>
    </row>
    <row r="96" spans="3:17" x14ac:dyDescent="0.15">
      <c r="C96" s="255" t="s">
        <v>834</v>
      </c>
      <c r="D96" s="256">
        <f t="shared" si="1"/>
        <v>2927</v>
      </c>
      <c r="E96" s="256">
        <v>2927</v>
      </c>
      <c r="F96" s="256">
        <v>2375.3000000000002</v>
      </c>
      <c r="G96" s="256">
        <v>1724.2</v>
      </c>
      <c r="H96" s="256">
        <v>4094.8</v>
      </c>
      <c r="I96" s="256">
        <v>3295.7</v>
      </c>
      <c r="K96" s="115" t="s">
        <v>1190</v>
      </c>
      <c r="L96" s="274">
        <v>2744</v>
      </c>
      <c r="M96" s="274">
        <v>1742.3</v>
      </c>
      <c r="N96" s="256">
        <v>959</v>
      </c>
      <c r="O96" s="274">
        <v>1665.2</v>
      </c>
      <c r="P96" s="274">
        <v>3075.5</v>
      </c>
      <c r="Q96" s="274">
        <v>5184.3</v>
      </c>
    </row>
    <row r="97" spans="3:17" x14ac:dyDescent="0.15">
      <c r="C97" s="255" t="s">
        <v>835</v>
      </c>
      <c r="D97" s="256">
        <f t="shared" si="1"/>
        <v>4684</v>
      </c>
      <c r="E97" s="256">
        <v>4684</v>
      </c>
      <c r="F97" s="256">
        <v>2563.5</v>
      </c>
      <c r="G97" s="256">
        <v>3011.2</v>
      </c>
      <c r="H97" s="256">
        <v>7564.1</v>
      </c>
      <c r="I97" s="256">
        <v>5597</v>
      </c>
      <c r="K97" s="115" t="s">
        <v>1191</v>
      </c>
      <c r="L97" s="274">
        <v>4463.5</v>
      </c>
      <c r="M97" s="274">
        <v>2127.3000000000002</v>
      </c>
      <c r="N97" s="256">
        <v>1887.6</v>
      </c>
      <c r="O97" s="274">
        <v>3745.1</v>
      </c>
      <c r="P97" s="274">
        <v>4814.5</v>
      </c>
      <c r="Q97" s="274">
        <v>7519.6</v>
      </c>
    </row>
    <row r="98" spans="3:17" x14ac:dyDescent="0.15">
      <c r="C98" s="255" t="s">
        <v>836</v>
      </c>
      <c r="D98" s="256">
        <f t="shared" si="1"/>
        <v>1468</v>
      </c>
      <c r="E98" s="256">
        <v>1468</v>
      </c>
      <c r="F98" s="256">
        <v>179</v>
      </c>
      <c r="G98" s="256">
        <v>2262.3000000000002</v>
      </c>
      <c r="H98" s="256">
        <v>346.1</v>
      </c>
      <c r="I98" s="256">
        <v>4565.8999999999996</v>
      </c>
      <c r="K98" s="115" t="s">
        <v>1192</v>
      </c>
      <c r="L98" s="274">
        <v>1193.5999999999999</v>
      </c>
      <c r="M98" s="274">
        <v>320.10000000000002</v>
      </c>
      <c r="N98" s="256">
        <v>357.3</v>
      </c>
      <c r="O98" s="274">
        <v>614.4</v>
      </c>
      <c r="P98" s="274">
        <v>1305.4000000000001</v>
      </c>
      <c r="Q98" s="274">
        <v>2535.4</v>
      </c>
    </row>
    <row r="99" spans="3:17" x14ac:dyDescent="0.15">
      <c r="C99" s="255" t="s">
        <v>837</v>
      </c>
      <c r="D99" s="256">
        <f t="shared" si="1"/>
        <v>439</v>
      </c>
      <c r="E99" s="256">
        <v>439</v>
      </c>
      <c r="F99" s="256">
        <v>242.1</v>
      </c>
      <c r="G99" s="256">
        <v>363.9</v>
      </c>
      <c r="H99" s="256">
        <v>288.89999999999998</v>
      </c>
      <c r="I99" s="256">
        <v>630.70000000000005</v>
      </c>
      <c r="K99" s="115" t="s">
        <v>1193</v>
      </c>
      <c r="L99" s="274">
        <v>322.3</v>
      </c>
      <c r="M99" s="274">
        <v>53.1</v>
      </c>
      <c r="N99" s="256">
        <v>195.1</v>
      </c>
      <c r="O99" s="274">
        <v>216.6</v>
      </c>
      <c r="P99" s="274">
        <v>322.39999999999998</v>
      </c>
      <c r="Q99" s="274">
        <v>588.4</v>
      </c>
    </row>
    <row r="100" spans="3:17" x14ac:dyDescent="0.15">
      <c r="C100" s="255" t="s">
        <v>838</v>
      </c>
      <c r="D100" s="256">
        <f t="shared" si="1"/>
        <v>181</v>
      </c>
      <c r="E100" s="256">
        <v>181</v>
      </c>
      <c r="F100" s="256">
        <v>42.8</v>
      </c>
      <c r="G100" s="256">
        <v>0.8</v>
      </c>
      <c r="H100" s="256">
        <v>234.1</v>
      </c>
      <c r="I100" s="256">
        <v>144</v>
      </c>
      <c r="K100" s="115" t="s">
        <v>838</v>
      </c>
      <c r="L100" s="274">
        <v>187.9</v>
      </c>
      <c r="M100" s="274">
        <v>9.6999999999999993</v>
      </c>
      <c r="N100" s="256">
        <v>241.8</v>
      </c>
      <c r="O100" s="274">
        <v>113</v>
      </c>
      <c r="P100" s="274">
        <v>171.9</v>
      </c>
      <c r="Q100" s="274">
        <v>268.10000000000002</v>
      </c>
    </row>
    <row r="101" spans="3:17" x14ac:dyDescent="0.15">
      <c r="C101" s="255" t="s">
        <v>839</v>
      </c>
      <c r="D101" s="256">
        <f t="shared" si="1"/>
        <v>82</v>
      </c>
      <c r="E101" s="256">
        <v>82</v>
      </c>
      <c r="F101" s="256">
        <v>31.3</v>
      </c>
      <c r="G101" s="256">
        <v>155.6</v>
      </c>
      <c r="H101" s="256">
        <v>306.39999999999998</v>
      </c>
      <c r="I101" s="256">
        <v>159.4</v>
      </c>
      <c r="K101" s="115" t="s">
        <v>839</v>
      </c>
      <c r="L101" s="274">
        <v>130.80000000000001</v>
      </c>
      <c r="M101" s="274">
        <v>28.7</v>
      </c>
      <c r="N101" s="256">
        <v>66.5</v>
      </c>
      <c r="O101" s="274">
        <v>41</v>
      </c>
      <c r="P101" s="274">
        <v>89.6</v>
      </c>
      <c r="Q101" s="274">
        <v>322.60000000000002</v>
      </c>
    </row>
    <row r="102" spans="3:17" x14ac:dyDescent="0.15">
      <c r="C102" s="255" t="s">
        <v>840</v>
      </c>
      <c r="D102" s="256">
        <f t="shared" si="1"/>
        <v>15</v>
      </c>
      <c r="E102" s="256">
        <v>15</v>
      </c>
      <c r="F102" s="256">
        <v>4.5999999999999996</v>
      </c>
      <c r="G102" s="256">
        <v>0</v>
      </c>
      <c r="H102" s="256">
        <v>10.9</v>
      </c>
      <c r="I102" s="256">
        <v>27</v>
      </c>
      <c r="K102" s="115" t="s">
        <v>840</v>
      </c>
      <c r="L102" s="274">
        <v>17.600000000000001</v>
      </c>
      <c r="M102" s="274">
        <v>0</v>
      </c>
      <c r="N102" s="256">
        <v>14.2</v>
      </c>
      <c r="O102" s="274">
        <v>15.5</v>
      </c>
      <c r="P102" s="274">
        <v>8.8000000000000007</v>
      </c>
      <c r="Q102" s="274">
        <v>33.299999999999997</v>
      </c>
    </row>
    <row r="103" spans="3:17" x14ac:dyDescent="0.15">
      <c r="C103" s="255" t="s">
        <v>841</v>
      </c>
      <c r="D103" s="256">
        <f t="shared" si="1"/>
        <v>620</v>
      </c>
      <c r="E103" s="256">
        <v>620</v>
      </c>
      <c r="F103" s="256">
        <v>583.4</v>
      </c>
      <c r="G103" s="256">
        <v>850.8</v>
      </c>
      <c r="H103" s="256">
        <v>696</v>
      </c>
      <c r="I103" s="256">
        <v>1346.2</v>
      </c>
      <c r="K103" s="115" t="s">
        <v>841</v>
      </c>
      <c r="L103" s="274">
        <v>755.9</v>
      </c>
      <c r="M103" s="274">
        <v>199.6</v>
      </c>
      <c r="N103" s="256">
        <v>171.1</v>
      </c>
      <c r="O103" s="274">
        <v>614.5</v>
      </c>
      <c r="P103" s="274">
        <v>1007</v>
      </c>
      <c r="Q103" s="274">
        <v>1303.3</v>
      </c>
    </row>
    <row r="104" spans="3:17" x14ac:dyDescent="0.15">
      <c r="C104" s="255" t="s">
        <v>842</v>
      </c>
      <c r="D104" s="256">
        <f t="shared" si="1"/>
        <v>1221</v>
      </c>
      <c r="E104" s="256">
        <v>1221</v>
      </c>
      <c r="F104" s="256">
        <v>578.4</v>
      </c>
      <c r="G104" s="256">
        <v>789.8</v>
      </c>
      <c r="H104" s="256">
        <v>1462.1</v>
      </c>
      <c r="I104" s="256">
        <v>1521.3</v>
      </c>
      <c r="K104" s="115" t="s">
        <v>842</v>
      </c>
      <c r="L104" s="274">
        <v>1205.3</v>
      </c>
      <c r="M104" s="274">
        <v>450.1</v>
      </c>
      <c r="N104" s="256">
        <v>680.4</v>
      </c>
      <c r="O104" s="274">
        <v>689.1</v>
      </c>
      <c r="P104" s="274">
        <v>1019</v>
      </c>
      <c r="Q104" s="274">
        <v>2436.8000000000002</v>
      </c>
    </row>
    <row r="105" spans="3:17" x14ac:dyDescent="0.15">
      <c r="C105" s="255" t="s">
        <v>843</v>
      </c>
      <c r="D105" s="256">
        <f t="shared" si="1"/>
        <v>393</v>
      </c>
      <c r="E105" s="256">
        <v>393</v>
      </c>
      <c r="F105" s="256">
        <v>49.8</v>
      </c>
      <c r="G105" s="256">
        <v>174.3</v>
      </c>
      <c r="H105" s="256">
        <v>107.5</v>
      </c>
      <c r="I105" s="256">
        <v>963.1</v>
      </c>
      <c r="K105" s="115" t="s">
        <v>843</v>
      </c>
      <c r="L105" s="274">
        <v>252.4</v>
      </c>
      <c r="M105" s="274">
        <v>99.1</v>
      </c>
      <c r="N105" s="256">
        <v>61.2</v>
      </c>
      <c r="O105" s="274">
        <v>130.4</v>
      </c>
      <c r="P105" s="274">
        <v>392.9</v>
      </c>
      <c r="Q105" s="274">
        <v>449.7</v>
      </c>
    </row>
    <row r="106" spans="3:17" x14ac:dyDescent="0.15">
      <c r="C106" s="255" t="s">
        <v>844</v>
      </c>
      <c r="D106" s="256">
        <f t="shared" si="1"/>
        <v>20</v>
      </c>
      <c r="E106" s="256">
        <v>20</v>
      </c>
      <c r="F106" s="256">
        <v>10</v>
      </c>
      <c r="G106" s="256">
        <v>0</v>
      </c>
      <c r="H106" s="256">
        <v>25.5</v>
      </c>
      <c r="I106" s="256">
        <v>4.7</v>
      </c>
      <c r="K106" s="115" t="s">
        <v>1194</v>
      </c>
      <c r="L106" s="274">
        <v>15.9</v>
      </c>
      <c r="M106" s="274">
        <v>0</v>
      </c>
      <c r="N106" s="256">
        <v>3.7</v>
      </c>
      <c r="O106" s="274">
        <v>13.4</v>
      </c>
      <c r="P106" s="274">
        <v>8.9</v>
      </c>
      <c r="Q106" s="274">
        <v>37.6</v>
      </c>
    </row>
    <row r="107" spans="3:17" x14ac:dyDescent="0.15">
      <c r="C107" s="255" t="s">
        <v>845</v>
      </c>
      <c r="D107" s="256">
        <f t="shared" si="1"/>
        <v>105834</v>
      </c>
      <c r="E107" s="256">
        <v>105834</v>
      </c>
      <c r="F107" s="256">
        <v>65465.599999999999</v>
      </c>
      <c r="G107" s="256">
        <v>87319.8</v>
      </c>
      <c r="H107" s="256">
        <v>95942.7</v>
      </c>
      <c r="I107" s="256">
        <v>119858</v>
      </c>
      <c r="K107" s="115" t="s">
        <v>845</v>
      </c>
      <c r="L107" s="274">
        <v>97157.8</v>
      </c>
      <c r="M107" s="274">
        <v>56852.7</v>
      </c>
      <c r="N107" s="256">
        <v>69683.3</v>
      </c>
      <c r="O107" s="274">
        <v>84520.2</v>
      </c>
      <c r="P107" s="274">
        <v>96700.5</v>
      </c>
      <c r="Q107" s="274">
        <v>141282.70000000001</v>
      </c>
    </row>
    <row r="108" spans="3:17" x14ac:dyDescent="0.15">
      <c r="C108" s="255" t="s">
        <v>846</v>
      </c>
      <c r="D108" s="256">
        <f t="shared" si="1"/>
        <v>28006</v>
      </c>
      <c r="E108" s="256">
        <v>28006</v>
      </c>
      <c r="F108" s="256">
        <v>34909.4</v>
      </c>
      <c r="G108" s="256">
        <v>51515.9</v>
      </c>
      <c r="H108" s="256">
        <v>28102.3</v>
      </c>
      <c r="I108" s="256">
        <v>24264</v>
      </c>
      <c r="K108" s="115" t="s">
        <v>846</v>
      </c>
      <c r="L108" s="274">
        <v>26400</v>
      </c>
      <c r="M108" s="274">
        <v>36226.1</v>
      </c>
      <c r="N108" s="256">
        <v>39233.800000000003</v>
      </c>
      <c r="O108" s="274">
        <v>32681.3</v>
      </c>
      <c r="P108" s="274">
        <v>21915.5</v>
      </c>
      <c r="Q108" s="274">
        <v>11221.4</v>
      </c>
    </row>
    <row r="109" spans="3:17" x14ac:dyDescent="0.15">
      <c r="C109" s="255" t="s">
        <v>847</v>
      </c>
      <c r="D109" s="256">
        <f t="shared" si="1"/>
        <v>53</v>
      </c>
      <c r="E109" s="256">
        <v>53</v>
      </c>
      <c r="F109" s="256">
        <v>24.8</v>
      </c>
      <c r="G109" s="256">
        <v>164.9</v>
      </c>
      <c r="H109" s="256">
        <v>93.9</v>
      </c>
      <c r="I109" s="256">
        <v>59.2</v>
      </c>
      <c r="K109" s="115" t="s">
        <v>847</v>
      </c>
      <c r="L109" s="274">
        <v>72.5</v>
      </c>
      <c r="M109" s="274">
        <v>121</v>
      </c>
      <c r="N109" s="256">
        <v>36.6</v>
      </c>
      <c r="O109" s="274">
        <v>64.599999999999994</v>
      </c>
      <c r="P109" s="274">
        <v>80.099999999999994</v>
      </c>
      <c r="Q109" s="274">
        <v>91.6</v>
      </c>
    </row>
    <row r="110" spans="3:17" x14ac:dyDescent="0.15">
      <c r="C110" s="255" t="s">
        <v>848</v>
      </c>
      <c r="D110" s="256">
        <f t="shared" si="1"/>
        <v>38456</v>
      </c>
      <c r="E110" s="256">
        <v>38456</v>
      </c>
      <c r="F110" s="256">
        <v>8583</v>
      </c>
      <c r="G110" s="256">
        <v>7470.3</v>
      </c>
      <c r="H110" s="256">
        <v>29304.9</v>
      </c>
      <c r="I110" s="256">
        <v>49637.3</v>
      </c>
      <c r="K110" s="115" t="s">
        <v>1195</v>
      </c>
      <c r="L110" s="274">
        <v>34063.300000000003</v>
      </c>
      <c r="M110" s="274">
        <v>3748.8</v>
      </c>
      <c r="N110" s="256">
        <v>7370.6</v>
      </c>
      <c r="O110" s="274">
        <v>20748.3</v>
      </c>
      <c r="P110" s="274">
        <v>36129.9</v>
      </c>
      <c r="Q110" s="274">
        <v>73839.5</v>
      </c>
    </row>
    <row r="111" spans="3:17" x14ac:dyDescent="0.15">
      <c r="C111" s="255" t="s">
        <v>849</v>
      </c>
      <c r="D111" s="256">
        <f t="shared" si="1"/>
        <v>2750</v>
      </c>
      <c r="E111" s="256">
        <v>2750</v>
      </c>
      <c r="F111" s="256">
        <v>576.1</v>
      </c>
      <c r="G111" s="256">
        <v>0</v>
      </c>
      <c r="H111" s="256">
        <v>2327.3000000000002</v>
      </c>
      <c r="I111" s="256">
        <v>1120.5999999999999</v>
      </c>
      <c r="K111" s="115" t="s">
        <v>1196</v>
      </c>
      <c r="L111" s="274">
        <v>2043.3</v>
      </c>
      <c r="M111" s="274">
        <v>46.7</v>
      </c>
      <c r="N111" s="256">
        <v>348.5</v>
      </c>
      <c r="O111" s="274">
        <v>1774</v>
      </c>
      <c r="P111" s="274">
        <v>2681.5</v>
      </c>
      <c r="Q111" s="274">
        <v>3660.2</v>
      </c>
    </row>
    <row r="112" spans="3:17" x14ac:dyDescent="0.15">
      <c r="C112" s="255" t="s">
        <v>850</v>
      </c>
      <c r="D112" s="256">
        <f t="shared" si="1"/>
        <v>1534</v>
      </c>
      <c r="E112" s="256">
        <v>1534</v>
      </c>
      <c r="F112" s="256">
        <v>641</v>
      </c>
      <c r="G112" s="256">
        <v>381</v>
      </c>
      <c r="H112" s="256">
        <v>2014.6</v>
      </c>
      <c r="I112" s="256">
        <v>2272.1999999999998</v>
      </c>
      <c r="K112" s="115" t="s">
        <v>850</v>
      </c>
      <c r="L112" s="274">
        <v>1666.8</v>
      </c>
      <c r="M112" s="274">
        <v>0</v>
      </c>
      <c r="N112" s="256">
        <v>214</v>
      </c>
      <c r="O112" s="274">
        <v>1318.8</v>
      </c>
      <c r="P112" s="274">
        <v>1677.1</v>
      </c>
      <c r="Q112" s="274">
        <v>3565.9</v>
      </c>
    </row>
    <row r="113" spans="3:17" x14ac:dyDescent="0.15">
      <c r="C113" s="255" t="s">
        <v>851</v>
      </c>
      <c r="D113" s="256">
        <f t="shared" si="1"/>
        <v>232</v>
      </c>
      <c r="E113" s="256">
        <v>232</v>
      </c>
      <c r="F113" s="256">
        <v>0</v>
      </c>
      <c r="G113" s="256">
        <v>0</v>
      </c>
      <c r="H113" s="256">
        <v>0</v>
      </c>
      <c r="I113" s="256">
        <v>0</v>
      </c>
      <c r="K113" s="115" t="s">
        <v>851</v>
      </c>
      <c r="L113" s="274">
        <v>0</v>
      </c>
      <c r="M113" s="274">
        <v>0</v>
      </c>
      <c r="N113" s="256">
        <v>0</v>
      </c>
      <c r="O113" s="274">
        <v>0</v>
      </c>
      <c r="P113" s="274">
        <v>0</v>
      </c>
      <c r="Q113" s="274">
        <v>0</v>
      </c>
    </row>
    <row r="114" spans="3:17" x14ac:dyDescent="0.15">
      <c r="C114" s="255" t="s">
        <v>852</v>
      </c>
      <c r="D114" s="256">
        <f t="shared" si="1"/>
        <v>67</v>
      </c>
      <c r="E114" s="256">
        <v>67</v>
      </c>
      <c r="F114" s="256">
        <v>0</v>
      </c>
      <c r="G114" s="256">
        <v>0</v>
      </c>
      <c r="H114" s="256">
        <v>0</v>
      </c>
      <c r="I114" s="256">
        <v>0</v>
      </c>
      <c r="K114" s="115" t="s">
        <v>852</v>
      </c>
      <c r="L114" s="274">
        <v>0</v>
      </c>
      <c r="M114" s="274">
        <v>0</v>
      </c>
      <c r="N114" s="256">
        <v>0</v>
      </c>
      <c r="O114" s="274">
        <v>0</v>
      </c>
      <c r="P114" s="274">
        <v>0</v>
      </c>
      <c r="Q114" s="274">
        <v>0</v>
      </c>
    </row>
    <row r="115" spans="3:17" x14ac:dyDescent="0.15">
      <c r="C115" s="255" t="s">
        <v>853</v>
      </c>
      <c r="D115" s="256">
        <f t="shared" si="1"/>
        <v>224</v>
      </c>
      <c r="E115" s="256">
        <v>224</v>
      </c>
      <c r="F115" s="256">
        <v>31.7</v>
      </c>
      <c r="G115" s="256">
        <v>83</v>
      </c>
      <c r="H115" s="256">
        <v>138.30000000000001</v>
      </c>
      <c r="I115" s="256">
        <v>358.7</v>
      </c>
      <c r="K115" s="115" t="s">
        <v>853</v>
      </c>
      <c r="L115" s="274">
        <v>206</v>
      </c>
      <c r="M115" s="274">
        <v>14</v>
      </c>
      <c r="N115" s="256">
        <v>20.3</v>
      </c>
      <c r="O115" s="274">
        <v>148.5</v>
      </c>
      <c r="P115" s="274">
        <v>292.2</v>
      </c>
      <c r="Q115" s="274">
        <v>390.3</v>
      </c>
    </row>
    <row r="116" spans="3:17" x14ac:dyDescent="0.15">
      <c r="C116" s="255" t="s">
        <v>854</v>
      </c>
      <c r="D116" s="256">
        <f t="shared" si="1"/>
        <v>343</v>
      </c>
      <c r="E116" s="256">
        <v>343</v>
      </c>
      <c r="F116" s="256">
        <v>0</v>
      </c>
      <c r="G116" s="256">
        <v>0</v>
      </c>
      <c r="H116" s="256">
        <v>0</v>
      </c>
      <c r="I116" s="256">
        <v>0</v>
      </c>
      <c r="K116" s="115" t="s">
        <v>854</v>
      </c>
      <c r="L116" s="274">
        <v>0</v>
      </c>
      <c r="M116" s="274">
        <v>0</v>
      </c>
      <c r="N116" s="256">
        <v>0</v>
      </c>
      <c r="O116" s="274">
        <v>0</v>
      </c>
      <c r="P116" s="274">
        <v>0</v>
      </c>
      <c r="Q116" s="274">
        <v>0</v>
      </c>
    </row>
    <row r="117" spans="3:17" x14ac:dyDescent="0.15">
      <c r="C117" s="255" t="s">
        <v>855</v>
      </c>
      <c r="D117" s="256">
        <f t="shared" si="1"/>
        <v>317</v>
      </c>
      <c r="E117" s="256">
        <v>317</v>
      </c>
      <c r="F117" s="256">
        <v>98.1</v>
      </c>
      <c r="G117" s="256">
        <v>11.3</v>
      </c>
      <c r="H117" s="256">
        <v>242.3</v>
      </c>
      <c r="I117" s="256">
        <v>311.3</v>
      </c>
      <c r="K117" s="115" t="s">
        <v>855</v>
      </c>
      <c r="L117" s="274">
        <v>292.2</v>
      </c>
      <c r="M117" s="274">
        <v>77.900000000000006</v>
      </c>
      <c r="N117" s="256">
        <v>39.1</v>
      </c>
      <c r="O117" s="274">
        <v>352.1</v>
      </c>
      <c r="P117" s="274">
        <v>319.39999999999998</v>
      </c>
      <c r="Q117" s="274">
        <v>473.7</v>
      </c>
    </row>
    <row r="118" spans="3:17" x14ac:dyDescent="0.15">
      <c r="C118" s="255" t="s">
        <v>856</v>
      </c>
      <c r="D118" s="256">
        <f t="shared" si="1"/>
        <v>535</v>
      </c>
      <c r="E118" s="256">
        <v>535</v>
      </c>
      <c r="F118" s="256">
        <v>682.6</v>
      </c>
      <c r="G118" s="256">
        <v>128.19999999999999</v>
      </c>
      <c r="H118" s="256">
        <v>2104</v>
      </c>
      <c r="I118" s="256">
        <v>2570.6</v>
      </c>
      <c r="K118" s="115" t="s">
        <v>1197</v>
      </c>
      <c r="L118" s="274">
        <v>2446.1</v>
      </c>
      <c r="M118" s="274">
        <v>523.29999999999995</v>
      </c>
      <c r="N118" s="256">
        <v>497.4</v>
      </c>
      <c r="O118" s="274">
        <v>1278.9000000000001</v>
      </c>
      <c r="P118" s="274">
        <v>2195.6999999999998</v>
      </c>
      <c r="Q118" s="274">
        <v>5771.8</v>
      </c>
    </row>
    <row r="119" spans="3:17" x14ac:dyDescent="0.15">
      <c r="C119" s="255" t="s">
        <v>857</v>
      </c>
      <c r="D119" s="256">
        <f t="shared" si="1"/>
        <v>1987</v>
      </c>
      <c r="E119" s="256">
        <v>1987</v>
      </c>
      <c r="F119" s="256">
        <v>1726.3</v>
      </c>
      <c r="G119" s="256">
        <v>2455</v>
      </c>
      <c r="H119" s="256">
        <v>2393.5</v>
      </c>
      <c r="I119" s="256">
        <v>2663.3</v>
      </c>
      <c r="K119" s="115" t="s">
        <v>857</v>
      </c>
      <c r="L119" s="274">
        <v>2220.9</v>
      </c>
      <c r="M119" s="274">
        <v>1807.3</v>
      </c>
      <c r="N119" s="256">
        <v>1752.1</v>
      </c>
      <c r="O119" s="274">
        <v>2079.5</v>
      </c>
      <c r="P119" s="274">
        <v>2173.6</v>
      </c>
      <c r="Q119" s="274">
        <v>2870.3</v>
      </c>
    </row>
    <row r="120" spans="3:17" x14ac:dyDescent="0.15">
      <c r="C120" s="255" t="s">
        <v>858</v>
      </c>
      <c r="D120" s="256">
        <f t="shared" si="1"/>
        <v>2546</v>
      </c>
      <c r="E120" s="256">
        <v>2546</v>
      </c>
      <c r="F120" s="256">
        <v>1801.3</v>
      </c>
      <c r="G120" s="256">
        <v>2267.6</v>
      </c>
      <c r="H120" s="256">
        <v>2578.9</v>
      </c>
      <c r="I120" s="256">
        <v>2819.3</v>
      </c>
      <c r="K120" s="115" t="s">
        <v>858</v>
      </c>
      <c r="L120" s="274">
        <v>2455.9</v>
      </c>
      <c r="M120" s="274">
        <v>1588.2</v>
      </c>
      <c r="N120" s="256">
        <v>1952.7</v>
      </c>
      <c r="O120" s="274">
        <v>2349.6999999999998</v>
      </c>
      <c r="P120" s="274">
        <v>2546.9</v>
      </c>
      <c r="Q120" s="274">
        <v>3102.3</v>
      </c>
    </row>
    <row r="121" spans="3:17" x14ac:dyDescent="0.15">
      <c r="C121" s="255" t="s">
        <v>859</v>
      </c>
      <c r="D121" s="256">
        <f t="shared" si="1"/>
        <v>2737</v>
      </c>
      <c r="E121" s="256">
        <v>2737</v>
      </c>
      <c r="F121" s="256">
        <v>1073</v>
      </c>
      <c r="G121" s="256">
        <v>1528.4</v>
      </c>
      <c r="H121" s="256">
        <v>2394.6999999999998</v>
      </c>
      <c r="I121" s="256">
        <v>3243</v>
      </c>
      <c r="K121" s="115" t="s">
        <v>859</v>
      </c>
      <c r="L121" s="274">
        <v>2321.9</v>
      </c>
      <c r="M121" s="274">
        <v>650.9</v>
      </c>
      <c r="N121" s="256">
        <v>1187.8</v>
      </c>
      <c r="O121" s="274">
        <v>1961.3</v>
      </c>
      <c r="P121" s="274">
        <v>2521.9</v>
      </c>
      <c r="Q121" s="274">
        <v>3826.6</v>
      </c>
    </row>
    <row r="122" spans="3:17" x14ac:dyDescent="0.15">
      <c r="C122" s="255" t="s">
        <v>860</v>
      </c>
      <c r="D122" s="256">
        <f t="shared" si="1"/>
        <v>227</v>
      </c>
      <c r="E122" s="256">
        <v>227</v>
      </c>
      <c r="F122" s="256">
        <v>62.7</v>
      </c>
      <c r="G122" s="256">
        <v>101.2</v>
      </c>
      <c r="H122" s="256">
        <v>140.6</v>
      </c>
      <c r="I122" s="256">
        <v>281.7</v>
      </c>
      <c r="K122" s="115" t="s">
        <v>860</v>
      </c>
      <c r="L122" s="274">
        <v>218.2</v>
      </c>
      <c r="M122" s="274">
        <v>77.900000000000006</v>
      </c>
      <c r="N122" s="256">
        <v>66.2</v>
      </c>
      <c r="O122" s="274">
        <v>111.8</v>
      </c>
      <c r="P122" s="274">
        <v>195.4</v>
      </c>
      <c r="Q122" s="274">
        <v>492.1</v>
      </c>
    </row>
    <row r="123" spans="3:17" x14ac:dyDescent="0.15">
      <c r="C123" s="255" t="s">
        <v>861</v>
      </c>
      <c r="D123" s="256">
        <f t="shared" si="1"/>
        <v>1879</v>
      </c>
      <c r="E123" s="256">
        <v>1879</v>
      </c>
      <c r="F123" s="256">
        <v>1291</v>
      </c>
      <c r="G123" s="256">
        <v>872.1</v>
      </c>
      <c r="H123" s="256">
        <v>2851</v>
      </c>
      <c r="I123" s="256">
        <v>2422.8000000000002</v>
      </c>
      <c r="K123" s="115" t="s">
        <v>1198</v>
      </c>
      <c r="L123" s="274">
        <v>1938.2</v>
      </c>
      <c r="M123" s="274">
        <v>196.3</v>
      </c>
      <c r="N123" s="256">
        <v>545</v>
      </c>
      <c r="O123" s="274">
        <v>1184.9000000000001</v>
      </c>
      <c r="P123" s="274">
        <v>1949.2</v>
      </c>
      <c r="Q123" s="274">
        <v>4181.5</v>
      </c>
    </row>
    <row r="124" spans="3:17" x14ac:dyDescent="0.15">
      <c r="C124" s="255" t="s">
        <v>862</v>
      </c>
      <c r="D124" s="256">
        <f t="shared" si="1"/>
        <v>7604</v>
      </c>
      <c r="E124" s="256">
        <v>7604</v>
      </c>
      <c r="F124" s="256">
        <v>4392</v>
      </c>
      <c r="G124" s="256">
        <v>6832.5</v>
      </c>
      <c r="H124" s="256">
        <v>7213.4</v>
      </c>
      <c r="I124" s="256">
        <v>9972.7999999999993</v>
      </c>
      <c r="K124" s="115" t="s">
        <v>862</v>
      </c>
      <c r="L124" s="274">
        <v>7365.3</v>
      </c>
      <c r="M124" s="274">
        <v>4003.4</v>
      </c>
      <c r="N124" s="256">
        <v>5007.3999999999996</v>
      </c>
      <c r="O124" s="274">
        <v>6412.4</v>
      </c>
      <c r="P124" s="274">
        <v>7741.5</v>
      </c>
      <c r="Q124" s="274">
        <v>10685.6</v>
      </c>
    </row>
    <row r="125" spans="3:17" x14ac:dyDescent="0.15">
      <c r="C125" s="255" t="s">
        <v>863</v>
      </c>
      <c r="D125" s="256">
        <f t="shared" si="1"/>
        <v>1607</v>
      </c>
      <c r="E125" s="256">
        <v>1607</v>
      </c>
      <c r="F125" s="256">
        <v>711.7</v>
      </c>
      <c r="G125" s="256">
        <v>861.6</v>
      </c>
      <c r="H125" s="256">
        <v>1462.4</v>
      </c>
      <c r="I125" s="256">
        <v>2515.9</v>
      </c>
      <c r="K125" s="115" t="s">
        <v>1199</v>
      </c>
      <c r="L125" s="274">
        <v>1705.8</v>
      </c>
      <c r="M125" s="274">
        <v>382.6</v>
      </c>
      <c r="N125" s="256">
        <v>468.8</v>
      </c>
      <c r="O125" s="274">
        <v>1176.8</v>
      </c>
      <c r="P125" s="274">
        <v>2103.6999999999998</v>
      </c>
      <c r="Q125" s="274">
        <v>3214.5</v>
      </c>
    </row>
    <row r="126" spans="3:17" x14ac:dyDescent="0.15">
      <c r="C126" s="255" t="s">
        <v>864</v>
      </c>
      <c r="D126" s="256">
        <f t="shared" si="1"/>
        <v>65</v>
      </c>
      <c r="E126" s="256">
        <v>65</v>
      </c>
      <c r="F126" s="256">
        <v>12.9</v>
      </c>
      <c r="G126" s="256">
        <v>2.1</v>
      </c>
      <c r="H126" s="256">
        <v>139.6</v>
      </c>
      <c r="I126" s="256">
        <v>101.6</v>
      </c>
      <c r="K126" s="115" t="s">
        <v>864</v>
      </c>
      <c r="L126" s="274">
        <v>100.9</v>
      </c>
      <c r="M126" s="274">
        <v>3.5</v>
      </c>
      <c r="N126" s="256">
        <v>8.4</v>
      </c>
      <c r="O126" s="274">
        <v>223.1</v>
      </c>
      <c r="P126" s="274">
        <v>42.8</v>
      </c>
      <c r="Q126" s="274">
        <v>131.6</v>
      </c>
    </row>
    <row r="127" spans="3:17" x14ac:dyDescent="0.15">
      <c r="C127" s="255" t="s">
        <v>865</v>
      </c>
      <c r="D127" s="256">
        <f t="shared" si="1"/>
        <v>871</v>
      </c>
      <c r="E127" s="256">
        <v>871</v>
      </c>
      <c r="F127" s="256">
        <v>342.5</v>
      </c>
      <c r="G127" s="256">
        <v>251.3</v>
      </c>
      <c r="H127" s="256">
        <v>521.4</v>
      </c>
      <c r="I127" s="256">
        <v>978</v>
      </c>
      <c r="K127" s="115" t="s">
        <v>865</v>
      </c>
      <c r="L127" s="274">
        <v>732</v>
      </c>
      <c r="M127" s="274">
        <v>323.89999999999998</v>
      </c>
      <c r="N127" s="256">
        <v>533</v>
      </c>
      <c r="O127" s="274">
        <v>884.5</v>
      </c>
      <c r="P127" s="274">
        <v>812.2</v>
      </c>
      <c r="Q127" s="274">
        <v>788.8</v>
      </c>
    </row>
    <row r="128" spans="3:17" x14ac:dyDescent="0.15">
      <c r="C128" s="255" t="s">
        <v>866</v>
      </c>
      <c r="D128" s="256">
        <f t="shared" si="1"/>
        <v>7</v>
      </c>
      <c r="E128" s="256">
        <v>7</v>
      </c>
      <c r="F128" s="256">
        <v>12.9</v>
      </c>
      <c r="G128" s="256">
        <v>0</v>
      </c>
      <c r="H128" s="256">
        <v>1.8</v>
      </c>
      <c r="I128" s="256">
        <v>12.4</v>
      </c>
      <c r="K128" s="115" t="s">
        <v>866</v>
      </c>
      <c r="L128" s="274">
        <v>43.3</v>
      </c>
      <c r="M128" s="274">
        <v>3.4</v>
      </c>
      <c r="N128" s="256">
        <v>0</v>
      </c>
      <c r="O128" s="274">
        <v>72.7</v>
      </c>
      <c r="P128" s="274">
        <v>62.1</v>
      </c>
      <c r="Q128" s="274">
        <v>46.6</v>
      </c>
    </row>
    <row r="129" spans="3:17" x14ac:dyDescent="0.15">
      <c r="C129" s="255" t="s">
        <v>867</v>
      </c>
      <c r="D129" s="256">
        <f t="shared" si="1"/>
        <v>1663</v>
      </c>
      <c r="E129" s="256">
        <v>1663</v>
      </c>
      <c r="F129" s="256">
        <v>548.20000000000005</v>
      </c>
      <c r="G129" s="256">
        <v>861.3</v>
      </c>
      <c r="H129" s="256">
        <v>1029.0999999999999</v>
      </c>
      <c r="I129" s="256">
        <v>2597.3000000000002</v>
      </c>
      <c r="K129" s="115" t="s">
        <v>867</v>
      </c>
      <c r="L129" s="274">
        <v>1162.8</v>
      </c>
      <c r="M129" s="274">
        <v>406.1</v>
      </c>
      <c r="N129" s="256">
        <v>356.2</v>
      </c>
      <c r="O129" s="274">
        <v>797.7</v>
      </c>
      <c r="P129" s="274">
        <v>1304.3</v>
      </c>
      <c r="Q129" s="274">
        <v>2231</v>
      </c>
    </row>
    <row r="130" spans="3:17" x14ac:dyDescent="0.15">
      <c r="C130" s="255" t="s">
        <v>868</v>
      </c>
      <c r="D130" s="256">
        <f t="shared" si="1"/>
        <v>12122</v>
      </c>
      <c r="E130" s="256">
        <v>12122</v>
      </c>
      <c r="F130" s="256">
        <v>7944.4</v>
      </c>
      <c r="G130" s="256">
        <v>11531.8</v>
      </c>
      <c r="H130" s="256">
        <v>10888.5</v>
      </c>
      <c r="I130" s="256">
        <v>11656</v>
      </c>
      <c r="K130" s="115" t="s">
        <v>868</v>
      </c>
      <c r="L130" s="274">
        <v>9702.2000000000007</v>
      </c>
      <c r="M130" s="274">
        <v>6651.5</v>
      </c>
      <c r="N130" s="256">
        <v>10045.4</v>
      </c>
      <c r="O130" s="274">
        <v>8899.5</v>
      </c>
      <c r="P130" s="274">
        <v>9955.4</v>
      </c>
      <c r="Q130" s="274">
        <v>10697.6</v>
      </c>
    </row>
    <row r="131" spans="3:17" x14ac:dyDescent="0.15">
      <c r="C131" s="255" t="s">
        <v>869</v>
      </c>
      <c r="D131" s="256">
        <f t="shared" si="1"/>
        <v>15633</v>
      </c>
      <c r="E131" s="256">
        <v>15633</v>
      </c>
      <c r="F131" s="256">
        <v>8902.4</v>
      </c>
      <c r="G131" s="256">
        <v>11423.6</v>
      </c>
      <c r="H131" s="256">
        <v>19707.5</v>
      </c>
      <c r="I131" s="256">
        <v>25443.200000000001</v>
      </c>
      <c r="K131" s="115" t="s">
        <v>869</v>
      </c>
      <c r="L131" s="274">
        <v>15431</v>
      </c>
      <c r="M131" s="274">
        <v>5096</v>
      </c>
      <c r="N131" s="256">
        <v>6632.7</v>
      </c>
      <c r="O131" s="274">
        <v>11484.4</v>
      </c>
      <c r="P131" s="274">
        <v>16508.099999999999</v>
      </c>
      <c r="Q131" s="274">
        <v>27907.8</v>
      </c>
    </row>
    <row r="132" spans="3:17" x14ac:dyDescent="0.15">
      <c r="C132" s="255" t="s">
        <v>870</v>
      </c>
      <c r="D132" s="256">
        <f t="shared" si="1"/>
        <v>3535</v>
      </c>
      <c r="E132" s="256">
        <v>3535</v>
      </c>
      <c r="F132" s="256">
        <v>2937.3</v>
      </c>
      <c r="G132" s="256">
        <v>4245.1000000000004</v>
      </c>
      <c r="H132" s="256">
        <v>4422.3999999999996</v>
      </c>
      <c r="I132" s="256">
        <v>6349.6</v>
      </c>
      <c r="K132" s="115" t="s">
        <v>1200</v>
      </c>
      <c r="L132" s="274">
        <v>3365.9</v>
      </c>
      <c r="M132" s="274">
        <v>1875.5</v>
      </c>
      <c r="N132" s="256">
        <v>1535.4</v>
      </c>
      <c r="O132" s="274">
        <v>2326.3000000000002</v>
      </c>
      <c r="P132" s="274">
        <v>3198.7</v>
      </c>
      <c r="Q132" s="274">
        <v>6309.4</v>
      </c>
    </row>
    <row r="133" spans="3:17" x14ac:dyDescent="0.15">
      <c r="C133" s="255" t="s">
        <v>871</v>
      </c>
      <c r="D133" s="256">
        <f t="shared" si="1"/>
        <v>463</v>
      </c>
      <c r="E133" s="256">
        <v>463</v>
      </c>
      <c r="F133" s="256">
        <v>216.7</v>
      </c>
      <c r="G133" s="256">
        <v>41.1</v>
      </c>
      <c r="H133" s="256">
        <v>986.6</v>
      </c>
      <c r="I133" s="256">
        <v>392.7</v>
      </c>
      <c r="K133" s="115" t="s">
        <v>871</v>
      </c>
      <c r="L133" s="274">
        <v>568.29999999999995</v>
      </c>
      <c r="M133" s="274">
        <v>3.8</v>
      </c>
      <c r="N133" s="256">
        <v>140.69999999999999</v>
      </c>
      <c r="O133" s="274">
        <v>371.9</v>
      </c>
      <c r="P133" s="274">
        <v>1114</v>
      </c>
      <c r="Q133" s="274">
        <v>812.1</v>
      </c>
    </row>
    <row r="134" spans="3:17" x14ac:dyDescent="0.15">
      <c r="C134" s="255" t="s">
        <v>872</v>
      </c>
      <c r="D134" s="256">
        <f t="shared" si="1"/>
        <v>651</v>
      </c>
      <c r="E134" s="256">
        <v>651</v>
      </c>
      <c r="F134" s="256">
        <v>199.6</v>
      </c>
      <c r="G134" s="256">
        <v>93.9</v>
      </c>
      <c r="H134" s="256">
        <v>1188.5</v>
      </c>
      <c r="I134" s="256">
        <v>833.7</v>
      </c>
      <c r="K134" s="115" t="s">
        <v>1201</v>
      </c>
      <c r="L134" s="274">
        <v>494.8</v>
      </c>
      <c r="M134" s="274">
        <v>167.9</v>
      </c>
      <c r="N134" s="256">
        <v>77.7</v>
      </c>
      <c r="O134" s="274">
        <v>206.8</v>
      </c>
      <c r="P134" s="274">
        <v>576</v>
      </c>
      <c r="Q134" s="274">
        <v>1117.7</v>
      </c>
    </row>
    <row r="135" spans="3:17" x14ac:dyDescent="0.15">
      <c r="C135" s="255" t="s">
        <v>873</v>
      </c>
      <c r="D135" s="256">
        <f t="shared" si="1"/>
        <v>1327</v>
      </c>
      <c r="E135" s="256">
        <v>1327</v>
      </c>
      <c r="F135" s="256">
        <v>734.8</v>
      </c>
      <c r="G135" s="256">
        <v>278.2</v>
      </c>
      <c r="H135" s="256">
        <v>886.8</v>
      </c>
      <c r="I135" s="256">
        <v>1966.7</v>
      </c>
      <c r="K135" s="115" t="s">
        <v>873</v>
      </c>
      <c r="L135" s="274">
        <v>812.2</v>
      </c>
      <c r="M135" s="274">
        <v>466.1</v>
      </c>
      <c r="N135" s="256">
        <v>305.7</v>
      </c>
      <c r="O135" s="274">
        <v>644</v>
      </c>
      <c r="P135" s="274">
        <v>657</v>
      </c>
      <c r="Q135" s="274">
        <v>1584.6</v>
      </c>
    </row>
    <row r="136" spans="3:17" x14ac:dyDescent="0.15">
      <c r="C136" s="255" t="s">
        <v>874</v>
      </c>
      <c r="D136" s="256">
        <f t="shared" si="1"/>
        <v>221</v>
      </c>
      <c r="E136" s="256">
        <v>221</v>
      </c>
      <c r="F136" s="256">
        <v>193</v>
      </c>
      <c r="G136" s="256">
        <v>134.1</v>
      </c>
      <c r="H136" s="256">
        <v>100.2</v>
      </c>
      <c r="I136" s="256">
        <v>647.4</v>
      </c>
      <c r="K136" s="115" t="s">
        <v>1202</v>
      </c>
      <c r="L136" s="274">
        <v>181.3</v>
      </c>
      <c r="M136" s="274">
        <v>58.3</v>
      </c>
      <c r="N136" s="256">
        <v>170.8</v>
      </c>
      <c r="O136" s="274">
        <v>161.80000000000001</v>
      </c>
      <c r="P136" s="274">
        <v>204.2</v>
      </c>
      <c r="Q136" s="274">
        <v>219.7</v>
      </c>
    </row>
    <row r="137" spans="3:17" x14ac:dyDescent="0.15">
      <c r="C137" s="255" t="s">
        <v>875</v>
      </c>
      <c r="D137" s="256">
        <f t="shared" si="1"/>
        <v>77</v>
      </c>
      <c r="E137" s="256">
        <v>77</v>
      </c>
      <c r="F137" s="256">
        <v>25.5</v>
      </c>
      <c r="G137" s="256">
        <v>0</v>
      </c>
      <c r="H137" s="256">
        <v>55.7</v>
      </c>
      <c r="I137" s="256">
        <v>45</v>
      </c>
      <c r="K137" s="115" t="s">
        <v>875</v>
      </c>
      <c r="L137" s="274">
        <v>26.8</v>
      </c>
      <c r="M137" s="274">
        <v>4.7</v>
      </c>
      <c r="N137" s="256">
        <v>5.8</v>
      </c>
      <c r="O137" s="274">
        <v>20.100000000000001</v>
      </c>
      <c r="P137" s="274">
        <v>55.8</v>
      </c>
      <c r="Q137" s="274">
        <v>33</v>
      </c>
    </row>
    <row r="138" spans="3:17" x14ac:dyDescent="0.15">
      <c r="C138" s="255" t="s">
        <v>876</v>
      </c>
      <c r="D138" s="256">
        <f t="shared" si="1"/>
        <v>10</v>
      </c>
      <c r="E138" s="256">
        <v>10</v>
      </c>
      <c r="F138" s="256">
        <v>0</v>
      </c>
      <c r="G138" s="256">
        <v>0</v>
      </c>
      <c r="H138" s="256">
        <v>0</v>
      </c>
      <c r="I138" s="256">
        <v>73.7</v>
      </c>
      <c r="K138" s="115" t="s">
        <v>876</v>
      </c>
      <c r="L138" s="274">
        <v>16.100000000000001</v>
      </c>
      <c r="M138" s="274">
        <v>0</v>
      </c>
      <c r="N138" s="256">
        <v>1.9</v>
      </c>
      <c r="O138" s="274">
        <v>0</v>
      </c>
      <c r="P138" s="274">
        <v>12.7</v>
      </c>
      <c r="Q138" s="274">
        <v>48.9</v>
      </c>
    </row>
    <row r="139" spans="3:17" x14ac:dyDescent="0.15">
      <c r="C139" s="255" t="s">
        <v>877</v>
      </c>
      <c r="D139" s="256">
        <f t="shared" si="1"/>
        <v>3</v>
      </c>
      <c r="E139" s="256">
        <v>3</v>
      </c>
      <c r="F139" s="256">
        <v>12.6</v>
      </c>
      <c r="G139" s="256">
        <v>0.1</v>
      </c>
      <c r="H139" s="256">
        <v>38.4</v>
      </c>
      <c r="I139" s="256">
        <v>2.9</v>
      </c>
      <c r="K139" s="115" t="s">
        <v>1203</v>
      </c>
      <c r="L139" s="274">
        <v>21.4</v>
      </c>
      <c r="M139" s="274">
        <v>0</v>
      </c>
      <c r="N139" s="256">
        <v>29.4</v>
      </c>
      <c r="O139" s="274">
        <v>3.2</v>
      </c>
      <c r="P139" s="274">
        <v>47.6</v>
      </c>
      <c r="Q139" s="274">
        <v>16.5</v>
      </c>
    </row>
    <row r="140" spans="3:17" x14ac:dyDescent="0.15">
      <c r="C140" s="255" t="s">
        <v>878</v>
      </c>
      <c r="D140" s="256">
        <f t="shared" si="1"/>
        <v>68</v>
      </c>
      <c r="E140" s="256">
        <v>68</v>
      </c>
      <c r="F140" s="256">
        <v>68.400000000000006</v>
      </c>
      <c r="G140" s="256">
        <v>3.9</v>
      </c>
      <c r="H140" s="256">
        <v>30.1</v>
      </c>
      <c r="I140" s="256">
        <v>123.8</v>
      </c>
      <c r="K140" s="115" t="s">
        <v>878</v>
      </c>
      <c r="L140" s="274">
        <v>200</v>
      </c>
      <c r="M140" s="274">
        <v>4.0999999999999996</v>
      </c>
      <c r="N140" s="256">
        <v>1.2</v>
      </c>
      <c r="O140" s="274">
        <v>437</v>
      </c>
      <c r="P140" s="274">
        <v>99.8</v>
      </c>
      <c r="Q140" s="274">
        <v>267.10000000000002</v>
      </c>
    </row>
    <row r="141" spans="3:17" x14ac:dyDescent="0.15">
      <c r="C141" s="255" t="s">
        <v>879</v>
      </c>
      <c r="D141" s="256">
        <f t="shared" si="1"/>
        <v>757</v>
      </c>
      <c r="E141" s="256">
        <v>757</v>
      </c>
      <c r="F141" s="256">
        <v>227.8</v>
      </c>
      <c r="G141" s="256">
        <v>718.3</v>
      </c>
      <c r="H141" s="256">
        <v>1437.4</v>
      </c>
      <c r="I141" s="256">
        <v>1099.7</v>
      </c>
      <c r="K141" s="115" t="s">
        <v>879</v>
      </c>
      <c r="L141" s="274">
        <v>832.8</v>
      </c>
      <c r="M141" s="274">
        <v>188.7</v>
      </c>
      <c r="N141" s="256">
        <v>807.1</v>
      </c>
      <c r="O141" s="274">
        <v>420.7</v>
      </c>
      <c r="P141" s="274">
        <v>940.3</v>
      </c>
      <c r="Q141" s="274">
        <v>1306</v>
      </c>
    </row>
    <row r="142" spans="3:17" x14ac:dyDescent="0.15">
      <c r="C142" s="255" t="s">
        <v>880</v>
      </c>
      <c r="D142" s="256">
        <f t="shared" si="1"/>
        <v>153</v>
      </c>
      <c r="E142" s="256">
        <v>153</v>
      </c>
      <c r="F142" s="256">
        <v>29.2</v>
      </c>
      <c r="G142" s="256">
        <v>144</v>
      </c>
      <c r="H142" s="256">
        <v>118.8</v>
      </c>
      <c r="I142" s="256">
        <v>133.4</v>
      </c>
      <c r="K142" s="115" t="s">
        <v>880</v>
      </c>
      <c r="L142" s="274">
        <v>87.1</v>
      </c>
      <c r="M142" s="274">
        <v>4.5999999999999996</v>
      </c>
      <c r="N142" s="256">
        <v>10.8</v>
      </c>
      <c r="O142" s="274">
        <v>76.099999999999994</v>
      </c>
      <c r="P142" s="274">
        <v>89.6</v>
      </c>
      <c r="Q142" s="274">
        <v>177.5</v>
      </c>
    </row>
    <row r="143" spans="3:17" x14ac:dyDescent="0.15">
      <c r="C143" s="255" t="s">
        <v>881</v>
      </c>
      <c r="D143" s="256">
        <f t="shared" si="1"/>
        <v>0</v>
      </c>
      <c r="E143" s="256">
        <v>0</v>
      </c>
      <c r="F143" s="256">
        <v>0</v>
      </c>
      <c r="G143" s="256">
        <v>0</v>
      </c>
      <c r="H143" s="256">
        <v>2.7</v>
      </c>
      <c r="I143" s="256">
        <v>0</v>
      </c>
      <c r="K143" s="115" t="s">
        <v>881</v>
      </c>
      <c r="L143" s="274">
        <v>0.4</v>
      </c>
      <c r="M143" s="274">
        <v>0</v>
      </c>
      <c r="N143" s="256">
        <v>0</v>
      </c>
      <c r="O143" s="274">
        <v>0</v>
      </c>
      <c r="P143" s="274">
        <v>0</v>
      </c>
      <c r="Q143" s="274">
        <v>1.3</v>
      </c>
    </row>
    <row r="144" spans="3:17" x14ac:dyDescent="0.15">
      <c r="C144" s="255" t="s">
        <v>882</v>
      </c>
      <c r="D144" s="256">
        <f t="shared" si="1"/>
        <v>85</v>
      </c>
      <c r="E144" s="256">
        <v>85</v>
      </c>
      <c r="F144" s="256">
        <v>82.6</v>
      </c>
      <c r="G144" s="256">
        <v>74.3</v>
      </c>
      <c r="H144" s="256">
        <v>253.6</v>
      </c>
      <c r="I144" s="256">
        <v>209.7</v>
      </c>
      <c r="K144" s="115" t="s">
        <v>882</v>
      </c>
      <c r="L144" s="274">
        <v>186.4</v>
      </c>
      <c r="M144" s="274">
        <v>135</v>
      </c>
      <c r="N144" s="256">
        <v>99.8</v>
      </c>
      <c r="O144" s="274">
        <v>145.4</v>
      </c>
      <c r="P144" s="274">
        <v>177.4</v>
      </c>
      <c r="Q144" s="274">
        <v>314.3</v>
      </c>
    </row>
    <row r="145" spans="3:17" x14ac:dyDescent="0.15">
      <c r="C145" s="255" t="s">
        <v>883</v>
      </c>
      <c r="D145" s="256">
        <f t="shared" si="1"/>
        <v>453</v>
      </c>
      <c r="E145" s="256">
        <v>453</v>
      </c>
      <c r="F145" s="256">
        <v>276.89999999999998</v>
      </c>
      <c r="G145" s="256">
        <v>320.7</v>
      </c>
      <c r="H145" s="256">
        <v>529.9</v>
      </c>
      <c r="I145" s="256">
        <v>735.2</v>
      </c>
      <c r="K145" s="115" t="s">
        <v>883</v>
      </c>
      <c r="L145" s="274">
        <v>445.4</v>
      </c>
      <c r="M145" s="274">
        <v>59</v>
      </c>
      <c r="N145" s="256">
        <v>194.4</v>
      </c>
      <c r="O145" s="274">
        <v>324.10000000000002</v>
      </c>
      <c r="P145" s="274">
        <v>384.5</v>
      </c>
      <c r="Q145" s="274">
        <v>902.1</v>
      </c>
    </row>
    <row r="146" spans="3:17" x14ac:dyDescent="0.15">
      <c r="C146" s="255" t="s">
        <v>884</v>
      </c>
      <c r="D146" s="256">
        <f t="shared" ref="D146:D209" si="2">E146</f>
        <v>790</v>
      </c>
      <c r="E146" s="256">
        <v>790</v>
      </c>
      <c r="F146" s="256">
        <v>375.3</v>
      </c>
      <c r="G146" s="256">
        <v>800.5</v>
      </c>
      <c r="H146" s="256">
        <v>993.2</v>
      </c>
      <c r="I146" s="256">
        <v>1373.4</v>
      </c>
      <c r="K146" s="115" t="s">
        <v>884</v>
      </c>
      <c r="L146" s="274">
        <v>778.7</v>
      </c>
      <c r="M146" s="274">
        <v>120.6</v>
      </c>
      <c r="N146" s="256">
        <v>269.89999999999998</v>
      </c>
      <c r="O146" s="274">
        <v>549.29999999999995</v>
      </c>
      <c r="P146" s="274">
        <v>1062.7</v>
      </c>
      <c r="Q146" s="274">
        <v>1344.3</v>
      </c>
    </row>
    <row r="147" spans="3:17" x14ac:dyDescent="0.15">
      <c r="C147" s="255" t="s">
        <v>885</v>
      </c>
      <c r="D147" s="256">
        <f t="shared" si="2"/>
        <v>252</v>
      </c>
      <c r="E147" s="256">
        <v>252</v>
      </c>
      <c r="F147" s="256">
        <v>185.1</v>
      </c>
      <c r="G147" s="256">
        <v>415.6</v>
      </c>
      <c r="H147" s="256">
        <v>343</v>
      </c>
      <c r="I147" s="256">
        <v>417.6</v>
      </c>
      <c r="K147" s="115" t="s">
        <v>885</v>
      </c>
      <c r="L147" s="274">
        <v>321.60000000000002</v>
      </c>
      <c r="M147" s="274">
        <v>0</v>
      </c>
      <c r="N147" s="256">
        <v>77.7</v>
      </c>
      <c r="O147" s="274">
        <v>188.3</v>
      </c>
      <c r="P147" s="274">
        <v>281.39999999999998</v>
      </c>
      <c r="Q147" s="274">
        <v>752.3</v>
      </c>
    </row>
    <row r="148" spans="3:17" x14ac:dyDescent="0.15">
      <c r="C148" s="255" t="s">
        <v>886</v>
      </c>
      <c r="D148" s="256">
        <f t="shared" si="2"/>
        <v>61</v>
      </c>
      <c r="E148" s="256">
        <v>61</v>
      </c>
      <c r="F148" s="256">
        <v>29.4</v>
      </c>
      <c r="G148" s="256">
        <v>0.2</v>
      </c>
      <c r="H148" s="256">
        <v>13.1</v>
      </c>
      <c r="I148" s="256">
        <v>200.5</v>
      </c>
      <c r="K148" s="115" t="s">
        <v>886</v>
      </c>
      <c r="L148" s="274">
        <v>147.1</v>
      </c>
      <c r="M148" s="274">
        <v>0</v>
      </c>
      <c r="N148" s="256">
        <v>0.4</v>
      </c>
      <c r="O148" s="274">
        <v>180.4</v>
      </c>
      <c r="P148" s="274">
        <v>34.799999999999997</v>
      </c>
      <c r="Q148" s="274">
        <v>357.9</v>
      </c>
    </row>
    <row r="149" spans="3:17" x14ac:dyDescent="0.15">
      <c r="C149" s="255" t="s">
        <v>887</v>
      </c>
      <c r="D149" s="256">
        <f t="shared" si="2"/>
        <v>173</v>
      </c>
      <c r="E149" s="256">
        <v>173</v>
      </c>
      <c r="F149" s="256">
        <v>236.9</v>
      </c>
      <c r="G149" s="256">
        <v>0</v>
      </c>
      <c r="H149" s="256">
        <v>10.3</v>
      </c>
      <c r="I149" s="256">
        <v>152.30000000000001</v>
      </c>
      <c r="K149" s="115" t="s">
        <v>1204</v>
      </c>
      <c r="L149" s="274">
        <v>198.7</v>
      </c>
      <c r="M149" s="274">
        <v>0</v>
      </c>
      <c r="N149" s="256">
        <v>0.1</v>
      </c>
      <c r="O149" s="274">
        <v>498.6</v>
      </c>
      <c r="P149" s="274">
        <v>94.8</v>
      </c>
      <c r="Q149" s="274">
        <v>210.9</v>
      </c>
    </row>
    <row r="150" spans="3:17" x14ac:dyDescent="0.15">
      <c r="C150" s="255" t="s">
        <v>888</v>
      </c>
      <c r="D150" s="256">
        <f t="shared" si="2"/>
        <v>21</v>
      </c>
      <c r="E150" s="256">
        <v>21</v>
      </c>
      <c r="F150" s="256">
        <v>0.1</v>
      </c>
      <c r="G150" s="256">
        <v>0.3</v>
      </c>
      <c r="H150" s="256">
        <v>170</v>
      </c>
      <c r="I150" s="256">
        <v>0.7</v>
      </c>
      <c r="K150" s="115" t="s">
        <v>888</v>
      </c>
      <c r="L150" s="274">
        <v>25.4</v>
      </c>
      <c r="M150" s="274">
        <v>0</v>
      </c>
      <c r="N150" s="256">
        <v>0.4</v>
      </c>
      <c r="O150" s="274">
        <v>0.4</v>
      </c>
      <c r="P150" s="274">
        <v>119.7</v>
      </c>
      <c r="Q150" s="274">
        <v>2.2000000000000002</v>
      </c>
    </row>
    <row r="151" spans="3:17" x14ac:dyDescent="0.15">
      <c r="C151" s="255" t="s">
        <v>889</v>
      </c>
      <c r="D151" s="256">
        <f t="shared" si="2"/>
        <v>44</v>
      </c>
      <c r="E151" s="256">
        <v>44</v>
      </c>
      <c r="F151" s="256">
        <v>98.9</v>
      </c>
      <c r="G151" s="256">
        <v>80.5</v>
      </c>
      <c r="H151" s="256">
        <v>219.5</v>
      </c>
      <c r="I151" s="256">
        <v>360</v>
      </c>
      <c r="K151" s="115" t="s">
        <v>889</v>
      </c>
      <c r="L151" s="274">
        <v>197.4</v>
      </c>
      <c r="M151" s="274">
        <v>45</v>
      </c>
      <c r="N151" s="256">
        <v>79.8</v>
      </c>
      <c r="O151" s="274">
        <v>303.10000000000002</v>
      </c>
      <c r="P151" s="274">
        <v>122</v>
      </c>
      <c r="Q151" s="274">
        <v>290.10000000000002</v>
      </c>
    </row>
    <row r="152" spans="3:17" x14ac:dyDescent="0.15">
      <c r="C152" s="255" t="s">
        <v>890</v>
      </c>
      <c r="D152" s="256">
        <f t="shared" si="2"/>
        <v>86</v>
      </c>
      <c r="E152" s="256">
        <v>86</v>
      </c>
      <c r="F152" s="256">
        <v>30.4</v>
      </c>
      <c r="G152" s="256">
        <v>0.8</v>
      </c>
      <c r="H152" s="256">
        <v>32.1</v>
      </c>
      <c r="I152" s="256">
        <v>324.2</v>
      </c>
      <c r="K152" s="115" t="s">
        <v>890</v>
      </c>
      <c r="L152" s="274">
        <v>95.9</v>
      </c>
      <c r="M152" s="274">
        <v>2.7</v>
      </c>
      <c r="N152" s="256">
        <v>44.1</v>
      </c>
      <c r="O152" s="274">
        <v>87.9</v>
      </c>
      <c r="P152" s="274">
        <v>198.3</v>
      </c>
      <c r="Q152" s="274">
        <v>88.6</v>
      </c>
    </row>
    <row r="153" spans="3:17" x14ac:dyDescent="0.15">
      <c r="C153" s="255" t="s">
        <v>891</v>
      </c>
      <c r="D153" s="256">
        <f t="shared" si="2"/>
        <v>17</v>
      </c>
      <c r="E153" s="256">
        <v>17</v>
      </c>
      <c r="F153" s="256">
        <v>0.3</v>
      </c>
      <c r="G153" s="256">
        <v>0.1</v>
      </c>
      <c r="H153" s="256">
        <v>32.1</v>
      </c>
      <c r="I153" s="256">
        <v>63.9</v>
      </c>
      <c r="K153" s="115" t="s">
        <v>891</v>
      </c>
      <c r="L153" s="274">
        <v>21.1</v>
      </c>
      <c r="M153" s="274">
        <v>0.5</v>
      </c>
      <c r="N153" s="256">
        <v>7.7</v>
      </c>
      <c r="O153" s="274">
        <v>18.600000000000001</v>
      </c>
      <c r="P153" s="274">
        <v>10.1</v>
      </c>
      <c r="Q153" s="274">
        <v>47.7</v>
      </c>
    </row>
    <row r="154" spans="3:17" x14ac:dyDescent="0.15">
      <c r="C154" s="255" t="s">
        <v>892</v>
      </c>
      <c r="D154" s="256">
        <f t="shared" si="2"/>
        <v>5</v>
      </c>
      <c r="E154" s="256">
        <v>5</v>
      </c>
      <c r="F154" s="256">
        <v>0.1</v>
      </c>
      <c r="G154" s="256">
        <v>53.7</v>
      </c>
      <c r="H154" s="256">
        <v>14</v>
      </c>
      <c r="I154" s="256">
        <v>8</v>
      </c>
      <c r="K154" s="115" t="s">
        <v>892</v>
      </c>
      <c r="L154" s="274">
        <v>11.2</v>
      </c>
      <c r="M154" s="274">
        <v>0.2</v>
      </c>
      <c r="N154" s="256">
        <v>0</v>
      </c>
      <c r="O154" s="274">
        <v>16.899999999999999</v>
      </c>
      <c r="P154" s="274">
        <v>20</v>
      </c>
      <c r="Q154" s="274">
        <v>11</v>
      </c>
    </row>
    <row r="155" spans="3:17" x14ac:dyDescent="0.15">
      <c r="C155" s="255" t="s">
        <v>893</v>
      </c>
      <c r="D155" s="256">
        <f t="shared" si="2"/>
        <v>182</v>
      </c>
      <c r="E155" s="256">
        <v>182</v>
      </c>
      <c r="F155" s="256">
        <v>244.4</v>
      </c>
      <c r="G155" s="256">
        <v>205.3</v>
      </c>
      <c r="H155" s="256">
        <v>159.4</v>
      </c>
      <c r="I155" s="256">
        <v>274.10000000000002</v>
      </c>
      <c r="K155" s="115" t="s">
        <v>1205</v>
      </c>
      <c r="L155" s="274">
        <v>166.2</v>
      </c>
      <c r="M155" s="274">
        <v>11.5</v>
      </c>
      <c r="N155" s="256">
        <v>202.9</v>
      </c>
      <c r="O155" s="274">
        <v>112.1</v>
      </c>
      <c r="P155" s="274">
        <v>180.6</v>
      </c>
      <c r="Q155" s="274">
        <v>211.9</v>
      </c>
    </row>
    <row r="156" spans="3:17" x14ac:dyDescent="0.15">
      <c r="C156" s="255" t="s">
        <v>894</v>
      </c>
      <c r="D156" s="256">
        <f t="shared" si="2"/>
        <v>25</v>
      </c>
      <c r="E156" s="256">
        <v>25</v>
      </c>
      <c r="F156" s="256">
        <v>0</v>
      </c>
      <c r="G156" s="256">
        <v>0</v>
      </c>
      <c r="H156" s="256">
        <v>0</v>
      </c>
      <c r="I156" s="256">
        <v>169.1</v>
      </c>
      <c r="K156" s="115" t="s">
        <v>894</v>
      </c>
      <c r="L156" s="274">
        <v>29.6</v>
      </c>
      <c r="M156" s="274">
        <v>0</v>
      </c>
      <c r="N156" s="256">
        <v>0</v>
      </c>
      <c r="O156" s="274">
        <v>0</v>
      </c>
      <c r="P156" s="274">
        <v>0</v>
      </c>
      <c r="Q156" s="274">
        <v>111</v>
      </c>
    </row>
    <row r="157" spans="3:17" x14ac:dyDescent="0.15">
      <c r="C157" s="255" t="s">
        <v>895</v>
      </c>
      <c r="D157" s="256">
        <f t="shared" si="2"/>
        <v>495</v>
      </c>
      <c r="E157" s="256">
        <v>495</v>
      </c>
      <c r="F157" s="256">
        <v>243.2</v>
      </c>
      <c r="G157" s="256">
        <v>70.3</v>
      </c>
      <c r="H157" s="256">
        <v>932.3</v>
      </c>
      <c r="I157" s="256">
        <v>599.9</v>
      </c>
      <c r="K157" s="115" t="s">
        <v>895</v>
      </c>
      <c r="L157" s="274">
        <v>449.7</v>
      </c>
      <c r="M157" s="274">
        <v>202.5</v>
      </c>
      <c r="N157" s="256">
        <v>128.9</v>
      </c>
      <c r="O157" s="274">
        <v>350.6</v>
      </c>
      <c r="P157" s="274">
        <v>484.5</v>
      </c>
      <c r="Q157" s="274">
        <v>835.6</v>
      </c>
    </row>
    <row r="158" spans="3:17" x14ac:dyDescent="0.15">
      <c r="C158" s="255" t="s">
        <v>896</v>
      </c>
      <c r="D158" s="256">
        <f t="shared" si="2"/>
        <v>40</v>
      </c>
      <c r="E158" s="256">
        <v>40</v>
      </c>
      <c r="F158" s="256">
        <v>57.1</v>
      </c>
      <c r="G158" s="256">
        <v>0.3</v>
      </c>
      <c r="H158" s="256">
        <v>49.8</v>
      </c>
      <c r="I158" s="256">
        <v>18.899999999999999</v>
      </c>
      <c r="K158" s="115" t="s">
        <v>1206</v>
      </c>
      <c r="L158" s="274">
        <v>56.5</v>
      </c>
      <c r="M158" s="274">
        <v>1.1000000000000001</v>
      </c>
      <c r="N158" s="256">
        <v>20.6</v>
      </c>
      <c r="O158" s="274">
        <v>45.2</v>
      </c>
      <c r="P158" s="274">
        <v>23.7</v>
      </c>
      <c r="Q158" s="274">
        <v>135</v>
      </c>
    </row>
    <row r="159" spans="3:17" x14ac:dyDescent="0.15">
      <c r="C159" s="255" t="s">
        <v>897</v>
      </c>
      <c r="D159" s="256">
        <f t="shared" si="2"/>
        <v>1079</v>
      </c>
      <c r="E159" s="256">
        <v>1079</v>
      </c>
      <c r="F159" s="256">
        <v>509</v>
      </c>
      <c r="G159" s="256">
        <v>579.29999999999995</v>
      </c>
      <c r="H159" s="256">
        <v>1435.7</v>
      </c>
      <c r="I159" s="256">
        <v>1448.1</v>
      </c>
      <c r="K159" s="115" t="s">
        <v>897</v>
      </c>
      <c r="L159" s="274">
        <v>1008.5</v>
      </c>
      <c r="M159" s="274">
        <v>594.29999999999995</v>
      </c>
      <c r="N159" s="256">
        <v>373.5</v>
      </c>
      <c r="O159" s="274">
        <v>659.1</v>
      </c>
      <c r="P159" s="274">
        <v>1210.8</v>
      </c>
      <c r="Q159" s="274">
        <v>1793.1</v>
      </c>
    </row>
    <row r="160" spans="3:17" x14ac:dyDescent="0.15">
      <c r="C160" s="255" t="s">
        <v>898</v>
      </c>
      <c r="D160" s="256">
        <f t="shared" si="2"/>
        <v>436</v>
      </c>
      <c r="E160" s="256">
        <v>436</v>
      </c>
      <c r="F160" s="256">
        <v>162.5</v>
      </c>
      <c r="G160" s="256">
        <v>74.7</v>
      </c>
      <c r="H160" s="256">
        <v>679.2</v>
      </c>
      <c r="I160" s="256">
        <v>583.6</v>
      </c>
      <c r="K160" s="115" t="s">
        <v>1207</v>
      </c>
      <c r="L160" s="274">
        <v>386</v>
      </c>
      <c r="M160" s="274">
        <v>0</v>
      </c>
      <c r="N160" s="256">
        <v>139.4</v>
      </c>
      <c r="O160" s="274">
        <v>187</v>
      </c>
      <c r="P160" s="274">
        <v>650.6</v>
      </c>
      <c r="Q160" s="274">
        <v>659.2</v>
      </c>
    </row>
    <row r="161" spans="3:17" x14ac:dyDescent="0.15">
      <c r="C161" s="255" t="s">
        <v>899</v>
      </c>
      <c r="D161" s="256">
        <f t="shared" si="2"/>
        <v>50</v>
      </c>
      <c r="E161" s="256">
        <v>50</v>
      </c>
      <c r="F161" s="256">
        <v>0.4</v>
      </c>
      <c r="G161" s="256">
        <v>0</v>
      </c>
      <c r="H161" s="256">
        <v>115.6</v>
      </c>
      <c r="I161" s="256">
        <v>348.3</v>
      </c>
      <c r="K161" s="115" t="s">
        <v>899</v>
      </c>
      <c r="L161" s="274">
        <v>95.4</v>
      </c>
      <c r="M161" s="274">
        <v>0</v>
      </c>
      <c r="N161" s="256">
        <v>6.5</v>
      </c>
      <c r="O161" s="274">
        <v>11.5</v>
      </c>
      <c r="P161" s="274">
        <v>50</v>
      </c>
      <c r="Q161" s="274">
        <v>303.8</v>
      </c>
    </row>
    <row r="162" spans="3:17" x14ac:dyDescent="0.15">
      <c r="C162" s="255" t="s">
        <v>900</v>
      </c>
      <c r="D162" s="256">
        <f t="shared" si="2"/>
        <v>344</v>
      </c>
      <c r="E162" s="256">
        <v>344</v>
      </c>
      <c r="F162" s="256">
        <v>217.5</v>
      </c>
      <c r="G162" s="256">
        <v>161.5</v>
      </c>
      <c r="H162" s="256">
        <v>395.6</v>
      </c>
      <c r="I162" s="256">
        <v>594.4</v>
      </c>
      <c r="K162" s="115" t="s">
        <v>900</v>
      </c>
      <c r="L162" s="274">
        <v>351.9</v>
      </c>
      <c r="M162" s="274">
        <v>29.2</v>
      </c>
      <c r="N162" s="256">
        <v>102.6</v>
      </c>
      <c r="O162" s="274">
        <v>222.3</v>
      </c>
      <c r="P162" s="274">
        <v>524.29999999999995</v>
      </c>
      <c r="Q162" s="274">
        <v>619.1</v>
      </c>
    </row>
    <row r="163" spans="3:17" x14ac:dyDescent="0.15">
      <c r="C163" s="255" t="s">
        <v>901</v>
      </c>
      <c r="D163" s="256">
        <f t="shared" si="2"/>
        <v>579</v>
      </c>
      <c r="E163" s="256">
        <v>579</v>
      </c>
      <c r="F163" s="256">
        <v>316.5</v>
      </c>
      <c r="G163" s="256">
        <v>301.5</v>
      </c>
      <c r="H163" s="256">
        <v>945.5</v>
      </c>
      <c r="I163" s="256">
        <v>1267.5</v>
      </c>
      <c r="K163" s="115" t="s">
        <v>901</v>
      </c>
      <c r="L163" s="274">
        <v>789.4</v>
      </c>
      <c r="M163" s="274">
        <v>148.5</v>
      </c>
      <c r="N163" s="256">
        <v>336.4</v>
      </c>
      <c r="O163" s="274">
        <v>539.29999999999995</v>
      </c>
      <c r="P163" s="274">
        <v>772.1</v>
      </c>
      <c r="Q163" s="274">
        <v>1557.7</v>
      </c>
    </row>
    <row r="164" spans="3:17" x14ac:dyDescent="0.15">
      <c r="C164" s="255" t="s">
        <v>902</v>
      </c>
      <c r="D164" s="256">
        <f t="shared" si="2"/>
        <v>6</v>
      </c>
      <c r="E164" s="256">
        <v>6</v>
      </c>
      <c r="F164" s="256">
        <v>0</v>
      </c>
      <c r="G164" s="256">
        <v>0</v>
      </c>
      <c r="H164" s="256">
        <v>72.900000000000006</v>
      </c>
      <c r="I164" s="256">
        <v>3.4</v>
      </c>
      <c r="K164" s="115" t="s">
        <v>1208</v>
      </c>
      <c r="L164" s="274">
        <v>22.3</v>
      </c>
      <c r="M164" s="274">
        <v>0</v>
      </c>
      <c r="N164" s="256">
        <v>11.1</v>
      </c>
      <c r="O164" s="274">
        <v>16.5</v>
      </c>
      <c r="P164" s="274">
        <v>9.4</v>
      </c>
      <c r="Q164" s="274">
        <v>52.1</v>
      </c>
    </row>
    <row r="165" spans="3:17" x14ac:dyDescent="0.15">
      <c r="C165" s="255" t="s">
        <v>903</v>
      </c>
      <c r="D165" s="256">
        <f t="shared" si="2"/>
        <v>779</v>
      </c>
      <c r="E165" s="256">
        <v>779</v>
      </c>
      <c r="F165" s="256">
        <v>382.3</v>
      </c>
      <c r="G165" s="256">
        <v>609.4</v>
      </c>
      <c r="H165" s="256">
        <v>871.1</v>
      </c>
      <c r="I165" s="256">
        <v>1220.7</v>
      </c>
      <c r="K165" s="115" t="s">
        <v>1209</v>
      </c>
      <c r="L165" s="274">
        <v>859.1</v>
      </c>
      <c r="M165" s="274">
        <v>247.9</v>
      </c>
      <c r="N165" s="256">
        <v>502.6</v>
      </c>
      <c r="O165" s="274">
        <v>703.7</v>
      </c>
      <c r="P165" s="274">
        <v>853.2</v>
      </c>
      <c r="Q165" s="274">
        <v>1444.7</v>
      </c>
    </row>
    <row r="166" spans="3:17" x14ac:dyDescent="0.15">
      <c r="C166" s="255" t="s">
        <v>904</v>
      </c>
      <c r="D166" s="256">
        <f t="shared" si="2"/>
        <v>1089</v>
      </c>
      <c r="E166" s="256">
        <v>1089</v>
      </c>
      <c r="F166" s="256">
        <v>607.4</v>
      </c>
      <c r="G166" s="256">
        <v>1167.3</v>
      </c>
      <c r="H166" s="256">
        <v>1406.7</v>
      </c>
      <c r="I166" s="256">
        <v>1703.6</v>
      </c>
      <c r="K166" s="115" t="s">
        <v>1210</v>
      </c>
      <c r="L166" s="274">
        <v>1136.5</v>
      </c>
      <c r="M166" s="274">
        <v>592.20000000000005</v>
      </c>
      <c r="N166" s="256">
        <v>589.9</v>
      </c>
      <c r="O166" s="274">
        <v>898.6</v>
      </c>
      <c r="P166" s="274">
        <v>1335</v>
      </c>
      <c r="Q166" s="274">
        <v>1779.6</v>
      </c>
    </row>
    <row r="167" spans="3:17" x14ac:dyDescent="0.15">
      <c r="C167" s="255" t="s">
        <v>1075</v>
      </c>
      <c r="D167" s="256">
        <f t="shared" si="2"/>
        <v>360</v>
      </c>
      <c r="E167" s="256">
        <v>360</v>
      </c>
      <c r="F167" s="256">
        <v>32.799999999999997</v>
      </c>
      <c r="G167" s="256">
        <v>303.89999999999998</v>
      </c>
      <c r="H167" s="256">
        <v>193</v>
      </c>
      <c r="I167" s="256">
        <v>379.7</v>
      </c>
      <c r="K167" s="115" t="s">
        <v>1075</v>
      </c>
      <c r="L167" s="274">
        <v>280.89999999999998</v>
      </c>
      <c r="M167" s="274">
        <v>36.799999999999997</v>
      </c>
      <c r="N167" s="256">
        <v>94.4</v>
      </c>
      <c r="O167" s="274">
        <v>211.7</v>
      </c>
      <c r="P167" s="274">
        <v>332.6</v>
      </c>
      <c r="Q167" s="274">
        <v>515.79999999999995</v>
      </c>
    </row>
    <row r="168" spans="3:17" x14ac:dyDescent="0.15">
      <c r="C168" s="255" t="s">
        <v>906</v>
      </c>
      <c r="D168" s="256">
        <f t="shared" si="2"/>
        <v>113</v>
      </c>
      <c r="E168" s="256">
        <v>113</v>
      </c>
      <c r="F168" s="256">
        <v>25.8</v>
      </c>
      <c r="G168" s="256">
        <v>146.19999999999999</v>
      </c>
      <c r="H168" s="256">
        <v>171.1</v>
      </c>
      <c r="I168" s="256">
        <v>139</v>
      </c>
      <c r="K168" s="115" t="s">
        <v>1211</v>
      </c>
      <c r="L168" s="274">
        <v>91.8</v>
      </c>
      <c r="M168" s="274">
        <v>6.8</v>
      </c>
      <c r="N168" s="256">
        <v>17.7</v>
      </c>
      <c r="O168" s="274">
        <v>85.6</v>
      </c>
      <c r="P168" s="274">
        <v>99.2</v>
      </c>
      <c r="Q168" s="274">
        <v>172.8</v>
      </c>
    </row>
    <row r="169" spans="3:17" x14ac:dyDescent="0.15">
      <c r="C169" s="255" t="s">
        <v>907</v>
      </c>
      <c r="D169" s="256">
        <f t="shared" si="2"/>
        <v>805</v>
      </c>
      <c r="E169" s="256">
        <v>805</v>
      </c>
      <c r="F169" s="256">
        <v>142.6</v>
      </c>
      <c r="G169" s="256">
        <v>398.2</v>
      </c>
      <c r="H169" s="256">
        <v>401.4</v>
      </c>
      <c r="I169" s="256">
        <v>1178.5999999999999</v>
      </c>
      <c r="K169" s="115" t="s">
        <v>907</v>
      </c>
      <c r="L169" s="274">
        <v>671.3</v>
      </c>
      <c r="M169" s="274">
        <v>88.4</v>
      </c>
      <c r="N169" s="256">
        <v>245.4</v>
      </c>
      <c r="O169" s="274">
        <v>460.4</v>
      </c>
      <c r="P169" s="274">
        <v>480.8</v>
      </c>
      <c r="Q169" s="274">
        <v>1500.9</v>
      </c>
    </row>
    <row r="170" spans="3:17" x14ac:dyDescent="0.15">
      <c r="C170" s="255" t="s">
        <v>908</v>
      </c>
      <c r="D170" s="256">
        <f t="shared" si="2"/>
        <v>8073</v>
      </c>
      <c r="E170" s="256">
        <v>8073</v>
      </c>
      <c r="F170" s="256">
        <v>3543.7</v>
      </c>
      <c r="G170" s="256">
        <v>4333.3999999999996</v>
      </c>
      <c r="H170" s="256">
        <v>8316.2999999999993</v>
      </c>
      <c r="I170" s="256">
        <v>6607</v>
      </c>
      <c r="K170" s="115" t="s">
        <v>908</v>
      </c>
      <c r="L170" s="274">
        <v>7715.5</v>
      </c>
      <c r="M170" s="274">
        <v>2015.9</v>
      </c>
      <c r="N170" s="256">
        <v>6835.9</v>
      </c>
      <c r="O170" s="274">
        <v>7501.7</v>
      </c>
      <c r="P170" s="274">
        <v>8613.6</v>
      </c>
      <c r="Q170" s="274">
        <v>9297.7999999999993</v>
      </c>
    </row>
    <row r="171" spans="3:17" x14ac:dyDescent="0.15">
      <c r="C171" s="255" t="s">
        <v>909</v>
      </c>
      <c r="D171" s="256">
        <f t="shared" si="2"/>
        <v>2440</v>
      </c>
      <c r="E171" s="256">
        <v>2440</v>
      </c>
      <c r="F171" s="256">
        <v>1141.5</v>
      </c>
      <c r="G171" s="256">
        <v>1478.2</v>
      </c>
      <c r="H171" s="256">
        <v>1827.5</v>
      </c>
      <c r="I171" s="256">
        <v>2339.8000000000002</v>
      </c>
      <c r="K171" s="115" t="s">
        <v>909</v>
      </c>
      <c r="L171" s="274">
        <v>2250.6999999999998</v>
      </c>
      <c r="M171" s="274">
        <v>687.3</v>
      </c>
      <c r="N171" s="256">
        <v>1598.1</v>
      </c>
      <c r="O171" s="274">
        <v>2666.8</v>
      </c>
      <c r="P171" s="274">
        <v>2969.4</v>
      </c>
      <c r="Q171" s="274">
        <v>2215.5</v>
      </c>
    </row>
    <row r="172" spans="3:17" x14ac:dyDescent="0.15">
      <c r="C172" s="255" t="s">
        <v>910</v>
      </c>
      <c r="D172" s="256">
        <f t="shared" si="2"/>
        <v>7</v>
      </c>
      <c r="E172" s="256">
        <v>7</v>
      </c>
      <c r="F172" s="256">
        <v>14.1</v>
      </c>
      <c r="G172" s="256">
        <v>14.3</v>
      </c>
      <c r="H172" s="256">
        <v>5.7</v>
      </c>
      <c r="I172" s="256">
        <v>2.6</v>
      </c>
      <c r="K172" s="115" t="s">
        <v>910</v>
      </c>
      <c r="L172" s="274">
        <v>6.8</v>
      </c>
      <c r="M172" s="274">
        <v>16.100000000000001</v>
      </c>
      <c r="N172" s="256">
        <v>8.4</v>
      </c>
      <c r="O172" s="274">
        <v>10.9</v>
      </c>
      <c r="P172" s="274">
        <v>3.3</v>
      </c>
      <c r="Q172" s="274">
        <v>2.2000000000000002</v>
      </c>
    </row>
    <row r="173" spans="3:17" x14ac:dyDescent="0.15">
      <c r="C173" s="255" t="s">
        <v>911</v>
      </c>
      <c r="D173" s="256">
        <f t="shared" si="2"/>
        <v>176</v>
      </c>
      <c r="E173" s="256">
        <v>176</v>
      </c>
      <c r="F173" s="256">
        <v>58</v>
      </c>
      <c r="G173" s="256">
        <v>32.200000000000003</v>
      </c>
      <c r="H173" s="256">
        <v>180.1</v>
      </c>
      <c r="I173" s="256">
        <v>101.2</v>
      </c>
      <c r="K173" s="115" t="s">
        <v>911</v>
      </c>
      <c r="L173" s="274">
        <v>230.4</v>
      </c>
      <c r="M173" s="274">
        <v>26</v>
      </c>
      <c r="N173" s="256">
        <v>223.6</v>
      </c>
      <c r="O173" s="274">
        <v>208.3</v>
      </c>
      <c r="P173" s="274">
        <v>129.80000000000001</v>
      </c>
      <c r="Q173" s="274">
        <v>383.1</v>
      </c>
    </row>
    <row r="174" spans="3:17" x14ac:dyDescent="0.15">
      <c r="C174" s="255" t="s">
        <v>912</v>
      </c>
      <c r="D174" s="256">
        <f t="shared" si="2"/>
        <v>1050</v>
      </c>
      <c r="E174" s="256">
        <v>1050</v>
      </c>
      <c r="F174" s="256">
        <v>70.400000000000006</v>
      </c>
      <c r="G174" s="256">
        <v>178.9</v>
      </c>
      <c r="H174" s="256">
        <v>877.1</v>
      </c>
      <c r="I174" s="256">
        <v>516.29999999999995</v>
      </c>
      <c r="K174" s="115" t="s">
        <v>1212</v>
      </c>
      <c r="L174" s="274">
        <v>1059.0999999999999</v>
      </c>
      <c r="M174" s="274">
        <v>175.4</v>
      </c>
      <c r="N174" s="256">
        <v>1861.4</v>
      </c>
      <c r="O174" s="274">
        <v>737.4</v>
      </c>
      <c r="P174" s="274">
        <v>770.7</v>
      </c>
      <c r="Q174" s="274">
        <v>1135.8</v>
      </c>
    </row>
    <row r="175" spans="3:17" x14ac:dyDescent="0.15">
      <c r="C175" s="255" t="s">
        <v>913</v>
      </c>
      <c r="D175" s="256">
        <f t="shared" si="2"/>
        <v>45</v>
      </c>
      <c r="E175" s="256">
        <v>45</v>
      </c>
      <c r="F175" s="256">
        <v>0</v>
      </c>
      <c r="G175" s="256">
        <v>0</v>
      </c>
      <c r="H175" s="256">
        <v>0</v>
      </c>
      <c r="I175" s="256">
        <v>0</v>
      </c>
      <c r="K175" s="115" t="s">
        <v>913</v>
      </c>
      <c r="L175" s="274">
        <v>0</v>
      </c>
      <c r="M175" s="274">
        <v>0</v>
      </c>
      <c r="N175" s="256">
        <v>0</v>
      </c>
      <c r="O175" s="274">
        <v>0</v>
      </c>
      <c r="P175" s="274">
        <v>0</v>
      </c>
      <c r="Q175" s="274">
        <v>0</v>
      </c>
    </row>
    <row r="176" spans="3:17" x14ac:dyDescent="0.15">
      <c r="C176" s="255" t="s">
        <v>914</v>
      </c>
      <c r="D176" s="256">
        <f t="shared" si="2"/>
        <v>1</v>
      </c>
      <c r="E176" s="256">
        <v>1</v>
      </c>
      <c r="F176" s="256">
        <v>0</v>
      </c>
      <c r="G176" s="256">
        <v>0</v>
      </c>
      <c r="H176" s="256">
        <v>0.5</v>
      </c>
      <c r="I176" s="256">
        <v>1.4</v>
      </c>
      <c r="K176" s="115" t="s">
        <v>914</v>
      </c>
      <c r="L176" s="274">
        <v>2.9</v>
      </c>
      <c r="M176" s="274">
        <v>0</v>
      </c>
      <c r="N176" s="256">
        <v>2.5</v>
      </c>
      <c r="O176" s="274">
        <v>7.5</v>
      </c>
      <c r="P176" s="274">
        <v>0.5</v>
      </c>
      <c r="Q176" s="274">
        <v>1.5</v>
      </c>
    </row>
    <row r="177" spans="3:17" x14ac:dyDescent="0.15">
      <c r="C177" s="255" t="s">
        <v>915</v>
      </c>
      <c r="D177" s="256">
        <f t="shared" si="2"/>
        <v>46</v>
      </c>
      <c r="E177" s="256">
        <v>46</v>
      </c>
      <c r="F177" s="256">
        <v>96.4</v>
      </c>
      <c r="G177" s="256">
        <v>0</v>
      </c>
      <c r="H177" s="256">
        <v>12.8</v>
      </c>
      <c r="I177" s="256">
        <v>11.3</v>
      </c>
      <c r="K177" s="115" t="s">
        <v>1213</v>
      </c>
      <c r="L177" s="274">
        <v>38.4</v>
      </c>
      <c r="M177" s="274">
        <v>0</v>
      </c>
      <c r="N177" s="256">
        <v>0</v>
      </c>
      <c r="O177" s="274">
        <v>67.7</v>
      </c>
      <c r="P177" s="274">
        <v>67.2</v>
      </c>
      <c r="Q177" s="274">
        <v>29.3</v>
      </c>
    </row>
    <row r="178" spans="3:17" x14ac:dyDescent="0.15">
      <c r="C178" s="255" t="s">
        <v>916</v>
      </c>
      <c r="D178" s="256">
        <f t="shared" si="2"/>
        <v>159</v>
      </c>
      <c r="E178" s="256">
        <v>159</v>
      </c>
      <c r="F178" s="256">
        <v>270.39999999999998</v>
      </c>
      <c r="G178" s="256">
        <v>235.9</v>
      </c>
      <c r="H178" s="256">
        <v>311.5</v>
      </c>
      <c r="I178" s="256">
        <v>126.6</v>
      </c>
      <c r="K178" s="115" t="s">
        <v>1214</v>
      </c>
      <c r="L178" s="274">
        <v>207.5</v>
      </c>
      <c r="M178" s="274">
        <v>195.4</v>
      </c>
      <c r="N178" s="256">
        <v>141</v>
      </c>
      <c r="O178" s="274">
        <v>133.1</v>
      </c>
      <c r="P178" s="274">
        <v>473.3</v>
      </c>
      <c r="Q178" s="274">
        <v>128</v>
      </c>
    </row>
    <row r="179" spans="3:17" x14ac:dyDescent="0.15">
      <c r="C179" s="255" t="s">
        <v>917</v>
      </c>
      <c r="D179" s="256">
        <f t="shared" si="2"/>
        <v>44</v>
      </c>
      <c r="E179" s="256">
        <v>44</v>
      </c>
      <c r="F179" s="256">
        <v>0.4</v>
      </c>
      <c r="G179" s="256">
        <v>7.7</v>
      </c>
      <c r="H179" s="256">
        <v>536.5</v>
      </c>
      <c r="I179" s="256">
        <v>44</v>
      </c>
      <c r="K179" s="115" t="s">
        <v>1215</v>
      </c>
      <c r="L179" s="274">
        <v>91.2</v>
      </c>
      <c r="M179" s="274">
        <v>0</v>
      </c>
      <c r="N179" s="256">
        <v>320.5</v>
      </c>
      <c r="O179" s="274">
        <v>1.1000000000000001</v>
      </c>
      <c r="P179" s="274">
        <v>18.8</v>
      </c>
      <c r="Q179" s="274">
        <v>65.3</v>
      </c>
    </row>
    <row r="180" spans="3:17" x14ac:dyDescent="0.15">
      <c r="C180" s="255" t="s">
        <v>918</v>
      </c>
      <c r="D180" s="256">
        <f t="shared" si="2"/>
        <v>2839</v>
      </c>
      <c r="E180" s="256">
        <v>2839</v>
      </c>
      <c r="F180" s="256">
        <v>1329.2</v>
      </c>
      <c r="G180" s="256">
        <v>1898.7</v>
      </c>
      <c r="H180" s="256">
        <v>3038.2</v>
      </c>
      <c r="I180" s="256">
        <v>2182.9</v>
      </c>
      <c r="K180" s="115" t="s">
        <v>1216</v>
      </c>
      <c r="L180" s="274">
        <v>2644.3</v>
      </c>
      <c r="M180" s="274">
        <v>561.20000000000005</v>
      </c>
      <c r="N180" s="256">
        <v>1817.2</v>
      </c>
      <c r="O180" s="274">
        <v>2598.1</v>
      </c>
      <c r="P180" s="274">
        <v>2971.6</v>
      </c>
      <c r="Q180" s="274">
        <v>3606.8</v>
      </c>
    </row>
    <row r="181" spans="3:17" x14ac:dyDescent="0.15">
      <c r="C181" s="255" t="s">
        <v>919</v>
      </c>
      <c r="D181" s="256">
        <f t="shared" si="2"/>
        <v>6</v>
      </c>
      <c r="E181" s="256">
        <v>6</v>
      </c>
      <c r="F181" s="256">
        <v>1.8</v>
      </c>
      <c r="G181" s="256">
        <v>0</v>
      </c>
      <c r="H181" s="256">
        <v>0</v>
      </c>
      <c r="I181" s="256">
        <v>4.2</v>
      </c>
      <c r="K181" s="115" t="s">
        <v>919</v>
      </c>
      <c r="L181" s="274">
        <v>1.9</v>
      </c>
      <c r="M181" s="274">
        <v>0</v>
      </c>
      <c r="N181" s="256">
        <v>1.5</v>
      </c>
      <c r="O181" s="274">
        <v>2.8</v>
      </c>
      <c r="P181" s="274">
        <v>0</v>
      </c>
      <c r="Q181" s="274">
        <v>3.5</v>
      </c>
    </row>
    <row r="182" spans="3:17" x14ac:dyDescent="0.15">
      <c r="C182" s="255" t="s">
        <v>920</v>
      </c>
      <c r="D182" s="256">
        <f t="shared" si="2"/>
        <v>1259</v>
      </c>
      <c r="E182" s="256">
        <v>1259</v>
      </c>
      <c r="F182" s="256">
        <v>561.5</v>
      </c>
      <c r="G182" s="256">
        <v>487.5</v>
      </c>
      <c r="H182" s="256">
        <v>1526.4</v>
      </c>
      <c r="I182" s="256">
        <v>1276.5</v>
      </c>
      <c r="K182" s="115" t="s">
        <v>1217</v>
      </c>
      <c r="L182" s="274">
        <v>1182.2</v>
      </c>
      <c r="M182" s="274">
        <v>354.4</v>
      </c>
      <c r="N182" s="256">
        <v>861.7</v>
      </c>
      <c r="O182" s="274">
        <v>1068.0999999999999</v>
      </c>
      <c r="P182" s="274">
        <v>1208.9000000000001</v>
      </c>
      <c r="Q182" s="274">
        <v>1726.6</v>
      </c>
    </row>
    <row r="183" spans="3:17" x14ac:dyDescent="0.15">
      <c r="C183" s="255" t="s">
        <v>921</v>
      </c>
      <c r="D183" s="256">
        <f t="shared" si="2"/>
        <v>1</v>
      </c>
      <c r="E183" s="256">
        <v>1</v>
      </c>
      <c r="F183" s="256">
        <v>0</v>
      </c>
      <c r="G183" s="256">
        <v>0</v>
      </c>
      <c r="H183" s="256">
        <v>0</v>
      </c>
      <c r="I183" s="256">
        <v>0.3</v>
      </c>
      <c r="K183" s="115" t="s">
        <v>1218</v>
      </c>
      <c r="L183" s="274">
        <v>0</v>
      </c>
      <c r="M183" s="274">
        <v>0</v>
      </c>
      <c r="N183" s="256">
        <v>0</v>
      </c>
      <c r="O183" s="274">
        <v>0</v>
      </c>
      <c r="P183" s="274">
        <v>0.1</v>
      </c>
      <c r="Q183" s="274">
        <v>0</v>
      </c>
    </row>
    <row r="184" spans="3:17" x14ac:dyDescent="0.15">
      <c r="C184" s="255" t="s">
        <v>922</v>
      </c>
      <c r="D184" s="256">
        <f t="shared" si="2"/>
        <v>44137</v>
      </c>
      <c r="E184" s="256">
        <v>44137</v>
      </c>
      <c r="F184" s="256">
        <v>25672.400000000001</v>
      </c>
      <c r="G184" s="256">
        <v>28550</v>
      </c>
      <c r="H184" s="256">
        <v>49888.4</v>
      </c>
      <c r="I184" s="256">
        <v>59157.1</v>
      </c>
      <c r="K184" s="115" t="s">
        <v>922</v>
      </c>
      <c r="L184" s="274">
        <v>40444.5</v>
      </c>
      <c r="M184" s="274">
        <v>8901.6</v>
      </c>
      <c r="N184" s="256">
        <v>13557</v>
      </c>
      <c r="O184" s="274">
        <v>30213.8</v>
      </c>
      <c r="P184" s="274">
        <v>46640.4</v>
      </c>
      <c r="Q184" s="274">
        <v>74622.100000000006</v>
      </c>
    </row>
    <row r="185" spans="3:17" x14ac:dyDescent="0.15">
      <c r="C185" s="255" t="s">
        <v>923</v>
      </c>
      <c r="D185" s="256">
        <f t="shared" si="2"/>
        <v>12355</v>
      </c>
      <c r="E185" s="256">
        <v>12355</v>
      </c>
      <c r="F185" s="256">
        <v>6644.7</v>
      </c>
      <c r="G185" s="256">
        <v>8727.7000000000007</v>
      </c>
      <c r="H185" s="256">
        <v>16214.3</v>
      </c>
      <c r="I185" s="256">
        <v>9139.7000000000007</v>
      </c>
      <c r="K185" s="115" t="s">
        <v>923</v>
      </c>
      <c r="L185" s="274">
        <v>10885.5</v>
      </c>
      <c r="M185" s="274">
        <v>0</v>
      </c>
      <c r="N185" s="256">
        <v>3318.7</v>
      </c>
      <c r="O185" s="274">
        <v>10305.299999999999</v>
      </c>
      <c r="P185" s="274">
        <v>13414.8</v>
      </c>
      <c r="Q185" s="274">
        <v>18246.3</v>
      </c>
    </row>
    <row r="186" spans="3:17" x14ac:dyDescent="0.15">
      <c r="C186" s="255" t="s">
        <v>924</v>
      </c>
      <c r="D186" s="256">
        <f t="shared" si="2"/>
        <v>3977</v>
      </c>
      <c r="E186" s="256">
        <v>3977</v>
      </c>
      <c r="F186" s="256">
        <v>2429</v>
      </c>
      <c r="G186" s="256">
        <v>4079.6</v>
      </c>
      <c r="H186" s="256">
        <v>2818.9</v>
      </c>
      <c r="I186" s="256">
        <v>10878.1</v>
      </c>
      <c r="K186" s="115" t="s">
        <v>924</v>
      </c>
      <c r="L186" s="274">
        <v>3487.8</v>
      </c>
      <c r="M186" s="274">
        <v>93.3</v>
      </c>
      <c r="N186" s="256">
        <v>-145.30000000000001</v>
      </c>
      <c r="O186" s="274">
        <v>1925.8</v>
      </c>
      <c r="P186" s="274">
        <v>3435.7</v>
      </c>
      <c r="Q186" s="274">
        <v>8753.2999999999993</v>
      </c>
    </row>
    <row r="187" spans="3:17" x14ac:dyDescent="0.15">
      <c r="C187" s="255" t="s">
        <v>925</v>
      </c>
      <c r="D187" s="256">
        <f t="shared" si="2"/>
        <v>385</v>
      </c>
      <c r="E187" s="256">
        <v>385</v>
      </c>
      <c r="F187" s="256">
        <v>263.3</v>
      </c>
      <c r="G187" s="256">
        <v>20</v>
      </c>
      <c r="H187" s="256">
        <v>158.5</v>
      </c>
      <c r="I187" s="256">
        <v>962.4</v>
      </c>
      <c r="K187" s="115" t="s">
        <v>925</v>
      </c>
      <c r="L187" s="274">
        <v>359.6</v>
      </c>
      <c r="M187" s="274">
        <v>32.700000000000003</v>
      </c>
      <c r="N187" s="256">
        <v>282.89999999999998</v>
      </c>
      <c r="O187" s="274">
        <v>365.4</v>
      </c>
      <c r="P187" s="274">
        <v>275.3</v>
      </c>
      <c r="Q187" s="274">
        <v>560.1</v>
      </c>
    </row>
    <row r="188" spans="3:17" x14ac:dyDescent="0.15">
      <c r="C188" s="255" t="s">
        <v>926</v>
      </c>
      <c r="D188" s="256">
        <f t="shared" si="2"/>
        <v>1026</v>
      </c>
      <c r="E188" s="256">
        <v>1026</v>
      </c>
      <c r="F188" s="256">
        <v>453.2</v>
      </c>
      <c r="G188" s="256">
        <v>554.4</v>
      </c>
      <c r="H188" s="256">
        <v>1228.2</v>
      </c>
      <c r="I188" s="256">
        <v>1815.8</v>
      </c>
      <c r="K188" s="115" t="s">
        <v>926</v>
      </c>
      <c r="L188" s="274">
        <v>938.2</v>
      </c>
      <c r="M188" s="274">
        <v>584</v>
      </c>
      <c r="N188" s="256">
        <v>345.5</v>
      </c>
      <c r="O188" s="274">
        <v>571.6</v>
      </c>
      <c r="P188" s="274">
        <v>841.7</v>
      </c>
      <c r="Q188" s="274">
        <v>1921.3</v>
      </c>
    </row>
    <row r="189" spans="3:17" x14ac:dyDescent="0.15">
      <c r="C189" s="255" t="s">
        <v>927</v>
      </c>
      <c r="D189" s="256">
        <f t="shared" si="2"/>
        <v>617</v>
      </c>
      <c r="E189" s="256">
        <v>617</v>
      </c>
      <c r="F189" s="256">
        <v>133.30000000000001</v>
      </c>
      <c r="G189" s="256">
        <v>412.1</v>
      </c>
      <c r="H189" s="256">
        <v>614.9</v>
      </c>
      <c r="I189" s="256">
        <v>506.1</v>
      </c>
      <c r="K189" s="115" t="s">
        <v>927</v>
      </c>
      <c r="L189" s="274">
        <v>559.20000000000005</v>
      </c>
      <c r="M189" s="274">
        <v>80.599999999999994</v>
      </c>
      <c r="N189" s="256">
        <v>110.3</v>
      </c>
      <c r="O189" s="274">
        <v>484.8</v>
      </c>
      <c r="P189" s="274">
        <v>988.1</v>
      </c>
      <c r="Q189" s="274">
        <v>777.5</v>
      </c>
    </row>
    <row r="190" spans="3:17" x14ac:dyDescent="0.15">
      <c r="C190" s="255" t="s">
        <v>928</v>
      </c>
      <c r="D190" s="256">
        <f t="shared" si="2"/>
        <v>472</v>
      </c>
      <c r="E190" s="256">
        <v>472</v>
      </c>
      <c r="F190" s="256">
        <v>950.2</v>
      </c>
      <c r="G190" s="256">
        <v>747.6</v>
      </c>
      <c r="H190" s="256">
        <v>1320.1</v>
      </c>
      <c r="I190" s="256">
        <v>812</v>
      </c>
      <c r="K190" s="115" t="s">
        <v>928</v>
      </c>
      <c r="L190" s="274">
        <v>806.1</v>
      </c>
      <c r="M190" s="274">
        <v>189.4</v>
      </c>
      <c r="N190" s="256">
        <v>488.8</v>
      </c>
      <c r="O190" s="274">
        <v>417.5</v>
      </c>
      <c r="P190" s="274">
        <v>1401.3</v>
      </c>
      <c r="Q190" s="274">
        <v>1111.8</v>
      </c>
    </row>
    <row r="191" spans="3:17" x14ac:dyDescent="0.15">
      <c r="C191" s="255" t="s">
        <v>929</v>
      </c>
      <c r="D191" s="256">
        <f t="shared" si="2"/>
        <v>138</v>
      </c>
      <c r="E191" s="256">
        <v>138</v>
      </c>
      <c r="F191" s="256">
        <v>178.6</v>
      </c>
      <c r="G191" s="256">
        <v>54.3</v>
      </c>
      <c r="H191" s="256">
        <v>415.5</v>
      </c>
      <c r="I191" s="256">
        <v>427</v>
      </c>
      <c r="K191" s="115" t="s">
        <v>929</v>
      </c>
      <c r="L191" s="274">
        <v>212.3</v>
      </c>
      <c r="M191" s="274">
        <v>0</v>
      </c>
      <c r="N191" s="256">
        <v>20.7</v>
      </c>
      <c r="O191" s="274">
        <v>286.5</v>
      </c>
      <c r="P191" s="274">
        <v>267.5</v>
      </c>
      <c r="Q191" s="274">
        <v>308</v>
      </c>
    </row>
    <row r="192" spans="3:17" x14ac:dyDescent="0.15">
      <c r="C192" s="255" t="s">
        <v>930</v>
      </c>
      <c r="D192" s="256">
        <f t="shared" si="2"/>
        <v>1902</v>
      </c>
      <c r="E192" s="256">
        <v>1902</v>
      </c>
      <c r="F192" s="256">
        <v>901.5</v>
      </c>
      <c r="G192" s="256">
        <v>220.2</v>
      </c>
      <c r="H192" s="256">
        <v>2905.1</v>
      </c>
      <c r="I192" s="256">
        <v>2604.3000000000002</v>
      </c>
      <c r="K192" s="115" t="s">
        <v>930</v>
      </c>
      <c r="L192" s="274">
        <v>1768.5</v>
      </c>
      <c r="M192" s="274">
        <v>796.7</v>
      </c>
      <c r="N192" s="256">
        <v>386.4</v>
      </c>
      <c r="O192" s="274">
        <v>760.3</v>
      </c>
      <c r="P192" s="274">
        <v>2413.3000000000002</v>
      </c>
      <c r="Q192" s="274">
        <v>3564.4</v>
      </c>
    </row>
    <row r="193" spans="3:17" x14ac:dyDescent="0.15">
      <c r="C193" s="255" t="s">
        <v>931</v>
      </c>
      <c r="D193" s="256">
        <f t="shared" si="2"/>
        <v>5616</v>
      </c>
      <c r="E193" s="256">
        <v>5616</v>
      </c>
      <c r="F193" s="256">
        <v>3514.7</v>
      </c>
      <c r="G193" s="256">
        <v>5432.6</v>
      </c>
      <c r="H193" s="256">
        <v>6185.7</v>
      </c>
      <c r="I193" s="256">
        <v>7520.7</v>
      </c>
      <c r="K193" s="115" t="s">
        <v>931</v>
      </c>
      <c r="L193" s="274">
        <v>5435.6</v>
      </c>
      <c r="M193" s="274">
        <v>1495</v>
      </c>
      <c r="N193" s="256">
        <v>2450.6</v>
      </c>
      <c r="O193" s="274">
        <v>4730.3999999999996</v>
      </c>
      <c r="P193" s="274">
        <v>6870.6</v>
      </c>
      <c r="Q193" s="274">
        <v>8357.7999999999993</v>
      </c>
    </row>
    <row r="194" spans="3:17" x14ac:dyDescent="0.15">
      <c r="C194" s="255" t="s">
        <v>932</v>
      </c>
      <c r="D194" s="256">
        <f t="shared" si="2"/>
        <v>1</v>
      </c>
      <c r="E194" s="256">
        <v>1</v>
      </c>
      <c r="F194" s="256">
        <v>0</v>
      </c>
      <c r="G194" s="256">
        <v>0</v>
      </c>
      <c r="H194" s="256">
        <v>0</v>
      </c>
      <c r="I194" s="256">
        <v>0</v>
      </c>
      <c r="K194" s="115" t="s">
        <v>932</v>
      </c>
      <c r="L194" s="274">
        <v>0</v>
      </c>
      <c r="M194" s="274">
        <v>0</v>
      </c>
      <c r="N194" s="256">
        <v>0</v>
      </c>
      <c r="O194" s="274">
        <v>0</v>
      </c>
      <c r="P194" s="274">
        <v>0</v>
      </c>
      <c r="Q194" s="274">
        <v>0</v>
      </c>
    </row>
    <row r="195" spans="3:17" x14ac:dyDescent="0.15">
      <c r="C195" s="255" t="s">
        <v>933</v>
      </c>
      <c r="D195" s="256">
        <f t="shared" si="2"/>
        <v>34</v>
      </c>
      <c r="E195" s="256">
        <v>34</v>
      </c>
      <c r="F195" s="256">
        <v>7.8</v>
      </c>
      <c r="G195" s="256">
        <v>72.900000000000006</v>
      </c>
      <c r="H195" s="256">
        <v>150.5</v>
      </c>
      <c r="I195" s="256">
        <v>35.4</v>
      </c>
      <c r="K195" s="115" t="s">
        <v>933</v>
      </c>
      <c r="L195" s="274">
        <v>42.7</v>
      </c>
      <c r="M195" s="274">
        <v>0</v>
      </c>
      <c r="N195" s="256">
        <v>0.1</v>
      </c>
      <c r="O195" s="274">
        <v>35.6</v>
      </c>
      <c r="P195" s="274">
        <v>47.4</v>
      </c>
      <c r="Q195" s="274">
        <v>90.7</v>
      </c>
    </row>
    <row r="196" spans="3:17" x14ac:dyDescent="0.15">
      <c r="C196" s="255" t="s">
        <v>934</v>
      </c>
      <c r="D196" s="256">
        <f t="shared" si="2"/>
        <v>4253</v>
      </c>
      <c r="E196" s="256">
        <v>4253</v>
      </c>
      <c r="F196" s="256">
        <v>3013.6</v>
      </c>
      <c r="G196" s="256">
        <v>2334.6999999999998</v>
      </c>
      <c r="H196" s="256">
        <v>4791.5</v>
      </c>
      <c r="I196" s="256">
        <v>7309</v>
      </c>
      <c r="K196" s="115" t="s">
        <v>934</v>
      </c>
      <c r="L196" s="274">
        <v>4794.7</v>
      </c>
      <c r="M196" s="274">
        <v>522</v>
      </c>
      <c r="N196" s="256">
        <v>1813</v>
      </c>
      <c r="O196" s="274">
        <v>3523.8</v>
      </c>
      <c r="P196" s="274">
        <v>5410.7</v>
      </c>
      <c r="Q196" s="274">
        <v>8950.9</v>
      </c>
    </row>
    <row r="197" spans="3:17" x14ac:dyDescent="0.15">
      <c r="C197" s="255" t="s">
        <v>935</v>
      </c>
      <c r="D197" s="256">
        <f t="shared" si="2"/>
        <v>3422</v>
      </c>
      <c r="E197" s="256">
        <v>3422</v>
      </c>
      <c r="F197" s="256">
        <v>1121.7</v>
      </c>
      <c r="G197" s="256">
        <v>472.4</v>
      </c>
      <c r="H197" s="256">
        <v>2312.4</v>
      </c>
      <c r="I197" s="256">
        <v>4860.7</v>
      </c>
      <c r="K197" s="115" t="s">
        <v>1219</v>
      </c>
      <c r="L197" s="274">
        <v>2334.4</v>
      </c>
      <c r="M197" s="274">
        <v>40.9</v>
      </c>
      <c r="N197" s="256">
        <v>274.2</v>
      </c>
      <c r="O197" s="274">
        <v>393.8</v>
      </c>
      <c r="P197" s="274">
        <v>1774.8</v>
      </c>
      <c r="Q197" s="274">
        <v>6795.2</v>
      </c>
    </row>
    <row r="198" spans="3:17" x14ac:dyDescent="0.15">
      <c r="C198" s="255" t="s">
        <v>936</v>
      </c>
      <c r="D198" s="256">
        <f t="shared" si="2"/>
        <v>3285</v>
      </c>
      <c r="E198" s="256">
        <v>3285</v>
      </c>
      <c r="F198" s="256">
        <v>1879</v>
      </c>
      <c r="G198" s="256">
        <v>2186</v>
      </c>
      <c r="H198" s="256">
        <v>4033</v>
      </c>
      <c r="I198" s="256">
        <v>5430.7</v>
      </c>
      <c r="K198" s="115" t="s">
        <v>936</v>
      </c>
      <c r="L198" s="274">
        <v>3610</v>
      </c>
      <c r="M198" s="274">
        <v>1116.4000000000001</v>
      </c>
      <c r="N198" s="256">
        <v>1160.3</v>
      </c>
      <c r="O198" s="274">
        <v>2690.8</v>
      </c>
      <c r="P198" s="274">
        <v>4711.7</v>
      </c>
      <c r="Q198" s="274">
        <v>6205.7</v>
      </c>
    </row>
    <row r="199" spans="3:17" x14ac:dyDescent="0.15">
      <c r="C199" s="255" t="s">
        <v>937</v>
      </c>
      <c r="D199" s="256">
        <f t="shared" si="2"/>
        <v>642</v>
      </c>
      <c r="E199" s="256">
        <v>642</v>
      </c>
      <c r="F199" s="256">
        <v>254.1</v>
      </c>
      <c r="G199" s="256">
        <v>174.6</v>
      </c>
      <c r="H199" s="256">
        <v>509</v>
      </c>
      <c r="I199" s="256">
        <v>754.4</v>
      </c>
      <c r="K199" s="115" t="s">
        <v>937</v>
      </c>
      <c r="L199" s="274">
        <v>677.3</v>
      </c>
      <c r="M199" s="274">
        <v>128.1</v>
      </c>
      <c r="N199" s="256">
        <v>193.3</v>
      </c>
      <c r="O199" s="274">
        <v>448</v>
      </c>
      <c r="P199" s="274">
        <v>543</v>
      </c>
      <c r="Q199" s="274">
        <v>1520.1</v>
      </c>
    </row>
    <row r="200" spans="3:17" x14ac:dyDescent="0.15">
      <c r="C200" s="255" t="s">
        <v>938</v>
      </c>
      <c r="D200" s="256">
        <f t="shared" si="2"/>
        <v>448</v>
      </c>
      <c r="E200" s="256">
        <v>448</v>
      </c>
      <c r="F200" s="256">
        <v>530.4</v>
      </c>
      <c r="G200" s="256">
        <v>154.19999999999999</v>
      </c>
      <c r="H200" s="256">
        <v>354.2</v>
      </c>
      <c r="I200" s="256">
        <v>352.1</v>
      </c>
      <c r="K200" s="115" t="s">
        <v>1220</v>
      </c>
      <c r="L200" s="274">
        <v>369.3</v>
      </c>
      <c r="M200" s="274">
        <v>744</v>
      </c>
      <c r="N200" s="256">
        <v>340.6</v>
      </c>
      <c r="O200" s="274">
        <v>306.7</v>
      </c>
      <c r="P200" s="274">
        <v>247.2</v>
      </c>
      <c r="Q200" s="274">
        <v>455.7</v>
      </c>
    </row>
    <row r="201" spans="3:17" x14ac:dyDescent="0.15">
      <c r="C201" s="255" t="s">
        <v>939</v>
      </c>
      <c r="D201" s="256">
        <f t="shared" si="2"/>
        <v>13</v>
      </c>
      <c r="E201" s="256">
        <v>13</v>
      </c>
      <c r="F201" s="256">
        <v>7</v>
      </c>
      <c r="G201" s="256">
        <v>0</v>
      </c>
      <c r="H201" s="256">
        <v>4.7</v>
      </c>
      <c r="I201" s="256">
        <v>6</v>
      </c>
      <c r="K201" s="115" t="s">
        <v>1221</v>
      </c>
      <c r="L201" s="274">
        <v>4.5</v>
      </c>
      <c r="M201" s="274">
        <v>0</v>
      </c>
      <c r="N201" s="256">
        <v>1.1000000000000001</v>
      </c>
      <c r="O201" s="274">
        <v>3.6</v>
      </c>
      <c r="P201" s="274">
        <v>5.6</v>
      </c>
      <c r="Q201" s="274">
        <v>8.4</v>
      </c>
    </row>
    <row r="202" spans="3:17" x14ac:dyDescent="0.15">
      <c r="C202" s="255" t="s">
        <v>940</v>
      </c>
      <c r="D202" s="256">
        <f t="shared" si="2"/>
        <v>144</v>
      </c>
      <c r="E202" s="256">
        <v>144</v>
      </c>
      <c r="F202" s="256">
        <v>148.6</v>
      </c>
      <c r="G202" s="256">
        <v>12.2</v>
      </c>
      <c r="H202" s="256">
        <v>175</v>
      </c>
      <c r="I202" s="256">
        <v>83.7</v>
      </c>
      <c r="K202" s="115" t="s">
        <v>1222</v>
      </c>
      <c r="L202" s="274">
        <v>115.6</v>
      </c>
      <c r="M202" s="274">
        <v>273.60000000000002</v>
      </c>
      <c r="N202" s="256">
        <v>120.7</v>
      </c>
      <c r="O202" s="274">
        <v>107.2</v>
      </c>
      <c r="P202" s="274">
        <v>117.2</v>
      </c>
      <c r="Q202" s="274">
        <v>80.099999999999994</v>
      </c>
    </row>
    <row r="203" spans="3:17" x14ac:dyDescent="0.15">
      <c r="C203" s="255" t="s">
        <v>941</v>
      </c>
      <c r="D203" s="256">
        <f t="shared" si="2"/>
        <v>390</v>
      </c>
      <c r="E203" s="256">
        <v>390</v>
      </c>
      <c r="F203" s="256">
        <v>431.5</v>
      </c>
      <c r="G203" s="256">
        <v>288.3</v>
      </c>
      <c r="H203" s="256">
        <v>328.1</v>
      </c>
      <c r="I203" s="256">
        <v>451.6</v>
      </c>
      <c r="K203" s="115" t="s">
        <v>1223</v>
      </c>
      <c r="L203" s="274">
        <v>325.60000000000002</v>
      </c>
      <c r="M203" s="274">
        <v>423.4</v>
      </c>
      <c r="N203" s="256">
        <v>266.2</v>
      </c>
      <c r="O203" s="274">
        <v>221.5</v>
      </c>
      <c r="P203" s="274">
        <v>223.4</v>
      </c>
      <c r="Q203" s="274">
        <v>526.29999999999995</v>
      </c>
    </row>
    <row r="204" spans="3:17" x14ac:dyDescent="0.15">
      <c r="C204" s="255" t="s">
        <v>942</v>
      </c>
      <c r="D204" s="256">
        <f t="shared" si="2"/>
        <v>95</v>
      </c>
      <c r="E204" s="256">
        <v>95</v>
      </c>
      <c r="F204" s="256">
        <v>0</v>
      </c>
      <c r="G204" s="256">
        <v>0</v>
      </c>
      <c r="H204" s="256">
        <v>0</v>
      </c>
      <c r="I204" s="256">
        <v>0</v>
      </c>
      <c r="K204" s="115" t="s">
        <v>942</v>
      </c>
      <c r="L204" s="274">
        <v>17.100000000000001</v>
      </c>
      <c r="M204" s="274">
        <v>0</v>
      </c>
      <c r="N204" s="256">
        <v>0</v>
      </c>
      <c r="O204" s="274">
        <v>0</v>
      </c>
      <c r="P204" s="274">
        <v>83.1</v>
      </c>
      <c r="Q204" s="274">
        <v>0</v>
      </c>
    </row>
    <row r="205" spans="3:17" x14ac:dyDescent="0.15">
      <c r="C205" s="255" t="s">
        <v>943</v>
      </c>
      <c r="D205" s="256">
        <f t="shared" si="2"/>
        <v>2611</v>
      </c>
      <c r="E205" s="256">
        <v>2611</v>
      </c>
      <c r="F205" s="256">
        <v>923.7</v>
      </c>
      <c r="G205" s="256">
        <v>812.3</v>
      </c>
      <c r="H205" s="256">
        <v>2106.8000000000002</v>
      </c>
      <c r="I205" s="256">
        <v>2181.3000000000002</v>
      </c>
      <c r="K205" s="115" t="s">
        <v>1224</v>
      </c>
      <c r="L205" s="274">
        <v>1456.4</v>
      </c>
      <c r="M205" s="274">
        <v>524.20000000000005</v>
      </c>
      <c r="N205" s="256">
        <v>477.7</v>
      </c>
      <c r="O205" s="274">
        <v>924</v>
      </c>
      <c r="P205" s="274">
        <v>1344</v>
      </c>
      <c r="Q205" s="274">
        <v>3058.5</v>
      </c>
    </row>
    <row r="206" spans="3:17" x14ac:dyDescent="0.15">
      <c r="C206" s="255" t="s">
        <v>944</v>
      </c>
      <c r="D206" s="256">
        <f t="shared" si="2"/>
        <v>440</v>
      </c>
      <c r="E206" s="256">
        <v>440</v>
      </c>
      <c r="F206" s="256">
        <v>261.3</v>
      </c>
      <c r="G206" s="256">
        <v>20.3</v>
      </c>
      <c r="H206" s="256">
        <v>494.8</v>
      </c>
      <c r="I206" s="256">
        <v>882.1</v>
      </c>
      <c r="K206" s="115" t="s">
        <v>944</v>
      </c>
      <c r="L206" s="274">
        <v>455.1</v>
      </c>
      <c r="M206" s="274">
        <v>53</v>
      </c>
      <c r="N206" s="256">
        <v>181.8</v>
      </c>
      <c r="O206" s="274">
        <v>204.5</v>
      </c>
      <c r="P206" s="274">
        <v>695.8</v>
      </c>
      <c r="Q206" s="274">
        <v>820.2</v>
      </c>
    </row>
    <row r="207" spans="3:17" x14ac:dyDescent="0.15">
      <c r="C207" s="255" t="s">
        <v>945</v>
      </c>
      <c r="D207" s="256">
        <f t="shared" si="2"/>
        <v>1667</v>
      </c>
      <c r="E207" s="256">
        <v>1667</v>
      </c>
      <c r="F207" s="256">
        <v>1510.1</v>
      </c>
      <c r="G207" s="256">
        <v>1723.3</v>
      </c>
      <c r="H207" s="256">
        <v>2672.7</v>
      </c>
      <c r="I207" s="256">
        <v>2072.8000000000002</v>
      </c>
      <c r="K207" s="115" t="s">
        <v>1225</v>
      </c>
      <c r="L207" s="274">
        <v>1697.3</v>
      </c>
      <c r="M207" s="274">
        <v>1509.1</v>
      </c>
      <c r="N207" s="256">
        <v>1401.9</v>
      </c>
      <c r="O207" s="274">
        <v>1421.6</v>
      </c>
      <c r="P207" s="274">
        <v>1447</v>
      </c>
      <c r="Q207" s="274">
        <v>2432.6</v>
      </c>
    </row>
    <row r="208" spans="3:17" x14ac:dyDescent="0.15">
      <c r="C208" s="255" t="s">
        <v>946</v>
      </c>
      <c r="D208" s="256">
        <f t="shared" si="2"/>
        <v>178</v>
      </c>
      <c r="E208" s="256">
        <v>178</v>
      </c>
      <c r="F208" s="256">
        <v>93</v>
      </c>
      <c r="G208" s="256">
        <v>42.6</v>
      </c>
      <c r="H208" s="256">
        <v>75.7</v>
      </c>
      <c r="I208" s="256">
        <v>55.5</v>
      </c>
      <c r="K208" s="115" t="s">
        <v>946</v>
      </c>
      <c r="L208" s="274">
        <v>69.900000000000006</v>
      </c>
      <c r="M208" s="274">
        <v>288.89999999999998</v>
      </c>
      <c r="N208" s="256">
        <v>38.200000000000003</v>
      </c>
      <c r="O208" s="274">
        <v>71.8</v>
      </c>
      <c r="P208" s="274">
        <v>50.7</v>
      </c>
      <c r="Q208" s="274">
        <v>56.4</v>
      </c>
    </row>
    <row r="209" spans="3:17" x14ac:dyDescent="0.15">
      <c r="C209" s="255" t="s">
        <v>947</v>
      </c>
      <c r="D209" s="256">
        <f t="shared" si="2"/>
        <v>24</v>
      </c>
      <c r="E209" s="256">
        <v>24</v>
      </c>
      <c r="F209" s="256">
        <v>22.2</v>
      </c>
      <c r="G209" s="256">
        <v>7.8</v>
      </c>
      <c r="H209" s="256">
        <v>18.899999999999999</v>
      </c>
      <c r="I209" s="256">
        <v>15.6</v>
      </c>
      <c r="K209" s="115" t="s">
        <v>947</v>
      </c>
      <c r="L209" s="274">
        <v>21.9</v>
      </c>
      <c r="M209" s="274">
        <v>6.1</v>
      </c>
      <c r="N209" s="256">
        <v>29.1</v>
      </c>
      <c r="O209" s="274">
        <v>13.4</v>
      </c>
      <c r="P209" s="274">
        <v>30.6</v>
      </c>
      <c r="Q209" s="274">
        <v>20.7</v>
      </c>
    </row>
    <row r="210" spans="3:17" x14ac:dyDescent="0.15">
      <c r="C210" s="255" t="s">
        <v>948</v>
      </c>
      <c r="D210" s="256">
        <f t="shared" ref="D210:D273" si="3">E210</f>
        <v>8366</v>
      </c>
      <c r="E210" s="256">
        <v>8366</v>
      </c>
      <c r="F210" s="256">
        <v>5960.1</v>
      </c>
      <c r="G210" s="256">
        <v>8837.2000000000007</v>
      </c>
      <c r="H210" s="256">
        <v>9172.1</v>
      </c>
      <c r="I210" s="256">
        <v>11237.9</v>
      </c>
      <c r="K210" s="115" t="s">
        <v>948</v>
      </c>
      <c r="L210" s="274">
        <v>8437.5</v>
      </c>
      <c r="M210" s="274">
        <v>5481.9</v>
      </c>
      <c r="N210" s="256">
        <v>5758</v>
      </c>
      <c r="O210" s="274">
        <v>7241</v>
      </c>
      <c r="P210" s="274">
        <v>8932.6</v>
      </c>
      <c r="Q210" s="274">
        <v>12057.2</v>
      </c>
    </row>
    <row r="211" spans="3:17" x14ac:dyDescent="0.15">
      <c r="C211" s="255" t="s">
        <v>949</v>
      </c>
      <c r="D211" s="256">
        <f t="shared" si="3"/>
        <v>95</v>
      </c>
      <c r="E211" s="256">
        <v>95</v>
      </c>
      <c r="F211" s="256">
        <v>132.19999999999999</v>
      </c>
      <c r="G211" s="256">
        <v>55.2</v>
      </c>
      <c r="H211" s="256">
        <v>106.6</v>
      </c>
      <c r="I211" s="256">
        <v>123.1</v>
      </c>
      <c r="K211" s="115" t="s">
        <v>1226</v>
      </c>
      <c r="L211" s="274">
        <v>177.1</v>
      </c>
      <c r="M211" s="274">
        <v>88.9</v>
      </c>
      <c r="N211" s="256">
        <v>117.5</v>
      </c>
      <c r="O211" s="274">
        <v>157.69999999999999</v>
      </c>
      <c r="P211" s="274">
        <v>196.8</v>
      </c>
      <c r="Q211" s="274">
        <v>249.7</v>
      </c>
    </row>
    <row r="212" spans="3:17" x14ac:dyDescent="0.15">
      <c r="C212" s="255" t="s">
        <v>950</v>
      </c>
      <c r="D212" s="256">
        <f t="shared" si="3"/>
        <v>3</v>
      </c>
      <c r="E212" s="256">
        <v>3</v>
      </c>
      <c r="F212" s="256">
        <v>0</v>
      </c>
      <c r="G212" s="256">
        <v>0</v>
      </c>
      <c r="H212" s="256">
        <v>3.3</v>
      </c>
      <c r="I212" s="256">
        <v>0.6</v>
      </c>
      <c r="K212" s="115" t="s">
        <v>1227</v>
      </c>
      <c r="L212" s="274">
        <v>1.1000000000000001</v>
      </c>
      <c r="M212" s="274">
        <v>0</v>
      </c>
      <c r="N212" s="256">
        <v>0</v>
      </c>
      <c r="O212" s="274">
        <v>0.4</v>
      </c>
      <c r="P212" s="274">
        <v>0.4</v>
      </c>
      <c r="Q212" s="274">
        <v>3.3</v>
      </c>
    </row>
    <row r="213" spans="3:17" x14ac:dyDescent="0.15">
      <c r="C213" s="255" t="s">
        <v>951</v>
      </c>
      <c r="D213" s="256">
        <f t="shared" si="3"/>
        <v>1715</v>
      </c>
      <c r="E213" s="256">
        <v>1715</v>
      </c>
      <c r="F213" s="256">
        <v>899.6</v>
      </c>
      <c r="G213" s="256">
        <v>2232.9</v>
      </c>
      <c r="H213" s="256">
        <v>1480.6</v>
      </c>
      <c r="I213" s="256">
        <v>2615</v>
      </c>
      <c r="K213" s="115" t="s">
        <v>1228</v>
      </c>
      <c r="L213" s="274">
        <v>1334.1</v>
      </c>
      <c r="M213" s="274">
        <v>837.1</v>
      </c>
      <c r="N213" s="256">
        <v>756.6</v>
      </c>
      <c r="O213" s="274">
        <v>863.8</v>
      </c>
      <c r="P213" s="274">
        <v>1221.5999999999999</v>
      </c>
      <c r="Q213" s="274">
        <v>2447.3000000000002</v>
      </c>
    </row>
    <row r="214" spans="3:17" x14ac:dyDescent="0.15">
      <c r="C214" s="255" t="s">
        <v>952</v>
      </c>
      <c r="D214" s="256">
        <f t="shared" si="3"/>
        <v>97</v>
      </c>
      <c r="E214" s="256">
        <v>97</v>
      </c>
      <c r="F214" s="256">
        <v>0</v>
      </c>
      <c r="G214" s="256">
        <v>0</v>
      </c>
      <c r="H214" s="256">
        <v>0</v>
      </c>
      <c r="I214" s="256">
        <v>56.4</v>
      </c>
      <c r="K214" s="115" t="s">
        <v>1229</v>
      </c>
      <c r="L214" s="274">
        <v>54</v>
      </c>
      <c r="M214" s="274">
        <v>0</v>
      </c>
      <c r="N214" s="256">
        <v>0</v>
      </c>
      <c r="O214" s="274">
        <v>0</v>
      </c>
      <c r="P214" s="274">
        <v>33.200000000000003</v>
      </c>
      <c r="Q214" s="274">
        <v>177.1</v>
      </c>
    </row>
    <row r="215" spans="3:17" x14ac:dyDescent="0.15">
      <c r="C215" s="255" t="s">
        <v>953</v>
      </c>
      <c r="D215" s="256">
        <f t="shared" si="3"/>
        <v>173</v>
      </c>
      <c r="E215" s="256">
        <v>173</v>
      </c>
      <c r="F215" s="256">
        <v>29.1</v>
      </c>
      <c r="G215" s="256">
        <v>74.5</v>
      </c>
      <c r="H215" s="256">
        <v>84</v>
      </c>
      <c r="I215" s="256">
        <v>133.4</v>
      </c>
      <c r="K215" s="115" t="s">
        <v>953</v>
      </c>
      <c r="L215" s="274">
        <v>251.4</v>
      </c>
      <c r="M215" s="274">
        <v>59.1</v>
      </c>
      <c r="N215" s="256">
        <v>435.5</v>
      </c>
      <c r="O215" s="274">
        <v>183.6</v>
      </c>
      <c r="P215" s="274">
        <v>240</v>
      </c>
      <c r="Q215" s="274">
        <v>218.5</v>
      </c>
    </row>
    <row r="216" spans="3:17" x14ac:dyDescent="0.15">
      <c r="C216" s="255" t="s">
        <v>954</v>
      </c>
      <c r="D216" s="256">
        <f t="shared" si="3"/>
        <v>2056</v>
      </c>
      <c r="E216" s="256">
        <v>2056</v>
      </c>
      <c r="F216" s="256">
        <v>1796.1</v>
      </c>
      <c r="G216" s="256">
        <v>2711.5</v>
      </c>
      <c r="H216" s="256">
        <v>3244.2</v>
      </c>
      <c r="I216" s="256">
        <v>3900.8</v>
      </c>
      <c r="K216" s="115" t="s">
        <v>954</v>
      </c>
      <c r="L216" s="274">
        <v>2554</v>
      </c>
      <c r="M216" s="274">
        <v>1864.2</v>
      </c>
      <c r="N216" s="256">
        <v>1688.5</v>
      </c>
      <c r="O216" s="274">
        <v>2140.5</v>
      </c>
      <c r="P216" s="274">
        <v>2658.5</v>
      </c>
      <c r="Q216" s="274">
        <v>3728</v>
      </c>
    </row>
    <row r="217" spans="3:17" x14ac:dyDescent="0.15">
      <c r="C217" s="255" t="s">
        <v>955</v>
      </c>
      <c r="D217" s="256">
        <f t="shared" si="3"/>
        <v>1377</v>
      </c>
      <c r="E217" s="256">
        <v>1377</v>
      </c>
      <c r="F217" s="256">
        <v>1694.6</v>
      </c>
      <c r="G217" s="256">
        <v>1381.9</v>
      </c>
      <c r="H217" s="256">
        <v>2042.3</v>
      </c>
      <c r="I217" s="256">
        <v>1589</v>
      </c>
      <c r="K217" s="115" t="s">
        <v>955</v>
      </c>
      <c r="L217" s="274">
        <v>1570.3</v>
      </c>
      <c r="M217" s="274">
        <v>1521.9</v>
      </c>
      <c r="N217" s="256">
        <v>1306.7</v>
      </c>
      <c r="O217" s="274">
        <v>1726.9</v>
      </c>
      <c r="P217" s="274">
        <v>1729.6</v>
      </c>
      <c r="Q217" s="274">
        <v>1528.9</v>
      </c>
    </row>
    <row r="218" spans="3:17" x14ac:dyDescent="0.15">
      <c r="C218" s="255" t="s">
        <v>956</v>
      </c>
      <c r="D218" s="256">
        <f t="shared" si="3"/>
        <v>2850</v>
      </c>
      <c r="E218" s="256">
        <v>2850</v>
      </c>
      <c r="F218" s="256">
        <v>1408.4</v>
      </c>
      <c r="G218" s="256">
        <v>2381.1999999999998</v>
      </c>
      <c r="H218" s="256">
        <v>2211.1</v>
      </c>
      <c r="I218" s="256">
        <v>2819.6</v>
      </c>
      <c r="K218" s="115" t="s">
        <v>1230</v>
      </c>
      <c r="L218" s="274">
        <v>2495.4</v>
      </c>
      <c r="M218" s="274">
        <v>1110.7</v>
      </c>
      <c r="N218" s="256">
        <v>1453.3</v>
      </c>
      <c r="O218" s="274">
        <v>2168</v>
      </c>
      <c r="P218" s="274">
        <v>2852.5</v>
      </c>
      <c r="Q218" s="274">
        <v>3704.5</v>
      </c>
    </row>
    <row r="219" spans="3:17" x14ac:dyDescent="0.15">
      <c r="C219" s="255" t="s">
        <v>957</v>
      </c>
      <c r="D219" s="256">
        <f t="shared" si="3"/>
        <v>31279</v>
      </c>
      <c r="E219" s="256">
        <v>31279</v>
      </c>
      <c r="F219" s="256">
        <v>16387.099999999999</v>
      </c>
      <c r="G219" s="256">
        <v>21078.3</v>
      </c>
      <c r="H219" s="256">
        <v>34003.300000000003</v>
      </c>
      <c r="I219" s="256">
        <v>35426.699999999997</v>
      </c>
      <c r="K219" s="115" t="s">
        <v>957</v>
      </c>
      <c r="L219" s="274">
        <v>28869.200000000001</v>
      </c>
      <c r="M219" s="274">
        <v>12566.4</v>
      </c>
      <c r="N219" s="256">
        <v>15727.7</v>
      </c>
      <c r="O219" s="274">
        <v>24400.3</v>
      </c>
      <c r="P219" s="274">
        <v>29043.9</v>
      </c>
      <c r="Q219" s="274">
        <v>47500.7</v>
      </c>
    </row>
    <row r="220" spans="3:17" x14ac:dyDescent="0.15">
      <c r="C220" s="255" t="s">
        <v>958</v>
      </c>
      <c r="D220" s="256">
        <f t="shared" si="3"/>
        <v>158</v>
      </c>
      <c r="E220" s="256">
        <v>158</v>
      </c>
      <c r="F220" s="256">
        <v>122.3</v>
      </c>
      <c r="G220" s="256">
        <v>0.1</v>
      </c>
      <c r="H220" s="256">
        <v>53.5</v>
      </c>
      <c r="I220" s="256">
        <v>273.8</v>
      </c>
      <c r="K220" s="115" t="s">
        <v>958</v>
      </c>
      <c r="L220" s="274">
        <v>153.19999999999999</v>
      </c>
      <c r="M220" s="274">
        <v>0</v>
      </c>
      <c r="N220" s="256">
        <v>208.3</v>
      </c>
      <c r="O220" s="274">
        <v>65.7</v>
      </c>
      <c r="P220" s="274">
        <v>215.1</v>
      </c>
      <c r="Q220" s="274">
        <v>178.1</v>
      </c>
    </row>
    <row r="221" spans="3:17" x14ac:dyDescent="0.15">
      <c r="C221" s="255" t="s">
        <v>959</v>
      </c>
      <c r="D221" s="256">
        <f t="shared" si="3"/>
        <v>692</v>
      </c>
      <c r="E221" s="256">
        <v>692</v>
      </c>
      <c r="F221" s="256">
        <v>657.2</v>
      </c>
      <c r="G221" s="256">
        <v>529.20000000000005</v>
      </c>
      <c r="H221" s="256">
        <v>1134.3</v>
      </c>
      <c r="I221" s="256">
        <v>1730.6</v>
      </c>
      <c r="K221" s="115" t="s">
        <v>959</v>
      </c>
      <c r="L221" s="274">
        <v>865.9</v>
      </c>
      <c r="M221" s="274">
        <v>345.8</v>
      </c>
      <c r="N221" s="256">
        <v>353.4</v>
      </c>
      <c r="O221" s="274">
        <v>685.5</v>
      </c>
      <c r="P221" s="274">
        <v>653.6</v>
      </c>
      <c r="Q221" s="274">
        <v>1740</v>
      </c>
    </row>
    <row r="222" spans="3:17" x14ac:dyDescent="0.15">
      <c r="C222" s="255" t="s">
        <v>960</v>
      </c>
      <c r="D222" s="256">
        <f t="shared" si="3"/>
        <v>64</v>
      </c>
      <c r="E222" s="256">
        <v>64</v>
      </c>
      <c r="F222" s="256">
        <v>35.6</v>
      </c>
      <c r="G222" s="256">
        <v>116.4</v>
      </c>
      <c r="H222" s="256">
        <v>352.6</v>
      </c>
      <c r="I222" s="256">
        <v>15.5</v>
      </c>
      <c r="K222" s="115" t="s">
        <v>960</v>
      </c>
      <c r="L222" s="274">
        <v>92.3</v>
      </c>
      <c r="M222" s="274">
        <v>51.3</v>
      </c>
      <c r="N222" s="256">
        <v>261.89999999999998</v>
      </c>
      <c r="O222" s="274">
        <v>39.6</v>
      </c>
      <c r="P222" s="274">
        <v>4.4000000000000004</v>
      </c>
      <c r="Q222" s="274">
        <v>80.3</v>
      </c>
    </row>
    <row r="223" spans="3:17" x14ac:dyDescent="0.15">
      <c r="C223" s="255" t="s">
        <v>961</v>
      </c>
      <c r="D223" s="256">
        <f t="shared" si="3"/>
        <v>63</v>
      </c>
      <c r="E223" s="256">
        <v>63</v>
      </c>
      <c r="F223" s="256">
        <v>0.3</v>
      </c>
      <c r="G223" s="256">
        <v>364.5</v>
      </c>
      <c r="H223" s="256">
        <v>107.9</v>
      </c>
      <c r="I223" s="256">
        <v>1.7</v>
      </c>
      <c r="K223" s="115" t="s">
        <v>961</v>
      </c>
      <c r="L223" s="274">
        <v>88.2</v>
      </c>
      <c r="M223" s="274">
        <v>0</v>
      </c>
      <c r="N223" s="256">
        <v>0.6</v>
      </c>
      <c r="O223" s="274">
        <v>214.7</v>
      </c>
      <c r="P223" s="274">
        <v>81.5</v>
      </c>
      <c r="Q223" s="274">
        <v>68.900000000000006</v>
      </c>
    </row>
    <row r="224" spans="3:17" x14ac:dyDescent="0.15">
      <c r="C224" s="255" t="s">
        <v>962</v>
      </c>
      <c r="D224" s="256">
        <f t="shared" si="3"/>
        <v>15</v>
      </c>
      <c r="E224" s="256">
        <v>15</v>
      </c>
      <c r="F224" s="256">
        <v>0</v>
      </c>
      <c r="G224" s="256">
        <v>0</v>
      </c>
      <c r="H224" s="256">
        <v>12.6</v>
      </c>
      <c r="I224" s="256">
        <v>0</v>
      </c>
      <c r="K224" s="115" t="s">
        <v>1231</v>
      </c>
      <c r="L224" s="274">
        <v>1.9</v>
      </c>
      <c r="M224" s="274">
        <v>0</v>
      </c>
      <c r="N224" s="256">
        <v>0</v>
      </c>
      <c r="O224" s="274">
        <v>0</v>
      </c>
      <c r="P224" s="274">
        <v>0</v>
      </c>
      <c r="Q224" s="274">
        <v>7</v>
      </c>
    </row>
    <row r="225" spans="3:17" x14ac:dyDescent="0.15">
      <c r="C225" s="255" t="s">
        <v>963</v>
      </c>
      <c r="D225" s="256">
        <f t="shared" si="3"/>
        <v>1251</v>
      </c>
      <c r="E225" s="256">
        <v>1251</v>
      </c>
      <c r="F225" s="256">
        <v>1415</v>
      </c>
      <c r="G225" s="256">
        <v>1442.1</v>
      </c>
      <c r="H225" s="256">
        <v>1122.4000000000001</v>
      </c>
      <c r="I225" s="256">
        <v>1959.6</v>
      </c>
      <c r="K225" s="115" t="s">
        <v>963</v>
      </c>
      <c r="L225" s="274">
        <v>1139.0999999999999</v>
      </c>
      <c r="M225" s="274">
        <v>1191.0999999999999</v>
      </c>
      <c r="N225" s="256">
        <v>986.1</v>
      </c>
      <c r="O225" s="274">
        <v>831.1</v>
      </c>
      <c r="P225" s="274">
        <v>1058.9000000000001</v>
      </c>
      <c r="Q225" s="274">
        <v>1599</v>
      </c>
    </row>
    <row r="226" spans="3:17" x14ac:dyDescent="0.15">
      <c r="C226" s="255" t="s">
        <v>964</v>
      </c>
      <c r="D226" s="256">
        <f t="shared" si="3"/>
        <v>526</v>
      </c>
      <c r="E226" s="256">
        <v>526</v>
      </c>
      <c r="F226" s="256">
        <v>501.3</v>
      </c>
      <c r="G226" s="256">
        <v>95.6</v>
      </c>
      <c r="H226" s="256">
        <v>566</v>
      </c>
      <c r="I226" s="256">
        <v>563</v>
      </c>
      <c r="K226" s="115" t="s">
        <v>1232</v>
      </c>
      <c r="L226" s="274">
        <v>558.5</v>
      </c>
      <c r="M226" s="274">
        <v>467.5</v>
      </c>
      <c r="N226" s="256">
        <v>327.10000000000002</v>
      </c>
      <c r="O226" s="274">
        <v>519.9</v>
      </c>
      <c r="P226" s="274">
        <v>294.10000000000002</v>
      </c>
      <c r="Q226" s="274">
        <v>1009.5</v>
      </c>
    </row>
    <row r="227" spans="3:17" x14ac:dyDescent="0.15">
      <c r="C227" s="255" t="s">
        <v>965</v>
      </c>
      <c r="D227" s="256">
        <f t="shared" si="3"/>
        <v>112</v>
      </c>
      <c r="E227" s="256">
        <v>112</v>
      </c>
      <c r="F227" s="256">
        <v>116.1</v>
      </c>
      <c r="G227" s="256">
        <v>0.5</v>
      </c>
      <c r="H227" s="256">
        <v>184.9</v>
      </c>
      <c r="I227" s="256">
        <v>17.100000000000001</v>
      </c>
      <c r="K227" s="115" t="s">
        <v>965</v>
      </c>
      <c r="L227" s="274">
        <v>91.1</v>
      </c>
      <c r="M227" s="274">
        <v>47.5</v>
      </c>
      <c r="N227" s="256">
        <v>83.3</v>
      </c>
      <c r="O227" s="274">
        <v>62.4</v>
      </c>
      <c r="P227" s="274">
        <v>95.9</v>
      </c>
      <c r="Q227" s="274">
        <v>130.9</v>
      </c>
    </row>
    <row r="228" spans="3:17" x14ac:dyDescent="0.15">
      <c r="C228" s="255" t="s">
        <v>966</v>
      </c>
      <c r="D228" s="256">
        <f t="shared" si="3"/>
        <v>19</v>
      </c>
      <c r="E228" s="256">
        <v>19</v>
      </c>
      <c r="F228" s="256">
        <v>0.3</v>
      </c>
      <c r="G228" s="256">
        <v>28.4</v>
      </c>
      <c r="H228" s="256">
        <v>22.9</v>
      </c>
      <c r="I228" s="256">
        <v>18</v>
      </c>
      <c r="K228" s="115" t="s">
        <v>1233</v>
      </c>
      <c r="L228" s="274">
        <v>10.6</v>
      </c>
      <c r="M228" s="274">
        <v>0</v>
      </c>
      <c r="N228" s="256">
        <v>0</v>
      </c>
      <c r="O228" s="274">
        <v>5.7</v>
      </c>
      <c r="P228" s="274">
        <v>26.9</v>
      </c>
      <c r="Q228" s="274">
        <v>13.5</v>
      </c>
    </row>
    <row r="229" spans="3:17" x14ac:dyDescent="0.15">
      <c r="C229" s="255" t="s">
        <v>967</v>
      </c>
      <c r="D229" s="256">
        <f t="shared" si="3"/>
        <v>157</v>
      </c>
      <c r="E229" s="256">
        <v>157</v>
      </c>
      <c r="F229" s="256">
        <v>85.8</v>
      </c>
      <c r="G229" s="256">
        <v>177.6</v>
      </c>
      <c r="H229" s="256">
        <v>222.1</v>
      </c>
      <c r="I229" s="256">
        <v>318.89999999999998</v>
      </c>
      <c r="K229" s="115" t="s">
        <v>1234</v>
      </c>
      <c r="L229" s="274">
        <v>175.4</v>
      </c>
      <c r="M229" s="274">
        <v>98.4</v>
      </c>
      <c r="N229" s="256">
        <v>47.9</v>
      </c>
      <c r="O229" s="274">
        <v>113.8</v>
      </c>
      <c r="P229" s="274">
        <v>204.9</v>
      </c>
      <c r="Q229" s="274">
        <v>332.3</v>
      </c>
    </row>
    <row r="230" spans="3:17" x14ac:dyDescent="0.15">
      <c r="C230" s="255" t="s">
        <v>968</v>
      </c>
      <c r="D230" s="256">
        <f t="shared" si="3"/>
        <v>0</v>
      </c>
      <c r="E230" s="256">
        <v>0</v>
      </c>
      <c r="F230" s="256">
        <v>4.9000000000000004</v>
      </c>
      <c r="G230" s="256">
        <v>0</v>
      </c>
      <c r="H230" s="256">
        <v>9</v>
      </c>
      <c r="I230" s="256">
        <v>0</v>
      </c>
      <c r="K230" s="115" t="s">
        <v>1235</v>
      </c>
      <c r="L230" s="274">
        <v>2</v>
      </c>
      <c r="M230" s="274">
        <v>0</v>
      </c>
      <c r="N230" s="256">
        <v>0</v>
      </c>
      <c r="O230" s="274">
        <v>3</v>
      </c>
      <c r="P230" s="274">
        <v>6.3</v>
      </c>
      <c r="Q230" s="274">
        <v>0</v>
      </c>
    </row>
    <row r="231" spans="3:17" x14ac:dyDescent="0.15">
      <c r="C231" s="255" t="s">
        <v>969</v>
      </c>
      <c r="D231" s="256">
        <f t="shared" si="3"/>
        <v>30</v>
      </c>
      <c r="E231" s="256">
        <v>30</v>
      </c>
      <c r="F231" s="256">
        <v>3.2</v>
      </c>
      <c r="G231" s="256">
        <v>68.099999999999994</v>
      </c>
      <c r="H231" s="256">
        <v>15.7</v>
      </c>
      <c r="I231" s="256">
        <v>68.3</v>
      </c>
      <c r="K231" s="115" t="s">
        <v>1236</v>
      </c>
      <c r="L231" s="274">
        <v>33.200000000000003</v>
      </c>
      <c r="M231" s="274">
        <v>2.6</v>
      </c>
      <c r="N231" s="256">
        <v>17.100000000000001</v>
      </c>
      <c r="O231" s="274">
        <v>34.5</v>
      </c>
      <c r="P231" s="274">
        <v>29.5</v>
      </c>
      <c r="Q231" s="274">
        <v>55.2</v>
      </c>
    </row>
    <row r="232" spans="3:17" x14ac:dyDescent="0.15">
      <c r="C232" s="255" t="s">
        <v>970</v>
      </c>
      <c r="D232" s="256">
        <f t="shared" si="3"/>
        <v>98</v>
      </c>
      <c r="E232" s="256">
        <v>98</v>
      </c>
      <c r="F232" s="256">
        <v>0</v>
      </c>
      <c r="G232" s="256">
        <v>0</v>
      </c>
      <c r="H232" s="256">
        <v>7.8</v>
      </c>
      <c r="I232" s="256">
        <v>3.3</v>
      </c>
      <c r="K232" s="115" t="s">
        <v>1237</v>
      </c>
      <c r="L232" s="274">
        <v>118</v>
      </c>
      <c r="M232" s="274">
        <v>0</v>
      </c>
      <c r="N232" s="256">
        <v>392.9</v>
      </c>
      <c r="O232" s="274">
        <v>55.2</v>
      </c>
      <c r="P232" s="274">
        <v>83.6</v>
      </c>
      <c r="Q232" s="274">
        <v>6.5</v>
      </c>
    </row>
    <row r="233" spans="3:17" x14ac:dyDescent="0.15">
      <c r="C233" s="255" t="s">
        <v>971</v>
      </c>
      <c r="D233" s="256">
        <f t="shared" si="3"/>
        <v>758</v>
      </c>
      <c r="E233" s="256">
        <v>758</v>
      </c>
      <c r="F233" s="256">
        <v>-70.3</v>
      </c>
      <c r="G233" s="256">
        <v>31</v>
      </c>
      <c r="H233" s="256">
        <v>211.9</v>
      </c>
      <c r="I233" s="256">
        <v>492</v>
      </c>
      <c r="K233" s="115" t="s">
        <v>971</v>
      </c>
      <c r="L233" s="274">
        <v>433.2</v>
      </c>
      <c r="M233" s="274">
        <v>16.3</v>
      </c>
      <c r="N233" s="256">
        <v>-64.099999999999994</v>
      </c>
      <c r="O233" s="274">
        <v>389.4</v>
      </c>
      <c r="P233" s="274">
        <v>993.9</v>
      </c>
      <c r="Q233" s="274">
        <v>545.79999999999995</v>
      </c>
    </row>
    <row r="234" spans="3:17" x14ac:dyDescent="0.15">
      <c r="C234" s="255" t="s">
        <v>972</v>
      </c>
      <c r="D234" s="256">
        <f t="shared" si="3"/>
        <v>74</v>
      </c>
      <c r="E234" s="256">
        <v>74</v>
      </c>
      <c r="F234" s="256">
        <v>-99.8</v>
      </c>
      <c r="G234" s="256">
        <v>-439.4</v>
      </c>
      <c r="H234" s="256">
        <v>1614.6</v>
      </c>
      <c r="I234" s="256">
        <v>581.70000000000005</v>
      </c>
      <c r="K234" s="115" t="s">
        <v>972</v>
      </c>
      <c r="L234" s="274">
        <v>606.20000000000005</v>
      </c>
      <c r="M234" s="274">
        <v>0</v>
      </c>
      <c r="N234" s="256">
        <v>-234.2</v>
      </c>
      <c r="O234" s="274">
        <v>66.3</v>
      </c>
      <c r="P234" s="274">
        <v>426.4</v>
      </c>
      <c r="Q234" s="274">
        <v>2076.6999999999998</v>
      </c>
    </row>
    <row r="235" spans="3:17" x14ac:dyDescent="0.15">
      <c r="C235" s="255" t="s">
        <v>973</v>
      </c>
      <c r="D235" s="256">
        <f t="shared" si="3"/>
        <v>505</v>
      </c>
      <c r="E235" s="256">
        <v>505</v>
      </c>
      <c r="F235" s="256">
        <v>6.4</v>
      </c>
      <c r="G235" s="256">
        <v>0</v>
      </c>
      <c r="H235" s="256">
        <v>4.5999999999999996</v>
      </c>
      <c r="I235" s="256">
        <v>127.4</v>
      </c>
      <c r="K235" s="115" t="s">
        <v>1238</v>
      </c>
      <c r="L235" s="274">
        <v>40.9</v>
      </c>
      <c r="M235" s="274">
        <v>0</v>
      </c>
      <c r="N235" s="256">
        <v>0</v>
      </c>
      <c r="O235" s="274">
        <v>8.1999999999999993</v>
      </c>
      <c r="P235" s="274">
        <v>2.5</v>
      </c>
      <c r="Q235" s="274">
        <v>144</v>
      </c>
    </row>
    <row r="236" spans="3:17" x14ac:dyDescent="0.15">
      <c r="C236" s="255" t="s">
        <v>974</v>
      </c>
      <c r="D236" s="256">
        <f t="shared" si="3"/>
        <v>17</v>
      </c>
      <c r="E236" s="256">
        <v>17</v>
      </c>
      <c r="F236" s="256">
        <v>0</v>
      </c>
      <c r="G236" s="256">
        <v>0</v>
      </c>
      <c r="H236" s="256">
        <v>143.6</v>
      </c>
      <c r="I236" s="256">
        <v>31</v>
      </c>
      <c r="K236" s="115" t="s">
        <v>974</v>
      </c>
      <c r="L236" s="274">
        <v>69</v>
      </c>
      <c r="M236" s="274">
        <v>0</v>
      </c>
      <c r="N236" s="256">
        <v>0</v>
      </c>
      <c r="O236" s="274">
        <v>28.1</v>
      </c>
      <c r="P236" s="274">
        <v>27</v>
      </c>
      <c r="Q236" s="274">
        <v>212.4</v>
      </c>
    </row>
    <row r="237" spans="3:17" x14ac:dyDescent="0.15">
      <c r="C237" s="255" t="s">
        <v>975</v>
      </c>
      <c r="D237" s="256">
        <f t="shared" si="3"/>
        <v>168</v>
      </c>
      <c r="E237" s="256">
        <v>168</v>
      </c>
      <c r="F237" s="256">
        <v>0</v>
      </c>
      <c r="G237" s="256">
        <v>0</v>
      </c>
      <c r="H237" s="256">
        <v>212.6</v>
      </c>
      <c r="I237" s="256">
        <v>8</v>
      </c>
      <c r="K237" s="115" t="s">
        <v>975</v>
      </c>
      <c r="L237" s="274">
        <v>161.30000000000001</v>
      </c>
      <c r="M237" s="274">
        <v>0</v>
      </c>
      <c r="N237" s="256">
        <v>0</v>
      </c>
      <c r="O237" s="274">
        <v>119</v>
      </c>
      <c r="P237" s="274">
        <v>0</v>
      </c>
      <c r="Q237" s="274">
        <v>495.5</v>
      </c>
    </row>
    <row r="238" spans="3:17" x14ac:dyDescent="0.15">
      <c r="C238" s="255" t="s">
        <v>976</v>
      </c>
      <c r="D238" s="256">
        <f t="shared" si="3"/>
        <v>96</v>
      </c>
      <c r="E238" s="256">
        <v>96</v>
      </c>
      <c r="F238" s="256">
        <v>4.2</v>
      </c>
      <c r="G238" s="256">
        <v>0.8</v>
      </c>
      <c r="H238" s="256">
        <v>12</v>
      </c>
      <c r="I238" s="256">
        <v>44.6</v>
      </c>
      <c r="K238" s="115" t="s">
        <v>976</v>
      </c>
      <c r="L238" s="274">
        <v>29.7</v>
      </c>
      <c r="M238" s="274">
        <v>0</v>
      </c>
      <c r="N238" s="256">
        <v>11.7</v>
      </c>
      <c r="O238" s="274">
        <v>59.4</v>
      </c>
      <c r="P238" s="274">
        <v>30.9</v>
      </c>
      <c r="Q238" s="274">
        <v>23.1</v>
      </c>
    </row>
    <row r="239" spans="3:17" x14ac:dyDescent="0.15">
      <c r="C239" s="255" t="s">
        <v>977</v>
      </c>
      <c r="D239" s="256">
        <f t="shared" si="3"/>
        <v>797</v>
      </c>
      <c r="E239" s="256">
        <v>797</v>
      </c>
      <c r="F239" s="256">
        <v>457.2</v>
      </c>
      <c r="G239" s="256">
        <v>535.5</v>
      </c>
      <c r="H239" s="256">
        <v>255.9</v>
      </c>
      <c r="I239" s="256">
        <v>1414.9</v>
      </c>
      <c r="K239" s="115" t="s">
        <v>977</v>
      </c>
      <c r="L239" s="274">
        <v>580.79999999999995</v>
      </c>
      <c r="M239" s="274">
        <v>577.70000000000005</v>
      </c>
      <c r="N239" s="256">
        <v>142.30000000000001</v>
      </c>
      <c r="O239" s="274">
        <v>372</v>
      </c>
      <c r="P239" s="274">
        <v>931.2</v>
      </c>
      <c r="Q239" s="274">
        <v>862.2</v>
      </c>
    </row>
    <row r="240" spans="3:17" x14ac:dyDescent="0.15">
      <c r="C240" s="255" t="s">
        <v>978</v>
      </c>
      <c r="D240" s="256">
        <f t="shared" si="3"/>
        <v>1400</v>
      </c>
      <c r="E240" s="256">
        <v>1400</v>
      </c>
      <c r="F240" s="256">
        <v>641.79999999999995</v>
      </c>
      <c r="G240" s="256">
        <v>500.3</v>
      </c>
      <c r="H240" s="256">
        <v>1251.5</v>
      </c>
      <c r="I240" s="256">
        <v>2124</v>
      </c>
      <c r="K240" s="115" t="s">
        <v>1239</v>
      </c>
      <c r="L240" s="274">
        <v>1118.8</v>
      </c>
      <c r="M240" s="274">
        <v>1093.5999999999999</v>
      </c>
      <c r="N240" s="256">
        <v>433.7</v>
      </c>
      <c r="O240" s="274">
        <v>822.7</v>
      </c>
      <c r="P240" s="274">
        <v>1197.3</v>
      </c>
      <c r="Q240" s="274">
        <v>1897.9</v>
      </c>
    </row>
    <row r="241" spans="3:17" x14ac:dyDescent="0.15">
      <c r="C241" s="255" t="s">
        <v>979</v>
      </c>
      <c r="D241" s="256">
        <f t="shared" si="3"/>
        <v>446</v>
      </c>
      <c r="E241" s="256">
        <v>446</v>
      </c>
      <c r="F241" s="256">
        <v>23.2</v>
      </c>
      <c r="G241" s="256">
        <v>31.6</v>
      </c>
      <c r="H241" s="256">
        <v>1047.9000000000001</v>
      </c>
      <c r="I241" s="256">
        <v>363</v>
      </c>
      <c r="K241" s="115" t="s">
        <v>979</v>
      </c>
      <c r="L241" s="274">
        <v>378.5</v>
      </c>
      <c r="M241" s="274">
        <v>0</v>
      </c>
      <c r="N241" s="256">
        <v>13.8</v>
      </c>
      <c r="O241" s="274">
        <v>153.6</v>
      </c>
      <c r="P241" s="274">
        <v>71.5</v>
      </c>
      <c r="Q241" s="274">
        <v>1212.4000000000001</v>
      </c>
    </row>
    <row r="242" spans="3:17" x14ac:dyDescent="0.15">
      <c r="C242" s="255" t="s">
        <v>980</v>
      </c>
      <c r="D242" s="256">
        <f t="shared" si="3"/>
        <v>108</v>
      </c>
      <c r="E242" s="256">
        <v>108</v>
      </c>
      <c r="F242" s="256">
        <v>310.8</v>
      </c>
      <c r="G242" s="256">
        <v>424.9</v>
      </c>
      <c r="H242" s="256">
        <v>335.8</v>
      </c>
      <c r="I242" s="256">
        <v>702.4</v>
      </c>
      <c r="K242" s="115" t="s">
        <v>980</v>
      </c>
      <c r="L242" s="274">
        <v>323.39999999999998</v>
      </c>
      <c r="M242" s="274">
        <v>81</v>
      </c>
      <c r="N242" s="256">
        <v>47.5</v>
      </c>
      <c r="O242" s="274">
        <v>232</v>
      </c>
      <c r="P242" s="274">
        <v>341.4</v>
      </c>
      <c r="Q242" s="274">
        <v>677.3</v>
      </c>
    </row>
    <row r="243" spans="3:17" x14ac:dyDescent="0.15">
      <c r="C243" s="255" t="s">
        <v>981</v>
      </c>
      <c r="D243" s="256">
        <f t="shared" si="3"/>
        <v>3</v>
      </c>
      <c r="E243" s="256">
        <v>3</v>
      </c>
      <c r="F243" s="256">
        <v>0</v>
      </c>
      <c r="G243" s="256">
        <v>0</v>
      </c>
      <c r="H243" s="256">
        <v>0</v>
      </c>
      <c r="I243" s="256">
        <v>0</v>
      </c>
      <c r="K243" s="115" t="s">
        <v>1240</v>
      </c>
      <c r="L243" s="274">
        <v>0</v>
      </c>
      <c r="M243" s="274">
        <v>0</v>
      </c>
      <c r="N243" s="256">
        <v>0</v>
      </c>
      <c r="O243" s="274">
        <v>0</v>
      </c>
      <c r="P243" s="274">
        <v>0</v>
      </c>
      <c r="Q243" s="274">
        <v>0</v>
      </c>
    </row>
    <row r="244" spans="3:17" x14ac:dyDescent="0.15">
      <c r="C244" s="255" t="s">
        <v>982</v>
      </c>
      <c r="D244" s="256">
        <f t="shared" si="3"/>
        <v>228</v>
      </c>
      <c r="E244" s="256">
        <v>228</v>
      </c>
      <c r="F244" s="256">
        <v>97.5</v>
      </c>
      <c r="G244" s="256">
        <v>323</v>
      </c>
      <c r="H244" s="256">
        <v>606.9</v>
      </c>
      <c r="I244" s="256">
        <v>656.7</v>
      </c>
      <c r="K244" s="115" t="s">
        <v>1241</v>
      </c>
      <c r="L244" s="274">
        <v>414.7</v>
      </c>
      <c r="M244" s="274">
        <v>21.5</v>
      </c>
      <c r="N244" s="256">
        <v>199.7</v>
      </c>
      <c r="O244" s="274">
        <v>280.2</v>
      </c>
      <c r="P244" s="274">
        <v>513.20000000000005</v>
      </c>
      <c r="Q244" s="274">
        <v>732.5</v>
      </c>
    </row>
    <row r="245" spans="3:17" x14ac:dyDescent="0.15">
      <c r="C245" s="255" t="s">
        <v>983</v>
      </c>
      <c r="D245" s="256">
        <f t="shared" si="3"/>
        <v>1829</v>
      </c>
      <c r="E245" s="256">
        <v>1829</v>
      </c>
      <c r="F245" s="256">
        <v>634.4</v>
      </c>
      <c r="G245" s="256">
        <v>749.1</v>
      </c>
      <c r="H245" s="256">
        <v>1927.7</v>
      </c>
      <c r="I245" s="256">
        <v>1554.8</v>
      </c>
      <c r="K245" s="115" t="s">
        <v>983</v>
      </c>
      <c r="L245" s="274">
        <v>1785.3</v>
      </c>
      <c r="M245" s="274">
        <v>403.3</v>
      </c>
      <c r="N245" s="256">
        <v>1125.3</v>
      </c>
      <c r="O245" s="274">
        <v>1591.2</v>
      </c>
      <c r="P245" s="274">
        <v>1806.8</v>
      </c>
      <c r="Q245" s="274">
        <v>2817.5</v>
      </c>
    </row>
    <row r="246" spans="3:17" x14ac:dyDescent="0.15">
      <c r="C246" s="255" t="s">
        <v>984</v>
      </c>
      <c r="D246" s="256">
        <f t="shared" si="3"/>
        <v>20</v>
      </c>
      <c r="E246" s="256">
        <v>20</v>
      </c>
      <c r="F246" s="256">
        <v>0</v>
      </c>
      <c r="G246" s="256">
        <v>0</v>
      </c>
      <c r="H246" s="256">
        <v>60</v>
      </c>
      <c r="I246" s="256">
        <v>206</v>
      </c>
      <c r="K246" s="115" t="s">
        <v>984</v>
      </c>
      <c r="L246" s="274">
        <v>40.799999999999997</v>
      </c>
      <c r="M246" s="274">
        <v>0</v>
      </c>
      <c r="N246" s="256">
        <v>31.9</v>
      </c>
      <c r="O246" s="274">
        <v>0</v>
      </c>
      <c r="P246" s="274">
        <v>0</v>
      </c>
      <c r="Q246" s="274">
        <v>127.1</v>
      </c>
    </row>
    <row r="247" spans="3:17" x14ac:dyDescent="0.15">
      <c r="C247" s="255" t="s">
        <v>985</v>
      </c>
      <c r="D247" s="256">
        <f t="shared" si="3"/>
        <v>1042</v>
      </c>
      <c r="E247" s="256">
        <v>1042</v>
      </c>
      <c r="F247" s="256">
        <v>789.1</v>
      </c>
      <c r="G247" s="256">
        <v>748.5</v>
      </c>
      <c r="H247" s="256">
        <v>1289.9000000000001</v>
      </c>
      <c r="I247" s="256">
        <v>1413.7</v>
      </c>
      <c r="K247" s="115" t="s">
        <v>985</v>
      </c>
      <c r="L247" s="274">
        <v>1003.8</v>
      </c>
      <c r="M247" s="274">
        <v>115</v>
      </c>
      <c r="N247" s="256">
        <v>367.4</v>
      </c>
      <c r="O247" s="274">
        <v>1089.7</v>
      </c>
      <c r="P247" s="274">
        <v>1214.5999999999999</v>
      </c>
      <c r="Q247" s="274">
        <v>1493</v>
      </c>
    </row>
    <row r="248" spans="3:17" x14ac:dyDescent="0.15">
      <c r="C248" s="255" t="s">
        <v>986</v>
      </c>
      <c r="D248" s="256">
        <f t="shared" si="3"/>
        <v>576</v>
      </c>
      <c r="E248" s="256">
        <v>576</v>
      </c>
      <c r="F248" s="256">
        <v>550.4</v>
      </c>
      <c r="G248" s="256">
        <v>626.20000000000005</v>
      </c>
      <c r="H248" s="256">
        <v>614.70000000000005</v>
      </c>
      <c r="I248" s="256">
        <v>1171.9000000000001</v>
      </c>
      <c r="K248" s="115" t="s">
        <v>986</v>
      </c>
      <c r="L248" s="274">
        <v>680.3</v>
      </c>
      <c r="M248" s="274">
        <v>0</v>
      </c>
      <c r="N248" s="256">
        <v>304.2</v>
      </c>
      <c r="O248" s="274">
        <v>719.3</v>
      </c>
      <c r="P248" s="274">
        <v>606.29999999999995</v>
      </c>
      <c r="Q248" s="274">
        <v>1171.2</v>
      </c>
    </row>
    <row r="249" spans="3:17" x14ac:dyDescent="0.15">
      <c r="C249" s="255" t="s">
        <v>987</v>
      </c>
      <c r="D249" s="256">
        <f t="shared" si="3"/>
        <v>484</v>
      </c>
      <c r="E249" s="256">
        <v>484</v>
      </c>
      <c r="F249" s="256">
        <v>213.6</v>
      </c>
      <c r="G249" s="256">
        <v>1460.6</v>
      </c>
      <c r="H249" s="256">
        <v>339.5</v>
      </c>
      <c r="I249" s="256">
        <v>972.7</v>
      </c>
      <c r="K249" s="115" t="s">
        <v>1242</v>
      </c>
      <c r="L249" s="274">
        <v>406.4</v>
      </c>
      <c r="M249" s="274">
        <v>230.5</v>
      </c>
      <c r="N249" s="256">
        <v>92.4</v>
      </c>
      <c r="O249" s="274">
        <v>338.2</v>
      </c>
      <c r="P249" s="274">
        <v>661</v>
      </c>
      <c r="Q249" s="274">
        <v>571</v>
      </c>
    </row>
    <row r="250" spans="3:17" x14ac:dyDescent="0.15">
      <c r="C250" s="255" t="s">
        <v>988</v>
      </c>
      <c r="D250" s="256">
        <f t="shared" si="3"/>
        <v>1627</v>
      </c>
      <c r="E250" s="256">
        <v>1627</v>
      </c>
      <c r="F250" s="256">
        <v>1046.9000000000001</v>
      </c>
      <c r="G250" s="256">
        <v>1148.7</v>
      </c>
      <c r="H250" s="256">
        <v>2026.4</v>
      </c>
      <c r="I250" s="256">
        <v>1919.7</v>
      </c>
      <c r="K250" s="115" t="s">
        <v>1243</v>
      </c>
      <c r="L250" s="274">
        <v>1460.8</v>
      </c>
      <c r="M250" s="274">
        <v>1325.4</v>
      </c>
      <c r="N250" s="256">
        <v>643.1</v>
      </c>
      <c r="O250" s="274">
        <v>1077.4000000000001</v>
      </c>
      <c r="P250" s="274">
        <v>1369.6</v>
      </c>
      <c r="Q250" s="274">
        <v>2586.8000000000002</v>
      </c>
    </row>
    <row r="251" spans="3:17" x14ac:dyDescent="0.15">
      <c r="C251" s="255" t="s">
        <v>989</v>
      </c>
      <c r="D251" s="256">
        <f t="shared" si="3"/>
        <v>1221</v>
      </c>
      <c r="E251" s="256">
        <v>1221</v>
      </c>
      <c r="F251" s="256">
        <v>788.7</v>
      </c>
      <c r="G251" s="256">
        <v>1038.0999999999999</v>
      </c>
      <c r="H251" s="256">
        <v>1165.0999999999999</v>
      </c>
      <c r="I251" s="256">
        <v>1092.0999999999999</v>
      </c>
      <c r="K251" s="115" t="s">
        <v>989</v>
      </c>
      <c r="L251" s="274">
        <v>1229.9000000000001</v>
      </c>
      <c r="M251" s="274">
        <v>402.3</v>
      </c>
      <c r="N251" s="256">
        <v>499.6</v>
      </c>
      <c r="O251" s="274">
        <v>1048.7</v>
      </c>
      <c r="P251" s="274">
        <v>1051.7</v>
      </c>
      <c r="Q251" s="274">
        <v>2329.8000000000002</v>
      </c>
    </row>
    <row r="252" spans="3:17" x14ac:dyDescent="0.15">
      <c r="C252" s="255" t="s">
        <v>990</v>
      </c>
      <c r="D252" s="256">
        <f t="shared" si="3"/>
        <v>478</v>
      </c>
      <c r="E252" s="256">
        <v>478</v>
      </c>
      <c r="F252" s="256">
        <v>268.5</v>
      </c>
      <c r="G252" s="256">
        <v>81.599999999999994</v>
      </c>
      <c r="H252" s="256">
        <v>344</v>
      </c>
      <c r="I252" s="256">
        <v>697.4</v>
      </c>
      <c r="K252" s="115" t="s">
        <v>990</v>
      </c>
      <c r="L252" s="274">
        <v>383.3</v>
      </c>
      <c r="M252" s="274">
        <v>462.3</v>
      </c>
      <c r="N252" s="256">
        <v>102.4</v>
      </c>
      <c r="O252" s="274">
        <v>391.1</v>
      </c>
      <c r="P252" s="274">
        <v>457.7</v>
      </c>
      <c r="Q252" s="274">
        <v>529.1</v>
      </c>
    </row>
    <row r="253" spans="3:17" x14ac:dyDescent="0.15">
      <c r="C253" s="255" t="s">
        <v>991</v>
      </c>
      <c r="D253" s="256">
        <f t="shared" si="3"/>
        <v>5269</v>
      </c>
      <c r="E253" s="256">
        <v>5269</v>
      </c>
      <c r="F253" s="256">
        <v>4251.5</v>
      </c>
      <c r="G253" s="256">
        <v>4852.8</v>
      </c>
      <c r="H253" s="256">
        <v>5999.4</v>
      </c>
      <c r="I253" s="256">
        <v>6541.6</v>
      </c>
      <c r="K253" s="115" t="s">
        <v>991</v>
      </c>
      <c r="L253" s="274">
        <v>5208.3999999999996</v>
      </c>
      <c r="M253" s="274">
        <v>3110.4</v>
      </c>
      <c r="N253" s="256">
        <v>4582.7</v>
      </c>
      <c r="O253" s="274">
        <v>5130</v>
      </c>
      <c r="P253" s="274">
        <v>5271.2</v>
      </c>
      <c r="Q253" s="274">
        <v>6244.7</v>
      </c>
    </row>
    <row r="254" spans="3:17" x14ac:dyDescent="0.15">
      <c r="C254" s="255" t="s">
        <v>992</v>
      </c>
      <c r="D254" s="256">
        <f t="shared" si="3"/>
        <v>22</v>
      </c>
      <c r="E254" s="256">
        <v>22</v>
      </c>
      <c r="F254" s="256">
        <v>20.2</v>
      </c>
      <c r="G254" s="256">
        <v>0</v>
      </c>
      <c r="H254" s="256">
        <v>20.8</v>
      </c>
      <c r="I254" s="256">
        <v>19.3</v>
      </c>
      <c r="K254" s="115" t="s">
        <v>1244</v>
      </c>
      <c r="L254" s="274">
        <v>14.2</v>
      </c>
      <c r="M254" s="274">
        <v>12</v>
      </c>
      <c r="N254" s="256">
        <v>13.9</v>
      </c>
      <c r="O254" s="274">
        <v>6.2</v>
      </c>
      <c r="P254" s="274">
        <v>15</v>
      </c>
      <c r="Q254" s="274">
        <v>21.8</v>
      </c>
    </row>
    <row r="255" spans="3:17" x14ac:dyDescent="0.15">
      <c r="C255" s="255" t="s">
        <v>993</v>
      </c>
      <c r="D255" s="256">
        <f t="shared" si="3"/>
        <v>138</v>
      </c>
      <c r="E255" s="256">
        <v>138</v>
      </c>
      <c r="F255" s="256">
        <v>56.5</v>
      </c>
      <c r="G255" s="256">
        <v>360.6</v>
      </c>
      <c r="H255" s="256">
        <v>107.6</v>
      </c>
      <c r="I255" s="256">
        <v>412.6</v>
      </c>
      <c r="K255" s="115" t="s">
        <v>1245</v>
      </c>
      <c r="L255" s="274">
        <v>142.6</v>
      </c>
      <c r="M255" s="274">
        <v>75.8</v>
      </c>
      <c r="N255" s="256">
        <v>22.5</v>
      </c>
      <c r="O255" s="274">
        <v>138.6</v>
      </c>
      <c r="P255" s="274">
        <v>89</v>
      </c>
      <c r="Q255" s="274">
        <v>301.89999999999998</v>
      </c>
    </row>
    <row r="256" spans="3:17" x14ac:dyDescent="0.15">
      <c r="C256" s="255" t="s">
        <v>994</v>
      </c>
      <c r="D256" s="256">
        <f t="shared" si="3"/>
        <v>0</v>
      </c>
      <c r="E256" s="256">
        <v>0</v>
      </c>
      <c r="F256" s="256">
        <v>0</v>
      </c>
      <c r="G256" s="256">
        <v>0</v>
      </c>
      <c r="H256" s="256">
        <v>0</v>
      </c>
      <c r="I256" s="256">
        <v>0</v>
      </c>
      <c r="K256" s="115" t="s">
        <v>1246</v>
      </c>
      <c r="L256" s="274">
        <v>0</v>
      </c>
      <c r="M256" s="274">
        <v>0</v>
      </c>
      <c r="N256" s="256">
        <v>0</v>
      </c>
      <c r="O256" s="274">
        <v>0</v>
      </c>
      <c r="P256" s="274">
        <v>0</v>
      </c>
      <c r="Q256" s="274">
        <v>0</v>
      </c>
    </row>
    <row r="257" spans="3:17" x14ac:dyDescent="0.15">
      <c r="C257" s="255" t="s">
        <v>995</v>
      </c>
      <c r="D257" s="256">
        <f t="shared" si="3"/>
        <v>1509</v>
      </c>
      <c r="E257" s="256">
        <v>1509</v>
      </c>
      <c r="F257" s="256">
        <v>560.5</v>
      </c>
      <c r="G257" s="256">
        <v>105.9</v>
      </c>
      <c r="H257" s="256">
        <v>1066.4000000000001</v>
      </c>
      <c r="I257" s="256">
        <v>634.29999999999995</v>
      </c>
      <c r="K257" s="115" t="s">
        <v>995</v>
      </c>
      <c r="L257" s="274">
        <v>910.9</v>
      </c>
      <c r="M257" s="274">
        <v>462.3</v>
      </c>
      <c r="N257" s="256">
        <v>748.6</v>
      </c>
      <c r="O257" s="274">
        <v>915.2</v>
      </c>
      <c r="P257" s="274">
        <v>1086.4000000000001</v>
      </c>
      <c r="Q257" s="274">
        <v>1010.7</v>
      </c>
    </row>
    <row r="258" spans="3:17" x14ac:dyDescent="0.15">
      <c r="C258" s="255" t="s">
        <v>1293</v>
      </c>
      <c r="D258" s="256">
        <f t="shared" si="3"/>
        <v>351</v>
      </c>
      <c r="E258" s="256">
        <v>351</v>
      </c>
      <c r="F258" s="256">
        <v>233.3</v>
      </c>
      <c r="G258" s="256">
        <v>120.9</v>
      </c>
      <c r="H258" s="256">
        <v>617.1</v>
      </c>
      <c r="I258" s="256">
        <v>637.20000000000005</v>
      </c>
      <c r="K258" s="115" t="s">
        <v>996</v>
      </c>
      <c r="L258" s="274">
        <v>411.3</v>
      </c>
      <c r="M258" s="274">
        <v>72.599999999999994</v>
      </c>
      <c r="N258" s="256">
        <v>295.7</v>
      </c>
      <c r="O258" s="274">
        <v>318.39999999999998</v>
      </c>
      <c r="P258" s="274">
        <v>248.1</v>
      </c>
      <c r="Q258" s="274">
        <v>799</v>
      </c>
    </row>
    <row r="259" spans="3:17" x14ac:dyDescent="0.15">
      <c r="C259" s="255" t="s">
        <v>997</v>
      </c>
      <c r="D259" s="256">
        <f t="shared" si="3"/>
        <v>238</v>
      </c>
      <c r="E259" s="256">
        <v>238</v>
      </c>
      <c r="F259" s="256">
        <v>278</v>
      </c>
      <c r="G259" s="256">
        <v>402.1</v>
      </c>
      <c r="H259" s="256">
        <v>305.3</v>
      </c>
      <c r="I259" s="256">
        <v>355.3</v>
      </c>
      <c r="K259" s="115" t="s">
        <v>1247</v>
      </c>
      <c r="L259" s="274">
        <v>293.7</v>
      </c>
      <c r="M259" s="274">
        <v>265.39999999999998</v>
      </c>
      <c r="N259" s="256">
        <v>357</v>
      </c>
      <c r="O259" s="274">
        <v>232</v>
      </c>
      <c r="P259" s="274">
        <v>146</v>
      </c>
      <c r="Q259" s="274">
        <v>420</v>
      </c>
    </row>
    <row r="260" spans="3:17" x14ac:dyDescent="0.15">
      <c r="C260" s="255" t="s">
        <v>998</v>
      </c>
      <c r="D260" s="256">
        <f t="shared" si="3"/>
        <v>154</v>
      </c>
      <c r="E260" s="256">
        <v>154</v>
      </c>
      <c r="F260" s="256">
        <v>107.6</v>
      </c>
      <c r="G260" s="256">
        <v>46.5</v>
      </c>
      <c r="H260" s="256">
        <v>142.69999999999999</v>
      </c>
      <c r="I260" s="256">
        <v>99.7</v>
      </c>
      <c r="K260" s="115" t="s">
        <v>1248</v>
      </c>
      <c r="L260" s="274">
        <v>105.7</v>
      </c>
      <c r="M260" s="274">
        <v>185.7</v>
      </c>
      <c r="N260" s="256">
        <v>48.1</v>
      </c>
      <c r="O260" s="274">
        <v>79.5</v>
      </c>
      <c r="P260" s="274">
        <v>145.6</v>
      </c>
      <c r="Q260" s="274">
        <v>127.1</v>
      </c>
    </row>
    <row r="261" spans="3:17" x14ac:dyDescent="0.15">
      <c r="C261" s="255" t="s">
        <v>999</v>
      </c>
      <c r="D261" s="256">
        <f t="shared" si="3"/>
        <v>7</v>
      </c>
      <c r="E261" s="256">
        <v>7</v>
      </c>
      <c r="F261" s="256">
        <v>20.2</v>
      </c>
      <c r="G261" s="256">
        <v>0</v>
      </c>
      <c r="H261" s="256">
        <v>0</v>
      </c>
      <c r="I261" s="256">
        <v>8.6999999999999993</v>
      </c>
      <c r="K261" s="115" t="s">
        <v>999</v>
      </c>
      <c r="L261" s="274">
        <v>6.5</v>
      </c>
      <c r="M261" s="274">
        <v>0</v>
      </c>
      <c r="N261" s="256">
        <v>23.8</v>
      </c>
      <c r="O261" s="274">
        <v>0</v>
      </c>
      <c r="P261" s="274">
        <v>5.8</v>
      </c>
      <c r="Q261" s="274">
        <v>0.4</v>
      </c>
    </row>
    <row r="262" spans="3:17" x14ac:dyDescent="0.15">
      <c r="C262" s="255" t="s">
        <v>1000</v>
      </c>
      <c r="D262" s="256">
        <f t="shared" si="3"/>
        <v>955</v>
      </c>
      <c r="E262" s="256">
        <v>955</v>
      </c>
      <c r="F262" s="256">
        <v>224.9</v>
      </c>
      <c r="G262" s="256">
        <v>162.5</v>
      </c>
      <c r="H262" s="256">
        <v>555.6</v>
      </c>
      <c r="I262" s="256">
        <v>472.2</v>
      </c>
      <c r="K262" s="115" t="s">
        <v>1000</v>
      </c>
      <c r="L262" s="274">
        <v>1017.8</v>
      </c>
      <c r="M262" s="274">
        <v>266.5</v>
      </c>
      <c r="N262" s="256">
        <v>646.4</v>
      </c>
      <c r="O262" s="274">
        <v>1000.5</v>
      </c>
      <c r="P262" s="274">
        <v>1330.4</v>
      </c>
      <c r="Q262" s="274">
        <v>1274.8</v>
      </c>
    </row>
    <row r="263" spans="3:17" x14ac:dyDescent="0.15">
      <c r="C263" s="255" t="s">
        <v>1001</v>
      </c>
      <c r="D263" s="256">
        <f t="shared" si="3"/>
        <v>431</v>
      </c>
      <c r="E263" s="256">
        <v>431</v>
      </c>
      <c r="F263" s="256">
        <v>146.4</v>
      </c>
      <c r="G263" s="256">
        <v>229.2</v>
      </c>
      <c r="H263" s="256">
        <v>336.2</v>
      </c>
      <c r="I263" s="256">
        <v>320.10000000000002</v>
      </c>
      <c r="K263" s="115" t="s">
        <v>1249</v>
      </c>
      <c r="L263" s="274">
        <v>447.3</v>
      </c>
      <c r="M263" s="274">
        <v>159.19999999999999</v>
      </c>
      <c r="N263" s="256">
        <v>484</v>
      </c>
      <c r="O263" s="274">
        <v>515.20000000000005</v>
      </c>
      <c r="P263" s="274">
        <v>406.1</v>
      </c>
      <c r="Q263" s="274">
        <v>455.2</v>
      </c>
    </row>
    <row r="264" spans="3:17" x14ac:dyDescent="0.15">
      <c r="C264" s="255" t="s">
        <v>1002</v>
      </c>
      <c r="D264" s="256">
        <f t="shared" si="3"/>
        <v>123</v>
      </c>
      <c r="E264" s="256">
        <v>123</v>
      </c>
      <c r="F264" s="256">
        <v>66.900000000000006</v>
      </c>
      <c r="G264" s="256">
        <v>65.8</v>
      </c>
      <c r="H264" s="256">
        <v>238.4</v>
      </c>
      <c r="I264" s="256">
        <v>202.3</v>
      </c>
      <c r="K264" s="115" t="s">
        <v>1002</v>
      </c>
      <c r="L264" s="274">
        <v>156.30000000000001</v>
      </c>
      <c r="M264" s="274">
        <v>34.299999999999997</v>
      </c>
      <c r="N264" s="256">
        <v>60</v>
      </c>
      <c r="O264" s="274">
        <v>142.5</v>
      </c>
      <c r="P264" s="274">
        <v>159.30000000000001</v>
      </c>
      <c r="Q264" s="274">
        <v>274.39999999999998</v>
      </c>
    </row>
    <row r="265" spans="3:17" x14ac:dyDescent="0.15">
      <c r="C265" s="255" t="s">
        <v>1003</v>
      </c>
      <c r="D265" s="256">
        <f t="shared" si="3"/>
        <v>114</v>
      </c>
      <c r="E265" s="256">
        <v>114</v>
      </c>
      <c r="F265" s="256">
        <v>87.7</v>
      </c>
      <c r="G265" s="256">
        <v>271.5</v>
      </c>
      <c r="H265" s="256">
        <v>118.1</v>
      </c>
      <c r="I265" s="256">
        <v>150.5</v>
      </c>
      <c r="K265" s="115" t="s">
        <v>1250</v>
      </c>
      <c r="L265" s="274">
        <v>113.4</v>
      </c>
      <c r="M265" s="274">
        <v>36.5</v>
      </c>
      <c r="N265" s="256">
        <v>83.9</v>
      </c>
      <c r="O265" s="274">
        <v>64.8</v>
      </c>
      <c r="P265" s="274">
        <v>128.30000000000001</v>
      </c>
      <c r="Q265" s="274">
        <v>189.2</v>
      </c>
    </row>
    <row r="266" spans="3:17" x14ac:dyDescent="0.15">
      <c r="C266" s="255" t="s">
        <v>1004</v>
      </c>
      <c r="D266" s="256">
        <f t="shared" si="3"/>
        <v>82</v>
      </c>
      <c r="E266" s="256">
        <v>82</v>
      </c>
      <c r="F266" s="256">
        <v>64.3</v>
      </c>
      <c r="G266" s="256">
        <v>153.1</v>
      </c>
      <c r="H266" s="256">
        <v>89.8</v>
      </c>
      <c r="I266" s="256">
        <v>159.19999999999999</v>
      </c>
      <c r="K266" s="115" t="s">
        <v>1004</v>
      </c>
      <c r="L266" s="274">
        <v>96.2</v>
      </c>
      <c r="M266" s="274">
        <v>29.9</v>
      </c>
      <c r="N266" s="256">
        <v>66.900000000000006</v>
      </c>
      <c r="O266" s="274">
        <v>77.2</v>
      </c>
      <c r="P266" s="274">
        <v>133.80000000000001</v>
      </c>
      <c r="Q266" s="274">
        <v>124.7</v>
      </c>
    </row>
    <row r="267" spans="3:17" x14ac:dyDescent="0.15">
      <c r="C267" s="255" t="s">
        <v>1005</v>
      </c>
      <c r="D267" s="256">
        <f t="shared" si="3"/>
        <v>89</v>
      </c>
      <c r="E267" s="256">
        <v>89</v>
      </c>
      <c r="F267" s="256">
        <v>0</v>
      </c>
      <c r="G267" s="256">
        <v>83.5</v>
      </c>
      <c r="H267" s="256">
        <v>90.4</v>
      </c>
      <c r="I267" s="256">
        <v>22.6</v>
      </c>
      <c r="K267" s="115" t="s">
        <v>1251</v>
      </c>
      <c r="L267" s="274">
        <v>134.1</v>
      </c>
      <c r="M267" s="274">
        <v>0</v>
      </c>
      <c r="N267" s="256">
        <v>138.5</v>
      </c>
      <c r="O267" s="274">
        <v>50.4</v>
      </c>
      <c r="P267" s="274">
        <v>288.39999999999998</v>
      </c>
      <c r="Q267" s="274">
        <v>120.7</v>
      </c>
    </row>
    <row r="268" spans="3:17" x14ac:dyDescent="0.15">
      <c r="C268" s="255" t="s">
        <v>1006</v>
      </c>
      <c r="D268" s="256">
        <f t="shared" si="3"/>
        <v>6735</v>
      </c>
      <c r="E268" s="256">
        <v>6735</v>
      </c>
      <c r="F268" s="256">
        <v>1664.5</v>
      </c>
      <c r="G268" s="256">
        <v>4140.8</v>
      </c>
      <c r="H268" s="256">
        <v>7038.8</v>
      </c>
      <c r="I268" s="256">
        <v>4846.6000000000004</v>
      </c>
      <c r="K268" s="115" t="s">
        <v>1252</v>
      </c>
      <c r="L268" s="274">
        <v>5334.4</v>
      </c>
      <c r="M268" s="274">
        <v>922.5</v>
      </c>
      <c r="N268" s="256">
        <v>1760.3</v>
      </c>
      <c r="O268" s="274">
        <v>4312.2</v>
      </c>
      <c r="P268" s="274">
        <v>5133.1000000000004</v>
      </c>
      <c r="Q268" s="274">
        <v>10409.700000000001</v>
      </c>
    </row>
    <row r="269" spans="3:17" x14ac:dyDescent="0.15">
      <c r="C269" s="255" t="s">
        <v>1007</v>
      </c>
      <c r="D269" s="256">
        <f t="shared" si="3"/>
        <v>1807</v>
      </c>
      <c r="E269" s="256">
        <v>1807</v>
      </c>
      <c r="F269" s="256">
        <v>1617.3</v>
      </c>
      <c r="G269" s="256">
        <v>3711</v>
      </c>
      <c r="H269" s="256">
        <v>315</v>
      </c>
      <c r="I269" s="256">
        <v>3519.2</v>
      </c>
      <c r="K269" s="115" t="s">
        <v>1007</v>
      </c>
      <c r="L269" s="274">
        <v>1446.9</v>
      </c>
      <c r="M269" s="274">
        <v>98.3</v>
      </c>
      <c r="N269" s="256">
        <v>1462.5</v>
      </c>
      <c r="O269" s="274">
        <v>784.1</v>
      </c>
      <c r="P269" s="274">
        <v>1152.0999999999999</v>
      </c>
      <c r="Q269" s="274">
        <v>2598.1</v>
      </c>
    </row>
    <row r="270" spans="3:17" x14ac:dyDescent="0.15">
      <c r="C270" s="255" t="s">
        <v>1008</v>
      </c>
      <c r="D270" s="256">
        <f t="shared" si="3"/>
        <v>902</v>
      </c>
      <c r="E270" s="256">
        <v>902</v>
      </c>
      <c r="F270" s="256">
        <v>0</v>
      </c>
      <c r="G270" s="256">
        <v>2736.1</v>
      </c>
      <c r="H270" s="256">
        <v>0</v>
      </c>
      <c r="I270" s="256">
        <v>2231.4</v>
      </c>
      <c r="K270" s="115" t="s">
        <v>1008</v>
      </c>
      <c r="L270" s="274">
        <v>567.1</v>
      </c>
      <c r="M270" s="274">
        <v>0</v>
      </c>
      <c r="N270" s="256">
        <v>66.7</v>
      </c>
      <c r="O270" s="274">
        <v>427.2</v>
      </c>
      <c r="P270" s="274">
        <v>324.3</v>
      </c>
      <c r="Q270" s="274">
        <v>1428.9</v>
      </c>
    </row>
    <row r="271" spans="3:17" x14ac:dyDescent="0.15">
      <c r="C271" s="255" t="s">
        <v>1009</v>
      </c>
      <c r="D271" s="256">
        <f t="shared" si="3"/>
        <v>598</v>
      </c>
      <c r="E271" s="256">
        <v>598</v>
      </c>
      <c r="F271" s="256">
        <v>1.5</v>
      </c>
      <c r="G271" s="256">
        <v>610.79999999999995</v>
      </c>
      <c r="H271" s="256">
        <v>125.7</v>
      </c>
      <c r="I271" s="256">
        <v>828.6</v>
      </c>
      <c r="K271" s="115" t="s">
        <v>1009</v>
      </c>
      <c r="L271" s="274">
        <v>339.6</v>
      </c>
      <c r="M271" s="274">
        <v>9.4</v>
      </c>
      <c r="N271" s="256">
        <v>3.4</v>
      </c>
      <c r="O271" s="274">
        <v>123.3</v>
      </c>
      <c r="P271" s="274">
        <v>418.7</v>
      </c>
      <c r="Q271" s="274">
        <v>832.1</v>
      </c>
    </row>
    <row r="272" spans="3:17" x14ac:dyDescent="0.15">
      <c r="C272" s="255" t="s">
        <v>1010</v>
      </c>
      <c r="D272" s="256">
        <f t="shared" si="3"/>
        <v>83</v>
      </c>
      <c r="E272" s="256">
        <v>83</v>
      </c>
      <c r="F272" s="256">
        <v>457</v>
      </c>
      <c r="G272" s="256">
        <v>50.7</v>
      </c>
      <c r="H272" s="256">
        <v>160.30000000000001</v>
      </c>
      <c r="I272" s="256">
        <v>113.3</v>
      </c>
      <c r="K272" s="115" t="s">
        <v>1010</v>
      </c>
      <c r="L272" s="274">
        <v>171.4</v>
      </c>
      <c r="M272" s="274">
        <v>88.9</v>
      </c>
      <c r="N272" s="256">
        <v>277.89999999999998</v>
      </c>
      <c r="O272" s="274">
        <v>139.69999999999999</v>
      </c>
      <c r="P272" s="274">
        <v>144</v>
      </c>
      <c r="Q272" s="274">
        <v>154.6</v>
      </c>
    </row>
    <row r="273" spans="3:17" x14ac:dyDescent="0.15">
      <c r="C273" s="255" t="s">
        <v>1011</v>
      </c>
      <c r="D273" s="256">
        <f t="shared" si="3"/>
        <v>224</v>
      </c>
      <c r="E273" s="256">
        <v>224</v>
      </c>
      <c r="F273" s="256">
        <v>1158.8</v>
      </c>
      <c r="G273" s="256">
        <v>313.39999999999998</v>
      </c>
      <c r="H273" s="256">
        <v>28.9</v>
      </c>
      <c r="I273" s="256">
        <v>345.9</v>
      </c>
      <c r="K273" s="115" t="s">
        <v>1011</v>
      </c>
      <c r="L273" s="274">
        <v>368.9</v>
      </c>
      <c r="M273" s="274">
        <v>0</v>
      </c>
      <c r="N273" s="256">
        <v>1114.5999999999999</v>
      </c>
      <c r="O273" s="274">
        <v>94</v>
      </c>
      <c r="P273" s="274">
        <v>265.10000000000002</v>
      </c>
      <c r="Q273" s="274">
        <v>182.6</v>
      </c>
    </row>
    <row r="274" spans="3:17" x14ac:dyDescent="0.15">
      <c r="C274" s="255" t="s">
        <v>1012</v>
      </c>
      <c r="D274" s="256">
        <f t="shared" ref="D274:D310" si="4">E274</f>
        <v>19895</v>
      </c>
      <c r="E274" s="256">
        <v>19895</v>
      </c>
      <c r="F274" s="256">
        <v>11815.6</v>
      </c>
      <c r="G274" s="256">
        <v>10852.4</v>
      </c>
      <c r="H274" s="256">
        <v>22644.9</v>
      </c>
      <c r="I274" s="256">
        <v>23058</v>
      </c>
      <c r="K274" s="115" t="s">
        <v>1012</v>
      </c>
      <c r="L274" s="274">
        <v>16908.5</v>
      </c>
      <c r="M274" s="274">
        <v>9354.6</v>
      </c>
      <c r="N274" s="256">
        <v>6954.7</v>
      </c>
      <c r="O274" s="274">
        <v>10990.1</v>
      </c>
      <c r="P274" s="274">
        <v>17835.3</v>
      </c>
      <c r="Q274" s="274">
        <v>31608</v>
      </c>
    </row>
    <row r="275" spans="3:17" x14ac:dyDescent="0.15">
      <c r="C275" s="255" t="s">
        <v>1013</v>
      </c>
      <c r="D275" s="256">
        <f t="shared" si="4"/>
        <v>10529</v>
      </c>
      <c r="E275" s="256">
        <v>10529</v>
      </c>
      <c r="F275" s="256">
        <v>5770.8</v>
      </c>
      <c r="G275" s="256">
        <v>6961.2</v>
      </c>
      <c r="H275" s="256">
        <v>12683.3</v>
      </c>
      <c r="I275" s="256">
        <v>11158.6</v>
      </c>
      <c r="K275" s="115" t="s">
        <v>1013</v>
      </c>
      <c r="L275" s="274">
        <v>9212.7000000000007</v>
      </c>
      <c r="M275" s="274">
        <v>3583.1</v>
      </c>
      <c r="N275" s="256">
        <v>3894.9</v>
      </c>
      <c r="O275" s="274">
        <v>6615.9</v>
      </c>
      <c r="P275" s="274">
        <v>9344</v>
      </c>
      <c r="Q275" s="274">
        <v>17204.3</v>
      </c>
    </row>
    <row r="276" spans="3:17" x14ac:dyDescent="0.15">
      <c r="C276" s="255" t="s">
        <v>1014</v>
      </c>
      <c r="D276" s="256">
        <f t="shared" si="4"/>
        <v>3711</v>
      </c>
      <c r="E276" s="256">
        <v>3711</v>
      </c>
      <c r="F276" s="256">
        <v>3278</v>
      </c>
      <c r="G276" s="256">
        <v>2035.6</v>
      </c>
      <c r="H276" s="256">
        <v>4465</v>
      </c>
      <c r="I276" s="256">
        <v>5206</v>
      </c>
      <c r="K276" s="115" t="s">
        <v>1014</v>
      </c>
      <c r="L276" s="274">
        <v>3016.8</v>
      </c>
      <c r="M276" s="274">
        <v>3414.2</v>
      </c>
      <c r="N276" s="256">
        <v>1524.5</v>
      </c>
      <c r="O276" s="274">
        <v>1862.3</v>
      </c>
      <c r="P276" s="274">
        <v>3600.8</v>
      </c>
      <c r="Q276" s="274">
        <v>4758.7</v>
      </c>
    </row>
    <row r="277" spans="3:17" x14ac:dyDescent="0.15">
      <c r="C277" s="255" t="s">
        <v>1015</v>
      </c>
      <c r="D277" s="256">
        <f t="shared" si="4"/>
        <v>973</v>
      </c>
      <c r="E277" s="256">
        <v>973</v>
      </c>
      <c r="F277" s="256">
        <v>702.9</v>
      </c>
      <c r="G277" s="256">
        <v>662.3</v>
      </c>
      <c r="H277" s="256">
        <v>976.9</v>
      </c>
      <c r="I277" s="256">
        <v>1183.9000000000001</v>
      </c>
      <c r="K277" s="115" t="s">
        <v>1015</v>
      </c>
      <c r="L277" s="274">
        <v>790.6</v>
      </c>
      <c r="M277" s="274">
        <v>512.1</v>
      </c>
      <c r="N277" s="256">
        <v>371.8</v>
      </c>
      <c r="O277" s="274">
        <v>590.29999999999995</v>
      </c>
      <c r="P277" s="274">
        <v>746</v>
      </c>
      <c r="Q277" s="274">
        <v>1419.2</v>
      </c>
    </row>
    <row r="278" spans="3:17" x14ac:dyDescent="0.15">
      <c r="C278" s="255" t="s">
        <v>1016</v>
      </c>
      <c r="D278" s="256">
        <f t="shared" si="4"/>
        <v>2995</v>
      </c>
      <c r="E278" s="256">
        <v>2995</v>
      </c>
      <c r="F278" s="256">
        <v>1459.7</v>
      </c>
      <c r="G278" s="256">
        <v>486.4</v>
      </c>
      <c r="H278" s="256">
        <v>2350</v>
      </c>
      <c r="I278" s="256">
        <v>2011.7</v>
      </c>
      <c r="K278" s="115" t="s">
        <v>1016</v>
      </c>
      <c r="L278" s="274">
        <v>2088.1999999999998</v>
      </c>
      <c r="M278" s="274">
        <v>949.5</v>
      </c>
      <c r="N278" s="256">
        <v>655.20000000000005</v>
      </c>
      <c r="O278" s="274">
        <v>1059.2</v>
      </c>
      <c r="P278" s="274">
        <v>2308.6999999999998</v>
      </c>
      <c r="Q278" s="274">
        <v>4313.3</v>
      </c>
    </row>
    <row r="279" spans="3:17" x14ac:dyDescent="0.15">
      <c r="C279" s="255" t="s">
        <v>1017</v>
      </c>
      <c r="D279" s="256">
        <f t="shared" si="4"/>
        <v>1526</v>
      </c>
      <c r="E279" s="256">
        <v>1526</v>
      </c>
      <c r="F279" s="256">
        <v>604.1</v>
      </c>
      <c r="G279" s="256">
        <v>707</v>
      </c>
      <c r="H279" s="256">
        <v>2169.6</v>
      </c>
      <c r="I279" s="256">
        <v>3429.9</v>
      </c>
      <c r="K279" s="115" t="s">
        <v>1017</v>
      </c>
      <c r="L279" s="274">
        <v>1779.6</v>
      </c>
      <c r="M279" s="274">
        <v>895.7</v>
      </c>
      <c r="N279" s="256">
        <v>508.4</v>
      </c>
      <c r="O279" s="274">
        <v>862.3</v>
      </c>
      <c r="P279" s="274">
        <v>1835.7</v>
      </c>
      <c r="Q279" s="274">
        <v>3835.3</v>
      </c>
    </row>
    <row r="280" spans="3:17" x14ac:dyDescent="0.15">
      <c r="C280" s="255" t="s">
        <v>1018</v>
      </c>
      <c r="D280" s="256">
        <f t="shared" si="4"/>
        <v>161</v>
      </c>
      <c r="E280" s="256">
        <v>161</v>
      </c>
      <c r="F280" s="256">
        <v>0</v>
      </c>
      <c r="G280" s="256">
        <v>0</v>
      </c>
      <c r="H280" s="256">
        <v>0</v>
      </c>
      <c r="I280" s="256">
        <v>67.900000000000006</v>
      </c>
      <c r="K280" s="115" t="s">
        <v>1018</v>
      </c>
      <c r="L280" s="274">
        <v>20.6</v>
      </c>
      <c r="M280" s="274">
        <v>0</v>
      </c>
      <c r="N280" s="256">
        <v>0</v>
      </c>
      <c r="O280" s="274">
        <v>0</v>
      </c>
      <c r="P280" s="274">
        <v>0</v>
      </c>
      <c r="Q280" s="274">
        <v>77.2</v>
      </c>
    </row>
    <row r="281" spans="3:17" x14ac:dyDescent="0.15">
      <c r="C281" s="255" t="s">
        <v>1019</v>
      </c>
      <c r="D281" s="256">
        <f t="shared" si="4"/>
        <v>29286</v>
      </c>
      <c r="E281" s="256">
        <v>29286</v>
      </c>
      <c r="F281" s="256">
        <v>12829.6</v>
      </c>
      <c r="G281" s="256">
        <v>22253.3</v>
      </c>
      <c r="H281" s="256">
        <v>28214.400000000001</v>
      </c>
      <c r="I281" s="256">
        <v>51872.4</v>
      </c>
      <c r="K281" s="115" t="s">
        <v>1019</v>
      </c>
      <c r="L281" s="274">
        <v>28356.799999999999</v>
      </c>
      <c r="M281" s="274">
        <v>9608.4</v>
      </c>
      <c r="N281" s="256">
        <v>12564.7</v>
      </c>
      <c r="O281" s="274">
        <v>20118.099999999999</v>
      </c>
      <c r="P281" s="274">
        <v>34302.5</v>
      </c>
      <c r="Q281" s="274">
        <v>48764.6</v>
      </c>
    </row>
    <row r="282" spans="3:17" x14ac:dyDescent="0.15">
      <c r="C282" s="255" t="s">
        <v>1020</v>
      </c>
      <c r="D282" s="256">
        <f t="shared" si="4"/>
        <v>506</v>
      </c>
      <c r="E282" s="256">
        <v>506</v>
      </c>
      <c r="F282" s="256">
        <v>377.9</v>
      </c>
      <c r="G282" s="256">
        <v>266.5</v>
      </c>
      <c r="H282" s="256">
        <v>543.6</v>
      </c>
      <c r="I282" s="256">
        <v>689.2</v>
      </c>
      <c r="K282" s="115" t="s">
        <v>1253</v>
      </c>
      <c r="L282" s="274">
        <v>464.5</v>
      </c>
      <c r="M282" s="274">
        <v>263.3</v>
      </c>
      <c r="N282" s="256">
        <v>198.7</v>
      </c>
      <c r="O282" s="274">
        <v>369</v>
      </c>
      <c r="P282" s="274">
        <v>531.20000000000005</v>
      </c>
      <c r="Q282" s="274">
        <v>766.5</v>
      </c>
    </row>
    <row r="283" spans="3:17" x14ac:dyDescent="0.15">
      <c r="C283" s="255" t="s">
        <v>1021</v>
      </c>
      <c r="D283" s="256">
        <f t="shared" si="4"/>
        <v>1516</v>
      </c>
      <c r="E283" s="256">
        <v>1516</v>
      </c>
      <c r="F283" s="256">
        <v>940.1</v>
      </c>
      <c r="G283" s="256">
        <v>349.3</v>
      </c>
      <c r="H283" s="256">
        <v>1300.0999999999999</v>
      </c>
      <c r="I283" s="256">
        <v>1568.1</v>
      </c>
      <c r="K283" s="115" t="s">
        <v>1021</v>
      </c>
      <c r="L283" s="274">
        <v>1273.2</v>
      </c>
      <c r="M283" s="274">
        <v>732.4</v>
      </c>
      <c r="N283" s="256">
        <v>880.6</v>
      </c>
      <c r="O283" s="274">
        <v>1370.3</v>
      </c>
      <c r="P283" s="274">
        <v>1185.5999999999999</v>
      </c>
      <c r="Q283" s="274">
        <v>1701</v>
      </c>
    </row>
    <row r="284" spans="3:17" x14ac:dyDescent="0.15">
      <c r="C284" s="255" t="s">
        <v>1022</v>
      </c>
      <c r="D284" s="256">
        <f t="shared" si="4"/>
        <v>806</v>
      </c>
      <c r="E284" s="256">
        <v>806</v>
      </c>
      <c r="F284" s="256">
        <v>120.5</v>
      </c>
      <c r="G284" s="256">
        <v>809.7</v>
      </c>
      <c r="H284" s="256">
        <v>420.5</v>
      </c>
      <c r="I284" s="256">
        <v>545.9</v>
      </c>
      <c r="K284" s="115" t="s">
        <v>1254</v>
      </c>
      <c r="L284" s="274">
        <v>394.4</v>
      </c>
      <c r="M284" s="274">
        <v>39.5</v>
      </c>
      <c r="N284" s="256">
        <v>196.5</v>
      </c>
      <c r="O284" s="274">
        <v>270.7</v>
      </c>
      <c r="P284" s="274">
        <v>770.2</v>
      </c>
      <c r="Q284" s="274">
        <v>464.8</v>
      </c>
    </row>
    <row r="285" spans="3:17" x14ac:dyDescent="0.15">
      <c r="C285" s="255" t="s">
        <v>1023</v>
      </c>
      <c r="D285" s="256">
        <f t="shared" si="4"/>
        <v>144</v>
      </c>
      <c r="E285" s="256">
        <v>144</v>
      </c>
      <c r="F285" s="256">
        <v>110.5</v>
      </c>
      <c r="G285" s="256">
        <v>1.1000000000000001</v>
      </c>
      <c r="H285" s="256">
        <v>177.1</v>
      </c>
      <c r="I285" s="256">
        <v>130</v>
      </c>
      <c r="K285" s="115" t="s">
        <v>1023</v>
      </c>
      <c r="L285" s="274">
        <v>129.9</v>
      </c>
      <c r="M285" s="274">
        <v>47.3</v>
      </c>
      <c r="N285" s="256">
        <v>0.3</v>
      </c>
      <c r="O285" s="274">
        <v>121.7</v>
      </c>
      <c r="P285" s="274">
        <v>201</v>
      </c>
      <c r="Q285" s="274">
        <v>208.2</v>
      </c>
    </row>
    <row r="286" spans="3:17" x14ac:dyDescent="0.15">
      <c r="C286" s="255" t="s">
        <v>1024</v>
      </c>
      <c r="D286" s="256">
        <f t="shared" si="4"/>
        <v>24</v>
      </c>
      <c r="E286" s="256">
        <v>24</v>
      </c>
      <c r="F286" s="256">
        <v>39.9</v>
      </c>
      <c r="G286" s="256">
        <v>0</v>
      </c>
      <c r="H286" s="256">
        <v>13.3</v>
      </c>
      <c r="I286" s="256">
        <v>43.9</v>
      </c>
      <c r="K286" s="115" t="s">
        <v>1024</v>
      </c>
      <c r="L286" s="274">
        <v>20.399999999999999</v>
      </c>
      <c r="M286" s="274">
        <v>0</v>
      </c>
      <c r="N286" s="256">
        <v>6.3</v>
      </c>
      <c r="O286" s="274">
        <v>26.6</v>
      </c>
      <c r="P286" s="274">
        <v>7.5</v>
      </c>
      <c r="Q286" s="274">
        <v>40.9</v>
      </c>
    </row>
    <row r="287" spans="3:17" x14ac:dyDescent="0.15">
      <c r="C287" s="255" t="s">
        <v>1025</v>
      </c>
      <c r="D287" s="256">
        <f t="shared" si="4"/>
        <v>230</v>
      </c>
      <c r="E287" s="256">
        <v>230</v>
      </c>
      <c r="F287" s="256">
        <v>141.4</v>
      </c>
      <c r="G287" s="256">
        <v>228.5</v>
      </c>
      <c r="H287" s="256">
        <v>210.5</v>
      </c>
      <c r="I287" s="256">
        <v>497.7</v>
      </c>
      <c r="K287" s="115" t="s">
        <v>1255</v>
      </c>
      <c r="L287" s="274">
        <v>252.3</v>
      </c>
      <c r="M287" s="274">
        <v>133.5</v>
      </c>
      <c r="N287" s="256">
        <v>133.30000000000001</v>
      </c>
      <c r="O287" s="274">
        <v>184.4</v>
      </c>
      <c r="P287" s="274">
        <v>328.9</v>
      </c>
      <c r="Q287" s="274">
        <v>381.7</v>
      </c>
    </row>
    <row r="288" spans="3:17" x14ac:dyDescent="0.15">
      <c r="C288" s="255" t="s">
        <v>1026</v>
      </c>
      <c r="D288" s="256">
        <f t="shared" si="4"/>
        <v>3507</v>
      </c>
      <c r="E288" s="256">
        <v>3507</v>
      </c>
      <c r="F288" s="256">
        <v>1682.6</v>
      </c>
      <c r="G288" s="256">
        <v>3504.2</v>
      </c>
      <c r="H288" s="256">
        <v>4018.5</v>
      </c>
      <c r="I288" s="256">
        <v>5308.2</v>
      </c>
      <c r="K288" s="115" t="s">
        <v>1026</v>
      </c>
      <c r="L288" s="274">
        <v>3410.1</v>
      </c>
      <c r="M288" s="274">
        <v>1204.2</v>
      </c>
      <c r="N288" s="256">
        <v>1737.3</v>
      </c>
      <c r="O288" s="274">
        <v>2830.6</v>
      </c>
      <c r="P288" s="274">
        <v>4084.8</v>
      </c>
      <c r="Q288" s="274">
        <v>5318.1</v>
      </c>
    </row>
    <row r="289" spans="3:17" x14ac:dyDescent="0.15">
      <c r="C289" s="255" t="s">
        <v>1027</v>
      </c>
      <c r="D289" s="256">
        <f t="shared" si="4"/>
        <v>0</v>
      </c>
      <c r="E289" s="256">
        <v>0</v>
      </c>
      <c r="F289" s="256">
        <v>0</v>
      </c>
      <c r="G289" s="256">
        <v>0</v>
      </c>
      <c r="H289" s="256">
        <v>0</v>
      </c>
      <c r="I289" s="256">
        <v>0</v>
      </c>
      <c r="K289" s="115" t="s">
        <v>1027</v>
      </c>
      <c r="L289" s="274">
        <v>0</v>
      </c>
      <c r="M289" s="274">
        <v>0</v>
      </c>
      <c r="N289" s="256">
        <v>0</v>
      </c>
      <c r="O289" s="274">
        <v>0</v>
      </c>
      <c r="P289" s="274">
        <v>0</v>
      </c>
      <c r="Q289" s="274">
        <v>0</v>
      </c>
    </row>
    <row r="290" spans="3:17" x14ac:dyDescent="0.15">
      <c r="C290" s="255" t="s">
        <v>1028</v>
      </c>
      <c r="D290" s="256">
        <f t="shared" si="4"/>
        <v>497</v>
      </c>
      <c r="E290" s="256">
        <v>497</v>
      </c>
      <c r="F290" s="256">
        <v>334.7</v>
      </c>
      <c r="G290" s="256">
        <v>157.30000000000001</v>
      </c>
      <c r="H290" s="256">
        <v>355.6</v>
      </c>
      <c r="I290" s="256">
        <v>842.5</v>
      </c>
      <c r="K290" s="115" t="s">
        <v>1028</v>
      </c>
      <c r="L290" s="274">
        <v>557.6</v>
      </c>
      <c r="M290" s="274">
        <v>77.599999999999994</v>
      </c>
      <c r="N290" s="256">
        <v>360.5</v>
      </c>
      <c r="O290" s="274">
        <v>450.3</v>
      </c>
      <c r="P290" s="274">
        <v>489.5</v>
      </c>
      <c r="Q290" s="274">
        <v>985.3</v>
      </c>
    </row>
    <row r="291" spans="3:17" x14ac:dyDescent="0.15">
      <c r="C291" s="255" t="s">
        <v>1029</v>
      </c>
      <c r="D291" s="256">
        <f t="shared" si="4"/>
        <v>666</v>
      </c>
      <c r="E291" s="256">
        <v>666</v>
      </c>
      <c r="F291" s="256">
        <v>134.30000000000001</v>
      </c>
      <c r="G291" s="256">
        <v>125.9</v>
      </c>
      <c r="H291" s="256">
        <v>766.2</v>
      </c>
      <c r="I291" s="256">
        <v>342.6</v>
      </c>
      <c r="K291" s="115" t="s">
        <v>1029</v>
      </c>
      <c r="L291" s="274">
        <v>377.2</v>
      </c>
      <c r="M291" s="274">
        <v>205.7</v>
      </c>
      <c r="N291" s="256">
        <v>123.2</v>
      </c>
      <c r="O291" s="274">
        <v>279.5</v>
      </c>
      <c r="P291" s="274">
        <v>488</v>
      </c>
      <c r="Q291" s="274">
        <v>630.4</v>
      </c>
    </row>
    <row r="292" spans="3:17" x14ac:dyDescent="0.15">
      <c r="C292" s="255" t="s">
        <v>1030</v>
      </c>
      <c r="D292" s="256">
        <f t="shared" si="4"/>
        <v>3</v>
      </c>
      <c r="E292" s="256">
        <v>3</v>
      </c>
      <c r="F292" s="256">
        <v>125.1</v>
      </c>
      <c r="G292" s="256">
        <v>0</v>
      </c>
      <c r="H292" s="256">
        <v>52.2</v>
      </c>
      <c r="I292" s="256">
        <v>8.4</v>
      </c>
      <c r="K292" s="115" t="s">
        <v>1030</v>
      </c>
      <c r="L292" s="274">
        <v>37.1</v>
      </c>
      <c r="M292" s="274">
        <v>0</v>
      </c>
      <c r="N292" s="256">
        <v>0</v>
      </c>
      <c r="O292" s="274">
        <v>126.7</v>
      </c>
      <c r="P292" s="274">
        <v>23.5</v>
      </c>
      <c r="Q292" s="274">
        <v>3.8</v>
      </c>
    </row>
    <row r="293" spans="3:17" x14ac:dyDescent="0.15">
      <c r="C293" s="255" t="s">
        <v>1031</v>
      </c>
      <c r="D293" s="256">
        <f t="shared" si="4"/>
        <v>582</v>
      </c>
      <c r="E293" s="256">
        <v>582</v>
      </c>
      <c r="F293" s="256">
        <v>156.19999999999999</v>
      </c>
      <c r="G293" s="256">
        <v>481.4</v>
      </c>
      <c r="H293" s="256">
        <v>447.9</v>
      </c>
      <c r="I293" s="256">
        <v>726.3</v>
      </c>
      <c r="K293" s="115" t="s">
        <v>1031</v>
      </c>
      <c r="L293" s="274">
        <v>555.70000000000005</v>
      </c>
      <c r="M293" s="274">
        <v>367.7</v>
      </c>
      <c r="N293" s="256">
        <v>211.6</v>
      </c>
      <c r="O293" s="274">
        <v>329.6</v>
      </c>
      <c r="P293" s="274">
        <v>724.7</v>
      </c>
      <c r="Q293" s="274">
        <v>960.3</v>
      </c>
    </row>
    <row r="294" spans="3:17" x14ac:dyDescent="0.15">
      <c r="C294" s="255" t="s">
        <v>1032</v>
      </c>
      <c r="D294" s="256">
        <f t="shared" si="4"/>
        <v>177</v>
      </c>
      <c r="E294" s="256">
        <v>177</v>
      </c>
      <c r="F294" s="256">
        <v>0.4</v>
      </c>
      <c r="G294" s="256">
        <v>268.89999999999998</v>
      </c>
      <c r="H294" s="256">
        <v>1158</v>
      </c>
      <c r="I294" s="256">
        <v>121</v>
      </c>
      <c r="K294" s="115" t="s">
        <v>1256</v>
      </c>
      <c r="L294" s="274">
        <v>202.4</v>
      </c>
      <c r="M294" s="274">
        <v>0.4</v>
      </c>
      <c r="N294" s="256">
        <v>0.2</v>
      </c>
      <c r="O294" s="274">
        <v>57.9</v>
      </c>
      <c r="P294" s="274">
        <v>875.5</v>
      </c>
      <c r="Q294" s="274">
        <v>28.9</v>
      </c>
    </row>
    <row r="295" spans="3:17" x14ac:dyDescent="0.15">
      <c r="C295" s="255" t="s">
        <v>1033</v>
      </c>
      <c r="D295" s="256">
        <f t="shared" si="4"/>
        <v>0</v>
      </c>
      <c r="E295" s="256">
        <v>0</v>
      </c>
      <c r="F295" s="256">
        <v>3.2</v>
      </c>
      <c r="G295" s="256">
        <v>0</v>
      </c>
      <c r="H295" s="256">
        <v>4.8</v>
      </c>
      <c r="I295" s="256">
        <v>0</v>
      </c>
      <c r="K295" s="115" t="s">
        <v>1033</v>
      </c>
      <c r="L295" s="274">
        <v>2.7</v>
      </c>
      <c r="M295" s="274">
        <v>10.7</v>
      </c>
      <c r="N295" s="256">
        <v>6</v>
      </c>
      <c r="O295" s="274">
        <v>0</v>
      </c>
      <c r="P295" s="274">
        <v>3.5</v>
      </c>
      <c r="Q295" s="274">
        <v>0</v>
      </c>
    </row>
    <row r="296" spans="3:17" x14ac:dyDescent="0.15">
      <c r="C296" s="255" t="s">
        <v>1034</v>
      </c>
      <c r="D296" s="256">
        <f t="shared" si="4"/>
        <v>180</v>
      </c>
      <c r="E296" s="256">
        <v>180</v>
      </c>
      <c r="F296" s="256">
        <v>111.4</v>
      </c>
      <c r="G296" s="256">
        <v>260.2</v>
      </c>
      <c r="H296" s="256">
        <v>76.099999999999994</v>
      </c>
      <c r="I296" s="256">
        <v>220.1</v>
      </c>
      <c r="K296" s="115" t="s">
        <v>1034</v>
      </c>
      <c r="L296" s="274">
        <v>124.9</v>
      </c>
      <c r="M296" s="274">
        <v>29.2</v>
      </c>
      <c r="N296" s="256">
        <v>43.5</v>
      </c>
      <c r="O296" s="274">
        <v>137.30000000000001</v>
      </c>
      <c r="P296" s="274">
        <v>238.6</v>
      </c>
      <c r="Q296" s="274">
        <v>114.7</v>
      </c>
    </row>
    <row r="297" spans="3:17" x14ac:dyDescent="0.15">
      <c r="C297" s="255" t="s">
        <v>1035</v>
      </c>
      <c r="D297" s="256">
        <f t="shared" si="4"/>
        <v>3540</v>
      </c>
      <c r="E297" s="256">
        <v>3540</v>
      </c>
      <c r="F297" s="256">
        <v>0</v>
      </c>
      <c r="G297" s="256">
        <v>3792.3</v>
      </c>
      <c r="H297" s="256">
        <v>0</v>
      </c>
      <c r="I297" s="256">
        <v>19147.599999999999</v>
      </c>
      <c r="K297" s="115" t="s">
        <v>1035</v>
      </c>
      <c r="L297" s="274">
        <v>3424.3</v>
      </c>
      <c r="M297" s="274">
        <v>529.6</v>
      </c>
      <c r="N297" s="256">
        <v>232.6</v>
      </c>
      <c r="O297" s="274">
        <v>728.5</v>
      </c>
      <c r="P297" s="274">
        <v>5045</v>
      </c>
      <c r="Q297" s="274">
        <v>7965.7</v>
      </c>
    </row>
    <row r="298" spans="3:17" x14ac:dyDescent="0.15">
      <c r="C298" s="255" t="s">
        <v>1036</v>
      </c>
      <c r="D298" s="256">
        <f t="shared" si="4"/>
        <v>231</v>
      </c>
      <c r="E298" s="256">
        <v>231</v>
      </c>
      <c r="F298" s="256">
        <v>41.5</v>
      </c>
      <c r="G298" s="256">
        <v>0</v>
      </c>
      <c r="H298" s="256">
        <v>0</v>
      </c>
      <c r="I298" s="256">
        <v>0</v>
      </c>
      <c r="K298" s="115" t="s">
        <v>1036</v>
      </c>
      <c r="L298" s="274">
        <v>295.89999999999998</v>
      </c>
      <c r="M298" s="274">
        <v>0</v>
      </c>
      <c r="N298" s="256">
        <v>1137.0999999999999</v>
      </c>
      <c r="O298" s="274">
        <v>92</v>
      </c>
      <c r="P298" s="274">
        <v>123.7</v>
      </c>
      <c r="Q298" s="274">
        <v>1.3</v>
      </c>
    </row>
    <row r="299" spans="3:17" x14ac:dyDescent="0.15">
      <c r="C299" s="255" t="s">
        <v>1037</v>
      </c>
      <c r="D299" s="256">
        <f t="shared" si="4"/>
        <v>1726</v>
      </c>
      <c r="E299" s="256">
        <v>1726</v>
      </c>
      <c r="F299" s="256">
        <v>601.5</v>
      </c>
      <c r="G299" s="256">
        <v>669.8</v>
      </c>
      <c r="H299" s="256">
        <v>1259.7</v>
      </c>
      <c r="I299" s="256">
        <v>1641.5</v>
      </c>
      <c r="K299" s="115" t="s">
        <v>1037</v>
      </c>
      <c r="L299" s="274">
        <v>1398.1</v>
      </c>
      <c r="M299" s="274">
        <v>424.9</v>
      </c>
      <c r="N299" s="256">
        <v>256.2</v>
      </c>
      <c r="O299" s="274">
        <v>796.2</v>
      </c>
      <c r="P299" s="274">
        <v>1739.5</v>
      </c>
      <c r="Q299" s="274">
        <v>2856.8</v>
      </c>
    </row>
    <row r="300" spans="3:17" x14ac:dyDescent="0.15">
      <c r="C300" s="255" t="s">
        <v>1038</v>
      </c>
      <c r="D300" s="256">
        <f t="shared" si="4"/>
        <v>4641</v>
      </c>
      <c r="E300" s="256">
        <v>4641</v>
      </c>
      <c r="F300" s="256">
        <v>2395</v>
      </c>
      <c r="G300" s="256">
        <v>2755.9</v>
      </c>
      <c r="H300" s="256">
        <v>5322.9</v>
      </c>
      <c r="I300" s="256">
        <v>5956</v>
      </c>
      <c r="K300" s="115" t="s">
        <v>1038</v>
      </c>
      <c r="L300" s="274">
        <v>4874.2</v>
      </c>
      <c r="M300" s="274">
        <v>1520.6</v>
      </c>
      <c r="N300" s="256">
        <v>2354.6</v>
      </c>
      <c r="O300" s="274">
        <v>3819.4</v>
      </c>
      <c r="P300" s="274">
        <v>5423.3</v>
      </c>
      <c r="Q300" s="274">
        <v>8285.2999999999993</v>
      </c>
    </row>
    <row r="301" spans="3:17" x14ac:dyDescent="0.15">
      <c r="C301" s="255" t="s">
        <v>1039</v>
      </c>
      <c r="D301" s="256">
        <f t="shared" si="4"/>
        <v>1218</v>
      </c>
      <c r="E301" s="256">
        <v>1218</v>
      </c>
      <c r="F301" s="256">
        <v>474.8</v>
      </c>
      <c r="G301" s="256">
        <v>747.8</v>
      </c>
      <c r="H301" s="256">
        <v>1323.4</v>
      </c>
      <c r="I301" s="256">
        <v>1417</v>
      </c>
      <c r="K301" s="115" t="s">
        <v>1039</v>
      </c>
      <c r="L301" s="274">
        <v>1238.5</v>
      </c>
      <c r="M301" s="274">
        <v>294.8</v>
      </c>
      <c r="N301" s="256">
        <v>676.8</v>
      </c>
      <c r="O301" s="274">
        <v>1053.8</v>
      </c>
      <c r="P301" s="274">
        <v>1448.3</v>
      </c>
      <c r="Q301" s="274">
        <v>1931.4</v>
      </c>
    </row>
    <row r="302" spans="3:17" x14ac:dyDescent="0.15">
      <c r="C302" s="255" t="s">
        <v>1040</v>
      </c>
      <c r="D302" s="256">
        <f t="shared" si="4"/>
        <v>4702</v>
      </c>
      <c r="E302" s="256">
        <v>4702</v>
      </c>
      <c r="F302" s="256">
        <v>2522.9</v>
      </c>
      <c r="G302" s="256">
        <v>3259.8</v>
      </c>
      <c r="H302" s="256">
        <v>5736</v>
      </c>
      <c r="I302" s="256">
        <v>6768.7</v>
      </c>
      <c r="K302" s="115" t="s">
        <v>1257</v>
      </c>
      <c r="L302" s="274">
        <v>4902.8</v>
      </c>
      <c r="M302" s="274">
        <v>1139.9000000000001</v>
      </c>
      <c r="N302" s="256">
        <v>1948.1</v>
      </c>
      <c r="O302" s="274">
        <v>3784.3</v>
      </c>
      <c r="P302" s="274">
        <v>5984.4</v>
      </c>
      <c r="Q302" s="274">
        <v>8414.1</v>
      </c>
    </row>
    <row r="303" spans="3:17" x14ac:dyDescent="0.15">
      <c r="C303" s="255" t="s">
        <v>1041</v>
      </c>
      <c r="D303" s="256">
        <f t="shared" si="4"/>
        <v>523</v>
      </c>
      <c r="E303" s="256">
        <v>523</v>
      </c>
      <c r="F303" s="256">
        <v>247.1</v>
      </c>
      <c r="G303" s="256">
        <v>325.3</v>
      </c>
      <c r="H303" s="256">
        <v>412.8</v>
      </c>
      <c r="I303" s="256">
        <v>417.1</v>
      </c>
      <c r="K303" s="115" t="s">
        <v>1258</v>
      </c>
      <c r="L303" s="274">
        <v>393.8</v>
      </c>
      <c r="M303" s="274">
        <v>188.4</v>
      </c>
      <c r="N303" s="256">
        <v>163.80000000000001</v>
      </c>
      <c r="O303" s="274">
        <v>303.10000000000002</v>
      </c>
      <c r="P303" s="274">
        <v>419.4</v>
      </c>
      <c r="Q303" s="274">
        <v>694.9</v>
      </c>
    </row>
    <row r="304" spans="3:17" x14ac:dyDescent="0.15">
      <c r="C304" s="255" t="s">
        <v>1042</v>
      </c>
      <c r="D304" s="256">
        <f t="shared" si="4"/>
        <v>2415</v>
      </c>
      <c r="E304" s="256">
        <v>2415</v>
      </c>
      <c r="F304" s="256">
        <v>1417.9</v>
      </c>
      <c r="G304" s="256">
        <v>2549.8000000000002</v>
      </c>
      <c r="H304" s="256">
        <v>3365.5</v>
      </c>
      <c r="I304" s="256">
        <v>4094.2</v>
      </c>
      <c r="K304" s="115" t="s">
        <v>1259</v>
      </c>
      <c r="L304" s="274">
        <v>2468.6999999999998</v>
      </c>
      <c r="M304" s="274">
        <v>970.8</v>
      </c>
      <c r="N304" s="256">
        <v>916.8</v>
      </c>
      <c r="O304" s="274">
        <v>1550.7</v>
      </c>
      <c r="P304" s="274">
        <v>2774.6</v>
      </c>
      <c r="Q304" s="274">
        <v>4707.6000000000004</v>
      </c>
    </row>
    <row r="305" spans="2:17" x14ac:dyDescent="0.15">
      <c r="C305" s="255" t="s">
        <v>1043</v>
      </c>
      <c r="D305" s="256">
        <f t="shared" si="4"/>
        <v>651</v>
      </c>
      <c r="E305" s="256">
        <v>651</v>
      </c>
      <c r="F305" s="256">
        <v>558.9</v>
      </c>
      <c r="G305" s="256">
        <v>470.3</v>
      </c>
      <c r="H305" s="256">
        <v>568.79999999999995</v>
      </c>
      <c r="I305" s="256">
        <v>734.6</v>
      </c>
      <c r="K305" s="115" t="s">
        <v>1043</v>
      </c>
      <c r="L305" s="274">
        <v>723.5</v>
      </c>
      <c r="M305" s="274">
        <v>101.2</v>
      </c>
      <c r="N305" s="256">
        <v>165.6</v>
      </c>
      <c r="O305" s="274">
        <v>732.3</v>
      </c>
      <c r="P305" s="274">
        <v>689.3</v>
      </c>
      <c r="Q305" s="274">
        <v>1346.2</v>
      </c>
    </row>
    <row r="306" spans="2:17" x14ac:dyDescent="0.15">
      <c r="C306" s="255" t="s">
        <v>1044</v>
      </c>
      <c r="D306" s="256">
        <f t="shared" si="4"/>
        <v>98</v>
      </c>
      <c r="E306" s="256">
        <v>98</v>
      </c>
      <c r="F306" s="256">
        <v>55.2</v>
      </c>
      <c r="G306" s="256">
        <v>66.599999999999994</v>
      </c>
      <c r="H306" s="256">
        <v>184.5</v>
      </c>
      <c r="I306" s="256">
        <v>247.9</v>
      </c>
      <c r="K306" s="115" t="s">
        <v>1044</v>
      </c>
      <c r="L306" s="274">
        <v>191.8</v>
      </c>
      <c r="M306" s="274">
        <v>404</v>
      </c>
      <c r="N306" s="256">
        <v>29.7</v>
      </c>
      <c r="O306" s="274">
        <v>138.30000000000001</v>
      </c>
      <c r="P306" s="274">
        <v>165.2</v>
      </c>
      <c r="Q306" s="274">
        <v>343.7</v>
      </c>
    </row>
    <row r="307" spans="2:17" x14ac:dyDescent="0.15">
      <c r="C307" s="255" t="s">
        <v>1045</v>
      </c>
      <c r="D307" s="256">
        <f t="shared" si="4"/>
        <v>131</v>
      </c>
      <c r="E307" s="256">
        <v>131</v>
      </c>
      <c r="F307" s="256">
        <v>41.7</v>
      </c>
      <c r="G307" s="256">
        <v>17.3</v>
      </c>
      <c r="H307" s="256">
        <v>60.6</v>
      </c>
      <c r="I307" s="256">
        <v>58.3</v>
      </c>
      <c r="K307" s="115" t="s">
        <v>1260</v>
      </c>
      <c r="L307" s="274">
        <v>56.3</v>
      </c>
      <c r="M307" s="274">
        <v>16.899999999999999</v>
      </c>
      <c r="N307" s="256">
        <v>10.4</v>
      </c>
      <c r="O307" s="274">
        <v>60.7</v>
      </c>
      <c r="P307" s="274">
        <v>58.9</v>
      </c>
      <c r="Q307" s="274">
        <v>97</v>
      </c>
    </row>
    <row r="308" spans="2:17" x14ac:dyDescent="0.15">
      <c r="C308" s="255" t="s">
        <v>1046</v>
      </c>
      <c r="D308" s="256">
        <f t="shared" si="4"/>
        <v>213</v>
      </c>
      <c r="E308" s="256">
        <v>213</v>
      </c>
      <c r="F308" s="256">
        <v>132.6</v>
      </c>
      <c r="G308" s="256">
        <v>466.3</v>
      </c>
      <c r="H308" s="256">
        <v>320.3</v>
      </c>
      <c r="I308" s="256">
        <v>245.6</v>
      </c>
      <c r="K308" s="115" t="s">
        <v>1261</v>
      </c>
      <c r="L308" s="274">
        <v>216.9</v>
      </c>
      <c r="M308" s="274">
        <v>18.600000000000001</v>
      </c>
      <c r="N308" s="256">
        <v>10.9</v>
      </c>
      <c r="O308" s="274">
        <v>189.2</v>
      </c>
      <c r="P308" s="274">
        <v>327.9</v>
      </c>
      <c r="Q308" s="274">
        <v>372.4</v>
      </c>
    </row>
    <row r="309" spans="2:17" x14ac:dyDescent="0.15">
      <c r="C309" s="255" t="s">
        <v>1047</v>
      </c>
      <c r="D309" s="256">
        <f t="shared" si="4"/>
        <v>264</v>
      </c>
      <c r="E309" s="256">
        <v>264</v>
      </c>
      <c r="F309" s="256">
        <v>34.1</v>
      </c>
      <c r="G309" s="256">
        <v>0</v>
      </c>
      <c r="H309" s="256">
        <v>76</v>
      </c>
      <c r="I309" s="256">
        <v>81.400000000000006</v>
      </c>
      <c r="K309" s="115" t="s">
        <v>1047</v>
      </c>
      <c r="L309" s="274">
        <v>286.39999999999998</v>
      </c>
      <c r="M309" s="274">
        <v>827.9</v>
      </c>
      <c r="N309" s="256">
        <v>729.3</v>
      </c>
      <c r="O309" s="274">
        <v>139.4</v>
      </c>
      <c r="P309" s="274">
        <v>75.8</v>
      </c>
      <c r="Q309" s="274">
        <v>94.5</v>
      </c>
    </row>
    <row r="310" spans="2:17" x14ac:dyDescent="0.15">
      <c r="C310" s="255" t="s">
        <v>1048</v>
      </c>
      <c r="D310" s="256">
        <f t="shared" si="4"/>
        <v>96</v>
      </c>
      <c r="E310" s="256">
        <v>96</v>
      </c>
      <c r="F310" s="256">
        <v>28.1</v>
      </c>
      <c r="G310" s="256">
        <v>678.9</v>
      </c>
      <c r="H310" s="256">
        <v>39.4</v>
      </c>
      <c r="I310" s="256">
        <v>18.2</v>
      </c>
      <c r="K310" s="115" t="s">
        <v>1262</v>
      </c>
      <c r="L310" s="274">
        <v>83.2</v>
      </c>
      <c r="M310" s="274">
        <v>59.4</v>
      </c>
      <c r="N310" s="256">
        <v>34.799999999999997</v>
      </c>
      <c r="O310" s="274">
        <v>175.6</v>
      </c>
      <c r="P310" s="274">
        <v>74.900000000000006</v>
      </c>
    </row>
    <row r="311" spans="2:17" x14ac:dyDescent="0.15">
      <c r="B311" s="255" t="s">
        <v>188</v>
      </c>
      <c r="C311" s="255" t="s">
        <v>743</v>
      </c>
      <c r="D311" s="59">
        <v>384</v>
      </c>
      <c r="E311" s="59"/>
    </row>
    <row r="312" spans="2:17" x14ac:dyDescent="0.15">
      <c r="C312" s="255" t="s">
        <v>744</v>
      </c>
      <c r="D312" s="59">
        <v>534.6</v>
      </c>
      <c r="E312" s="59"/>
    </row>
    <row r="313" spans="2:17" x14ac:dyDescent="0.15">
      <c r="C313" s="255" t="s">
        <v>745</v>
      </c>
      <c r="D313" s="59">
        <v>534.6</v>
      </c>
      <c r="E313" s="59"/>
    </row>
    <row r="314" spans="2:17" x14ac:dyDescent="0.15">
      <c r="C314" s="255" t="s">
        <v>746</v>
      </c>
      <c r="D314" s="59">
        <v>1</v>
      </c>
      <c r="E314" s="59"/>
    </row>
    <row r="315" spans="2:17" x14ac:dyDescent="0.15">
      <c r="C315" s="255" t="s">
        <v>747</v>
      </c>
      <c r="D315" s="59">
        <v>1</v>
      </c>
      <c r="E315" s="59"/>
    </row>
    <row r="316" spans="2:17" x14ac:dyDescent="0.15">
      <c r="C316" s="255" t="s">
        <v>748</v>
      </c>
      <c r="D316" s="59">
        <v>0</v>
      </c>
      <c r="E316" s="59"/>
    </row>
    <row r="317" spans="2:17" x14ac:dyDescent="0.15">
      <c r="C317" s="255" t="s">
        <v>749</v>
      </c>
      <c r="D317" s="59">
        <v>0.2</v>
      </c>
      <c r="E317" s="59"/>
    </row>
    <row r="318" spans="2:17" x14ac:dyDescent="0.15">
      <c r="C318" s="255" t="s">
        <v>750</v>
      </c>
      <c r="D318" s="59">
        <v>0.4</v>
      </c>
      <c r="E318" s="59"/>
    </row>
    <row r="319" spans="2:17" x14ac:dyDescent="0.15">
      <c r="C319" s="255" t="s">
        <v>751</v>
      </c>
      <c r="D319" s="59">
        <v>37.9</v>
      </c>
      <c r="E319" s="59"/>
    </row>
    <row r="320" spans="2:17" x14ac:dyDescent="0.15">
      <c r="C320" s="255" t="s">
        <v>752</v>
      </c>
      <c r="D320" s="59">
        <v>1</v>
      </c>
      <c r="E320" s="59"/>
    </row>
    <row r="321" spans="3:5" x14ac:dyDescent="0.15">
      <c r="C321" s="255" t="s">
        <v>753</v>
      </c>
      <c r="D321" s="59">
        <v>75.099999999999994</v>
      </c>
      <c r="E321" s="59"/>
    </row>
    <row r="322" spans="3:5" x14ac:dyDescent="0.15">
      <c r="C322" s="255" t="s">
        <v>754</v>
      </c>
      <c r="D322" s="59">
        <v>1948.5</v>
      </c>
      <c r="E322" s="59"/>
    </row>
    <row r="323" spans="3:5" x14ac:dyDescent="0.15">
      <c r="C323" s="255" t="s">
        <v>192</v>
      </c>
      <c r="D323" s="59">
        <v>183861.1</v>
      </c>
      <c r="E323" s="59"/>
    </row>
    <row r="324" spans="3:5" x14ac:dyDescent="0.15">
      <c r="C324" s="255" t="s">
        <v>755</v>
      </c>
      <c r="D324" s="59">
        <v>20252.900000000001</v>
      </c>
      <c r="E324" s="59"/>
    </row>
    <row r="325" spans="3:5" x14ac:dyDescent="0.15">
      <c r="C325" s="255" t="s">
        <v>756</v>
      </c>
      <c r="D325" s="59">
        <v>64.599999999999994</v>
      </c>
      <c r="E325" s="59"/>
    </row>
    <row r="326" spans="3:5" x14ac:dyDescent="0.15">
      <c r="C326" s="255" t="s">
        <v>757</v>
      </c>
      <c r="D326" s="59">
        <v>43.6</v>
      </c>
      <c r="E326" s="59"/>
    </row>
    <row r="327" spans="3:5" x14ac:dyDescent="0.15">
      <c r="C327" s="255" t="s">
        <v>758</v>
      </c>
      <c r="D327" s="59">
        <v>1245</v>
      </c>
      <c r="E327" s="59"/>
    </row>
    <row r="328" spans="3:5" x14ac:dyDescent="0.15">
      <c r="C328" s="255" t="s">
        <v>759</v>
      </c>
      <c r="D328" s="59">
        <v>731.1</v>
      </c>
      <c r="E328" s="59"/>
    </row>
    <row r="329" spans="3:5" x14ac:dyDescent="0.15">
      <c r="C329" s="255" t="s">
        <v>760</v>
      </c>
      <c r="D329" s="59">
        <v>166.2</v>
      </c>
      <c r="E329" s="59"/>
    </row>
    <row r="330" spans="3:5" x14ac:dyDescent="0.15">
      <c r="C330" s="255" t="s">
        <v>761</v>
      </c>
      <c r="D330" s="59">
        <v>241.9</v>
      </c>
      <c r="E330" s="59"/>
    </row>
    <row r="331" spans="3:5" x14ac:dyDescent="0.15">
      <c r="C331" s="255" t="s">
        <v>762</v>
      </c>
      <c r="D331" s="59">
        <v>191.5</v>
      </c>
      <c r="E331" s="59"/>
    </row>
    <row r="332" spans="3:5" x14ac:dyDescent="0.15">
      <c r="C332" s="255" t="s">
        <v>763</v>
      </c>
      <c r="D332" s="59">
        <v>102.6</v>
      </c>
      <c r="E332" s="59"/>
    </row>
    <row r="333" spans="3:5" x14ac:dyDescent="0.15">
      <c r="C333" s="255" t="s">
        <v>764</v>
      </c>
      <c r="D333" s="59">
        <v>1238.9000000000001</v>
      </c>
      <c r="E333" s="59"/>
    </row>
    <row r="334" spans="3:5" x14ac:dyDescent="0.15">
      <c r="C334" s="255" t="s">
        <v>765</v>
      </c>
      <c r="D334" s="59">
        <v>522.29999999999995</v>
      </c>
      <c r="E334" s="59"/>
    </row>
    <row r="335" spans="3:5" x14ac:dyDescent="0.15">
      <c r="C335" s="255" t="s">
        <v>766</v>
      </c>
      <c r="D335" s="59">
        <v>43.1</v>
      </c>
      <c r="E335" s="59"/>
    </row>
    <row r="336" spans="3:5" x14ac:dyDescent="0.15">
      <c r="C336" s="255" t="s">
        <v>767</v>
      </c>
      <c r="D336" s="59">
        <v>594.79999999999995</v>
      </c>
      <c r="E336" s="59"/>
    </row>
    <row r="337" spans="3:5" x14ac:dyDescent="0.15">
      <c r="C337" s="255" t="s">
        <v>768</v>
      </c>
      <c r="D337" s="59">
        <v>27</v>
      </c>
      <c r="E337" s="59"/>
    </row>
    <row r="338" spans="3:5" x14ac:dyDescent="0.15">
      <c r="C338" s="255" t="s">
        <v>769</v>
      </c>
      <c r="D338" s="59">
        <v>24.8</v>
      </c>
      <c r="E338" s="59"/>
    </row>
    <row r="339" spans="3:5" x14ac:dyDescent="0.15">
      <c r="C339" s="255" t="s">
        <v>770</v>
      </c>
      <c r="D339" s="59">
        <v>804.7</v>
      </c>
      <c r="E339" s="59"/>
    </row>
    <row r="340" spans="3:5" x14ac:dyDescent="0.15">
      <c r="C340" s="255" t="s">
        <v>771</v>
      </c>
      <c r="D340" s="59">
        <v>945.2</v>
      </c>
      <c r="E340" s="59"/>
    </row>
    <row r="341" spans="3:5" x14ac:dyDescent="0.15">
      <c r="C341" s="255" t="s">
        <v>772</v>
      </c>
      <c r="D341" s="59">
        <v>169.7</v>
      </c>
      <c r="E341" s="59"/>
    </row>
    <row r="342" spans="3:5" x14ac:dyDescent="0.15">
      <c r="C342" s="255" t="s">
        <v>773</v>
      </c>
      <c r="D342" s="59">
        <v>48</v>
      </c>
      <c r="E342" s="59"/>
    </row>
    <row r="343" spans="3:5" x14ac:dyDescent="0.15">
      <c r="C343" s="255" t="s">
        <v>774</v>
      </c>
      <c r="D343" s="59">
        <v>41</v>
      </c>
      <c r="E343" s="59"/>
    </row>
    <row r="344" spans="3:5" x14ac:dyDescent="0.15">
      <c r="C344" s="255" t="s">
        <v>775</v>
      </c>
      <c r="D344" s="59">
        <v>28.6</v>
      </c>
      <c r="E344" s="59"/>
    </row>
    <row r="345" spans="3:5" x14ac:dyDescent="0.15">
      <c r="C345" s="255" t="s">
        <v>776</v>
      </c>
      <c r="D345" s="59">
        <v>121.3</v>
      </c>
      <c r="E345" s="59"/>
    </row>
    <row r="346" spans="3:5" x14ac:dyDescent="0.15">
      <c r="C346" s="255" t="s">
        <v>777</v>
      </c>
      <c r="D346" s="59">
        <v>379.1</v>
      </c>
      <c r="E346" s="59"/>
    </row>
    <row r="347" spans="3:5" x14ac:dyDescent="0.15">
      <c r="C347" s="255" t="s">
        <v>778</v>
      </c>
      <c r="D347" s="59">
        <v>227.2</v>
      </c>
      <c r="E347" s="59"/>
    </row>
    <row r="348" spans="3:5" x14ac:dyDescent="0.15">
      <c r="C348" s="255" t="s">
        <v>779</v>
      </c>
      <c r="D348" s="59">
        <v>292.89999999999998</v>
      </c>
      <c r="E348" s="59"/>
    </row>
    <row r="349" spans="3:5" x14ac:dyDescent="0.15">
      <c r="C349" s="255" t="s">
        <v>780</v>
      </c>
      <c r="D349" s="59">
        <v>1.7</v>
      </c>
      <c r="E349" s="59"/>
    </row>
    <row r="350" spans="3:5" x14ac:dyDescent="0.15">
      <c r="C350" s="255" t="s">
        <v>781</v>
      </c>
      <c r="D350" s="59">
        <v>388.2</v>
      </c>
      <c r="E350" s="59"/>
    </row>
    <row r="351" spans="3:5" x14ac:dyDescent="0.15">
      <c r="C351" s="255" t="s">
        <v>782</v>
      </c>
      <c r="D351" s="59">
        <v>945.7</v>
      </c>
      <c r="E351" s="59"/>
    </row>
    <row r="352" spans="3:5" x14ac:dyDescent="0.15">
      <c r="C352" s="255" t="s">
        <v>783</v>
      </c>
      <c r="D352" s="59">
        <v>434</v>
      </c>
      <c r="E352" s="59"/>
    </row>
    <row r="353" spans="3:5" x14ac:dyDescent="0.15">
      <c r="C353" s="255" t="s">
        <v>784</v>
      </c>
      <c r="D353" s="59">
        <v>340.8</v>
      </c>
      <c r="E353" s="59"/>
    </row>
    <row r="354" spans="3:5" x14ac:dyDescent="0.15">
      <c r="C354" s="255" t="s">
        <v>785</v>
      </c>
      <c r="D354" s="59">
        <v>290.7</v>
      </c>
      <c r="E354" s="59"/>
    </row>
    <row r="355" spans="3:5" x14ac:dyDescent="0.15">
      <c r="C355" s="255" t="s">
        <v>786</v>
      </c>
      <c r="D355" s="59">
        <v>68.099999999999994</v>
      </c>
      <c r="E355" s="59"/>
    </row>
    <row r="356" spans="3:5" x14ac:dyDescent="0.15">
      <c r="C356" s="255" t="s">
        <v>787</v>
      </c>
      <c r="D356" s="59">
        <v>45.6</v>
      </c>
      <c r="E356" s="59"/>
    </row>
    <row r="357" spans="3:5" x14ac:dyDescent="0.15">
      <c r="C357" s="255" t="s">
        <v>788</v>
      </c>
      <c r="D357" s="59">
        <v>81.400000000000006</v>
      </c>
      <c r="E357" s="59"/>
    </row>
    <row r="358" spans="3:5" x14ac:dyDescent="0.15">
      <c r="C358" s="255" t="s">
        <v>789</v>
      </c>
      <c r="D358" s="59">
        <v>0.7</v>
      </c>
      <c r="E358" s="59"/>
    </row>
    <row r="359" spans="3:5" x14ac:dyDescent="0.15">
      <c r="C359" s="255" t="s">
        <v>790</v>
      </c>
      <c r="D359" s="59">
        <v>1107.7</v>
      </c>
      <c r="E359" s="59"/>
    </row>
    <row r="360" spans="3:5" x14ac:dyDescent="0.15">
      <c r="C360" s="255" t="s">
        <v>791</v>
      </c>
      <c r="D360" s="59">
        <v>49.3</v>
      </c>
      <c r="E360" s="59"/>
    </row>
    <row r="361" spans="3:5" x14ac:dyDescent="0.15">
      <c r="C361" s="255" t="s">
        <v>792</v>
      </c>
      <c r="D361" s="59">
        <v>463.8</v>
      </c>
      <c r="E361" s="59"/>
    </row>
    <row r="362" spans="3:5" x14ac:dyDescent="0.15">
      <c r="C362" s="255" t="s">
        <v>793</v>
      </c>
      <c r="D362" s="59">
        <v>98.1</v>
      </c>
      <c r="E362" s="59"/>
    </row>
    <row r="363" spans="3:5" x14ac:dyDescent="0.15">
      <c r="C363" s="255" t="s">
        <v>794</v>
      </c>
      <c r="D363" s="59">
        <v>1218.7</v>
      </c>
      <c r="E363" s="59"/>
    </row>
    <row r="364" spans="3:5" x14ac:dyDescent="0.15">
      <c r="C364" s="255" t="s">
        <v>795</v>
      </c>
      <c r="D364" s="59">
        <v>160.1</v>
      </c>
      <c r="E364" s="59"/>
    </row>
    <row r="365" spans="3:5" x14ac:dyDescent="0.15">
      <c r="C365" s="255" t="s">
        <v>796</v>
      </c>
      <c r="D365" s="59">
        <v>338.4</v>
      </c>
      <c r="E365" s="59"/>
    </row>
    <row r="366" spans="3:5" x14ac:dyDescent="0.15">
      <c r="C366" s="255" t="s">
        <v>797</v>
      </c>
      <c r="D366" s="59">
        <v>261.8</v>
      </c>
      <c r="E366" s="59"/>
    </row>
    <row r="367" spans="3:5" x14ac:dyDescent="0.15">
      <c r="C367" s="255" t="s">
        <v>798</v>
      </c>
      <c r="D367" s="59">
        <v>263.3</v>
      </c>
      <c r="E367" s="59"/>
    </row>
    <row r="368" spans="3:5" x14ac:dyDescent="0.15">
      <c r="C368" s="255" t="s">
        <v>799</v>
      </c>
      <c r="D368" s="59">
        <v>46</v>
      </c>
      <c r="E368" s="59"/>
    </row>
    <row r="369" spans="3:5" x14ac:dyDescent="0.15">
      <c r="C369" s="255" t="s">
        <v>800</v>
      </c>
      <c r="D369" s="59">
        <v>38.1</v>
      </c>
      <c r="E369" s="59"/>
    </row>
    <row r="370" spans="3:5" x14ac:dyDescent="0.15">
      <c r="C370" s="255" t="s">
        <v>801</v>
      </c>
      <c r="D370" s="59">
        <v>120.3</v>
      </c>
      <c r="E370" s="59"/>
    </row>
    <row r="371" spans="3:5" x14ac:dyDescent="0.15">
      <c r="C371" s="255" t="s">
        <v>802</v>
      </c>
      <c r="D371" s="59">
        <v>690.2</v>
      </c>
      <c r="E371" s="59"/>
    </row>
    <row r="372" spans="3:5" x14ac:dyDescent="0.15">
      <c r="C372" s="255" t="s">
        <v>803</v>
      </c>
      <c r="D372" s="59">
        <v>821.8</v>
      </c>
      <c r="E372" s="59"/>
    </row>
    <row r="373" spans="3:5" x14ac:dyDescent="0.15">
      <c r="C373" s="255" t="s">
        <v>804</v>
      </c>
      <c r="D373" s="59">
        <v>322.3</v>
      </c>
      <c r="E373" s="59"/>
    </row>
    <row r="374" spans="3:5" x14ac:dyDescent="0.15">
      <c r="C374" s="255" t="s">
        <v>805</v>
      </c>
      <c r="D374" s="59">
        <v>7</v>
      </c>
      <c r="E374" s="59"/>
    </row>
    <row r="375" spans="3:5" x14ac:dyDescent="0.15">
      <c r="C375" s="255" t="s">
        <v>806</v>
      </c>
      <c r="D375" s="59">
        <v>440.1</v>
      </c>
      <c r="E375" s="59"/>
    </row>
    <row r="376" spans="3:5" x14ac:dyDescent="0.15">
      <c r="C376" s="255" t="s">
        <v>807</v>
      </c>
      <c r="D376" s="59">
        <v>181.5</v>
      </c>
      <c r="E376" s="59"/>
    </row>
    <row r="377" spans="3:5" x14ac:dyDescent="0.15">
      <c r="C377" s="255" t="s">
        <v>808</v>
      </c>
      <c r="D377" s="59">
        <v>6.1</v>
      </c>
      <c r="E377" s="59"/>
    </row>
    <row r="378" spans="3:5" x14ac:dyDescent="0.15">
      <c r="C378" s="255" t="s">
        <v>809</v>
      </c>
      <c r="D378" s="59">
        <v>357.2</v>
      </c>
      <c r="E378" s="59"/>
    </row>
    <row r="379" spans="3:5" x14ac:dyDescent="0.15">
      <c r="C379" s="255" t="s">
        <v>810</v>
      </c>
      <c r="D379" s="59">
        <v>119.6</v>
      </c>
      <c r="E379" s="59"/>
    </row>
    <row r="380" spans="3:5" x14ac:dyDescent="0.15">
      <c r="C380" s="255" t="s">
        <v>811</v>
      </c>
      <c r="D380" s="59">
        <v>554</v>
      </c>
      <c r="E380" s="59"/>
    </row>
    <row r="381" spans="3:5" x14ac:dyDescent="0.15">
      <c r="C381" s="255" t="s">
        <v>812</v>
      </c>
      <c r="D381" s="59">
        <v>112</v>
      </c>
      <c r="E381" s="59"/>
    </row>
    <row r="382" spans="3:5" x14ac:dyDescent="0.15">
      <c r="C382" s="255" t="s">
        <v>813</v>
      </c>
      <c r="D382" s="59">
        <v>14.3</v>
      </c>
      <c r="E382" s="59"/>
    </row>
    <row r="383" spans="3:5" x14ac:dyDescent="0.15">
      <c r="C383" s="255" t="s">
        <v>814</v>
      </c>
      <c r="D383" s="59">
        <v>141.69999999999999</v>
      </c>
      <c r="E383" s="59"/>
    </row>
    <row r="384" spans="3:5" x14ac:dyDescent="0.15">
      <c r="C384" s="255" t="s">
        <v>815</v>
      </c>
      <c r="D384" s="59">
        <v>1043</v>
      </c>
      <c r="E384" s="59"/>
    </row>
    <row r="385" spans="3:5" x14ac:dyDescent="0.15">
      <c r="C385" s="255" t="s">
        <v>816</v>
      </c>
      <c r="D385" s="59">
        <v>384</v>
      </c>
      <c r="E385" s="59"/>
    </row>
    <row r="386" spans="3:5" x14ac:dyDescent="0.15">
      <c r="C386" s="255" t="s">
        <v>817</v>
      </c>
      <c r="D386" s="59">
        <v>4723.2</v>
      </c>
      <c r="E386" s="59"/>
    </row>
    <row r="387" spans="3:5" x14ac:dyDescent="0.15">
      <c r="C387" s="255" t="s">
        <v>818</v>
      </c>
      <c r="D387" s="59">
        <v>510.2</v>
      </c>
      <c r="E387" s="59"/>
    </row>
    <row r="388" spans="3:5" x14ac:dyDescent="0.15">
      <c r="C388" s="255" t="s">
        <v>819</v>
      </c>
      <c r="D388" s="59">
        <v>8.9</v>
      </c>
      <c r="E388" s="59"/>
    </row>
    <row r="389" spans="3:5" x14ac:dyDescent="0.15">
      <c r="C389" s="255" t="s">
        <v>820</v>
      </c>
      <c r="D389" s="59">
        <v>937.6</v>
      </c>
      <c r="E389" s="59"/>
    </row>
    <row r="390" spans="3:5" x14ac:dyDescent="0.15">
      <c r="C390" s="255" t="s">
        <v>821</v>
      </c>
      <c r="D390" s="59">
        <v>18.600000000000001</v>
      </c>
      <c r="E390" s="59"/>
    </row>
    <row r="391" spans="3:5" x14ac:dyDescent="0.15">
      <c r="C391" s="255" t="s">
        <v>822</v>
      </c>
      <c r="D391" s="59">
        <v>63</v>
      </c>
      <c r="E391" s="59"/>
    </row>
    <row r="392" spans="3:5" x14ac:dyDescent="0.15">
      <c r="C392" s="255" t="s">
        <v>823</v>
      </c>
      <c r="D392" s="59">
        <v>1.1000000000000001</v>
      </c>
      <c r="E392" s="59"/>
    </row>
    <row r="393" spans="3:5" x14ac:dyDescent="0.15">
      <c r="C393" s="255" t="s">
        <v>824</v>
      </c>
      <c r="D393" s="59">
        <v>344.1</v>
      </c>
      <c r="E393" s="59"/>
    </row>
    <row r="394" spans="3:5" x14ac:dyDescent="0.15">
      <c r="C394" s="255" t="s">
        <v>825</v>
      </c>
      <c r="D394" s="59">
        <v>491.1</v>
      </c>
      <c r="E394" s="59"/>
    </row>
    <row r="395" spans="3:5" x14ac:dyDescent="0.15">
      <c r="C395" s="255" t="s">
        <v>826</v>
      </c>
      <c r="D395" s="59">
        <v>6.9</v>
      </c>
      <c r="E395" s="59"/>
    </row>
    <row r="396" spans="3:5" x14ac:dyDescent="0.15">
      <c r="C396" s="255" t="s">
        <v>827</v>
      </c>
      <c r="D396" s="59">
        <v>3.6</v>
      </c>
      <c r="E396" s="59"/>
    </row>
    <row r="397" spans="3:5" x14ac:dyDescent="0.15">
      <c r="C397" s="255" t="s">
        <v>828</v>
      </c>
      <c r="D397" s="59">
        <v>2061.6</v>
      </c>
      <c r="E397" s="59"/>
    </row>
    <row r="398" spans="3:5" x14ac:dyDescent="0.15">
      <c r="C398" s="255" t="s">
        <v>829</v>
      </c>
      <c r="D398" s="59">
        <v>1.8</v>
      </c>
      <c r="E398" s="59"/>
    </row>
    <row r="399" spans="3:5" x14ac:dyDescent="0.15">
      <c r="C399" s="255" t="s">
        <v>830</v>
      </c>
      <c r="D399" s="59">
        <v>274.8</v>
      </c>
      <c r="E399" s="59"/>
    </row>
    <row r="400" spans="3:5" x14ac:dyDescent="0.15">
      <c r="C400" s="255" t="s">
        <v>831</v>
      </c>
      <c r="D400" s="59">
        <v>0</v>
      </c>
      <c r="E400" s="59"/>
    </row>
    <row r="401" spans="3:5" x14ac:dyDescent="0.15">
      <c r="C401" s="255" t="s">
        <v>832</v>
      </c>
      <c r="D401" s="59">
        <v>6691.3</v>
      </c>
      <c r="E401" s="59"/>
    </row>
    <row r="402" spans="3:5" x14ac:dyDescent="0.15">
      <c r="C402" s="255" t="s">
        <v>833</v>
      </c>
      <c r="D402" s="59">
        <v>31.1</v>
      </c>
      <c r="E402" s="59"/>
    </row>
    <row r="403" spans="3:5" x14ac:dyDescent="0.15">
      <c r="C403" s="255" t="s">
        <v>834</v>
      </c>
      <c r="D403" s="59">
        <v>2375.3000000000002</v>
      </c>
      <c r="E403" s="59"/>
    </row>
    <row r="404" spans="3:5" x14ac:dyDescent="0.15">
      <c r="C404" s="255" t="s">
        <v>835</v>
      </c>
      <c r="D404" s="59">
        <v>2563.5</v>
      </c>
      <c r="E404" s="59"/>
    </row>
    <row r="405" spans="3:5" x14ac:dyDescent="0.15">
      <c r="C405" s="255" t="s">
        <v>836</v>
      </c>
      <c r="D405" s="59">
        <v>179</v>
      </c>
      <c r="E405" s="59"/>
    </row>
    <row r="406" spans="3:5" x14ac:dyDescent="0.15">
      <c r="C406" s="255" t="s">
        <v>837</v>
      </c>
      <c r="D406" s="59">
        <v>242.1</v>
      </c>
      <c r="E406" s="59"/>
    </row>
    <row r="407" spans="3:5" x14ac:dyDescent="0.15">
      <c r="C407" s="255" t="s">
        <v>838</v>
      </c>
      <c r="D407" s="59">
        <v>42.8</v>
      </c>
      <c r="E407" s="59"/>
    </row>
    <row r="408" spans="3:5" x14ac:dyDescent="0.15">
      <c r="C408" s="255" t="s">
        <v>839</v>
      </c>
      <c r="D408" s="59">
        <v>31.3</v>
      </c>
      <c r="E408" s="59"/>
    </row>
    <row r="409" spans="3:5" x14ac:dyDescent="0.15">
      <c r="C409" s="255" t="s">
        <v>840</v>
      </c>
      <c r="D409" s="59">
        <v>4.5999999999999996</v>
      </c>
      <c r="E409" s="59"/>
    </row>
    <row r="410" spans="3:5" x14ac:dyDescent="0.15">
      <c r="C410" s="255" t="s">
        <v>841</v>
      </c>
      <c r="D410" s="59">
        <v>583.4</v>
      </c>
      <c r="E410" s="59"/>
    </row>
    <row r="411" spans="3:5" x14ac:dyDescent="0.15">
      <c r="C411" s="255" t="s">
        <v>842</v>
      </c>
      <c r="D411" s="59">
        <v>578.4</v>
      </c>
      <c r="E411" s="59"/>
    </row>
    <row r="412" spans="3:5" x14ac:dyDescent="0.15">
      <c r="C412" s="255" t="s">
        <v>843</v>
      </c>
      <c r="D412" s="59">
        <v>49.8</v>
      </c>
      <c r="E412" s="59"/>
    </row>
    <row r="413" spans="3:5" x14ac:dyDescent="0.15">
      <c r="C413" s="255" t="s">
        <v>844</v>
      </c>
      <c r="D413" s="59">
        <v>10</v>
      </c>
      <c r="E413" s="59"/>
    </row>
    <row r="414" spans="3:5" x14ac:dyDescent="0.15">
      <c r="C414" s="255" t="s">
        <v>845</v>
      </c>
      <c r="D414" s="59">
        <v>65465.599999999999</v>
      </c>
      <c r="E414" s="59"/>
    </row>
    <row r="415" spans="3:5" x14ac:dyDescent="0.15">
      <c r="C415" s="255" t="s">
        <v>846</v>
      </c>
      <c r="D415" s="59">
        <v>34909.4</v>
      </c>
      <c r="E415" s="59"/>
    </row>
    <row r="416" spans="3:5" x14ac:dyDescent="0.15">
      <c r="C416" s="255" t="s">
        <v>847</v>
      </c>
      <c r="D416" s="59">
        <v>24.8</v>
      </c>
      <c r="E416" s="59"/>
    </row>
    <row r="417" spans="3:5" x14ac:dyDescent="0.15">
      <c r="C417" s="255" t="s">
        <v>848</v>
      </c>
      <c r="D417" s="59">
        <v>8583</v>
      </c>
      <c r="E417" s="59"/>
    </row>
    <row r="418" spans="3:5" x14ac:dyDescent="0.15">
      <c r="C418" s="255" t="s">
        <v>849</v>
      </c>
      <c r="D418" s="59">
        <v>576.1</v>
      </c>
      <c r="E418" s="59"/>
    </row>
    <row r="419" spans="3:5" x14ac:dyDescent="0.15">
      <c r="C419" s="255" t="s">
        <v>850</v>
      </c>
      <c r="D419" s="59">
        <v>641</v>
      </c>
      <c r="E419" s="59"/>
    </row>
    <row r="420" spans="3:5" x14ac:dyDescent="0.15">
      <c r="C420" s="255" t="s">
        <v>851</v>
      </c>
      <c r="D420" s="59">
        <v>0</v>
      </c>
      <c r="E420" s="59"/>
    </row>
    <row r="421" spans="3:5" x14ac:dyDescent="0.15">
      <c r="C421" s="255" t="s">
        <v>852</v>
      </c>
      <c r="D421" s="59">
        <v>0</v>
      </c>
      <c r="E421" s="59"/>
    </row>
    <row r="422" spans="3:5" x14ac:dyDescent="0.15">
      <c r="C422" s="255" t="s">
        <v>853</v>
      </c>
      <c r="D422" s="59">
        <v>31.7</v>
      </c>
      <c r="E422" s="59"/>
    </row>
    <row r="423" spans="3:5" x14ac:dyDescent="0.15">
      <c r="C423" s="255" t="s">
        <v>854</v>
      </c>
      <c r="D423" s="59">
        <v>0</v>
      </c>
      <c r="E423" s="59"/>
    </row>
    <row r="424" spans="3:5" x14ac:dyDescent="0.15">
      <c r="C424" s="255" t="s">
        <v>855</v>
      </c>
      <c r="D424" s="59">
        <v>98.1</v>
      </c>
      <c r="E424" s="59"/>
    </row>
    <row r="425" spans="3:5" x14ac:dyDescent="0.15">
      <c r="C425" s="255" t="s">
        <v>856</v>
      </c>
      <c r="D425" s="59">
        <v>682.6</v>
      </c>
      <c r="E425" s="59"/>
    </row>
    <row r="426" spans="3:5" x14ac:dyDescent="0.15">
      <c r="C426" s="255" t="s">
        <v>857</v>
      </c>
      <c r="D426" s="59">
        <v>1726.3</v>
      </c>
      <c r="E426" s="59"/>
    </row>
    <row r="427" spans="3:5" x14ac:dyDescent="0.15">
      <c r="C427" s="255" t="s">
        <v>858</v>
      </c>
      <c r="D427" s="59">
        <v>1801.3</v>
      </c>
      <c r="E427" s="59"/>
    </row>
    <row r="428" spans="3:5" x14ac:dyDescent="0.15">
      <c r="C428" s="255" t="s">
        <v>859</v>
      </c>
      <c r="D428" s="59">
        <v>1073</v>
      </c>
      <c r="E428" s="59"/>
    </row>
    <row r="429" spans="3:5" x14ac:dyDescent="0.15">
      <c r="C429" s="255" t="s">
        <v>860</v>
      </c>
      <c r="D429" s="59">
        <v>62.7</v>
      </c>
      <c r="E429" s="59"/>
    </row>
    <row r="430" spans="3:5" x14ac:dyDescent="0.15">
      <c r="C430" s="255" t="s">
        <v>861</v>
      </c>
      <c r="D430" s="59">
        <v>1291</v>
      </c>
      <c r="E430" s="59"/>
    </row>
    <row r="431" spans="3:5" x14ac:dyDescent="0.15">
      <c r="C431" s="255" t="s">
        <v>862</v>
      </c>
      <c r="D431" s="59">
        <v>4392</v>
      </c>
      <c r="E431" s="59"/>
    </row>
    <row r="432" spans="3:5" x14ac:dyDescent="0.15">
      <c r="C432" s="255" t="s">
        <v>863</v>
      </c>
      <c r="D432" s="59">
        <v>711.7</v>
      </c>
      <c r="E432" s="59"/>
    </row>
    <row r="433" spans="3:5" x14ac:dyDescent="0.15">
      <c r="C433" s="255" t="s">
        <v>864</v>
      </c>
      <c r="D433" s="59">
        <v>12.9</v>
      </c>
      <c r="E433" s="59"/>
    </row>
    <row r="434" spans="3:5" x14ac:dyDescent="0.15">
      <c r="C434" s="255" t="s">
        <v>865</v>
      </c>
      <c r="D434" s="59">
        <v>342.5</v>
      </c>
      <c r="E434" s="59"/>
    </row>
    <row r="435" spans="3:5" x14ac:dyDescent="0.15">
      <c r="C435" s="255" t="s">
        <v>866</v>
      </c>
      <c r="D435" s="59">
        <v>12.9</v>
      </c>
      <c r="E435" s="59"/>
    </row>
    <row r="436" spans="3:5" x14ac:dyDescent="0.15">
      <c r="C436" s="255" t="s">
        <v>867</v>
      </c>
      <c r="D436" s="59">
        <v>548.20000000000005</v>
      </c>
      <c r="E436" s="59"/>
    </row>
    <row r="437" spans="3:5" x14ac:dyDescent="0.15">
      <c r="C437" s="255" t="s">
        <v>868</v>
      </c>
      <c r="D437" s="59">
        <v>7944.4</v>
      </c>
      <c r="E437" s="59"/>
    </row>
    <row r="438" spans="3:5" x14ac:dyDescent="0.15">
      <c r="C438" s="255" t="s">
        <v>869</v>
      </c>
      <c r="D438" s="59">
        <v>8902.4</v>
      </c>
      <c r="E438" s="59"/>
    </row>
    <row r="439" spans="3:5" x14ac:dyDescent="0.15">
      <c r="C439" s="255" t="s">
        <v>870</v>
      </c>
      <c r="D439" s="59">
        <v>2937.3</v>
      </c>
      <c r="E439" s="59"/>
    </row>
    <row r="440" spans="3:5" x14ac:dyDescent="0.15">
      <c r="C440" s="255" t="s">
        <v>871</v>
      </c>
      <c r="D440" s="59">
        <v>216.7</v>
      </c>
      <c r="E440" s="59"/>
    </row>
    <row r="441" spans="3:5" x14ac:dyDescent="0.15">
      <c r="C441" s="255" t="s">
        <v>872</v>
      </c>
      <c r="D441" s="59">
        <v>199.6</v>
      </c>
      <c r="E441" s="59"/>
    </row>
    <row r="442" spans="3:5" x14ac:dyDescent="0.15">
      <c r="C442" s="255" t="s">
        <v>873</v>
      </c>
      <c r="D442" s="59">
        <v>734.8</v>
      </c>
      <c r="E442" s="59"/>
    </row>
    <row r="443" spans="3:5" x14ac:dyDescent="0.15">
      <c r="C443" s="255" t="s">
        <v>874</v>
      </c>
      <c r="D443" s="59">
        <v>193</v>
      </c>
      <c r="E443" s="59"/>
    </row>
    <row r="444" spans="3:5" x14ac:dyDescent="0.15">
      <c r="C444" s="255" t="s">
        <v>875</v>
      </c>
      <c r="D444" s="59">
        <v>25.5</v>
      </c>
      <c r="E444" s="59"/>
    </row>
    <row r="445" spans="3:5" x14ac:dyDescent="0.15">
      <c r="C445" s="255" t="s">
        <v>876</v>
      </c>
      <c r="D445" s="59">
        <v>0</v>
      </c>
      <c r="E445" s="59"/>
    </row>
    <row r="446" spans="3:5" x14ac:dyDescent="0.15">
      <c r="C446" s="255" t="s">
        <v>877</v>
      </c>
      <c r="D446" s="59">
        <v>12.6</v>
      </c>
      <c r="E446" s="59"/>
    </row>
    <row r="447" spans="3:5" x14ac:dyDescent="0.15">
      <c r="C447" s="255" t="s">
        <v>878</v>
      </c>
      <c r="D447" s="59">
        <v>68.400000000000006</v>
      </c>
      <c r="E447" s="59"/>
    </row>
    <row r="448" spans="3:5" x14ac:dyDescent="0.15">
      <c r="C448" s="255" t="s">
        <v>879</v>
      </c>
      <c r="D448" s="59">
        <v>227.8</v>
      </c>
      <c r="E448" s="59"/>
    </row>
    <row r="449" spans="3:5" x14ac:dyDescent="0.15">
      <c r="C449" s="255" t="s">
        <v>880</v>
      </c>
      <c r="D449" s="59">
        <v>29.2</v>
      </c>
      <c r="E449" s="59"/>
    </row>
    <row r="450" spans="3:5" x14ac:dyDescent="0.15">
      <c r="C450" s="255" t="s">
        <v>881</v>
      </c>
      <c r="D450" s="59">
        <v>0</v>
      </c>
      <c r="E450" s="59"/>
    </row>
    <row r="451" spans="3:5" x14ac:dyDescent="0.15">
      <c r="C451" s="255" t="s">
        <v>882</v>
      </c>
      <c r="D451" s="59">
        <v>82.6</v>
      </c>
      <c r="E451" s="59"/>
    </row>
    <row r="452" spans="3:5" x14ac:dyDescent="0.15">
      <c r="C452" s="255" t="s">
        <v>883</v>
      </c>
      <c r="D452" s="59">
        <v>276.89999999999998</v>
      </c>
      <c r="E452" s="59"/>
    </row>
    <row r="453" spans="3:5" x14ac:dyDescent="0.15">
      <c r="C453" s="255" t="s">
        <v>884</v>
      </c>
      <c r="D453" s="59">
        <v>375.3</v>
      </c>
      <c r="E453" s="59"/>
    </row>
    <row r="454" spans="3:5" x14ac:dyDescent="0.15">
      <c r="C454" s="255" t="s">
        <v>885</v>
      </c>
      <c r="D454" s="59">
        <v>185.1</v>
      </c>
      <c r="E454" s="59"/>
    </row>
    <row r="455" spans="3:5" x14ac:dyDescent="0.15">
      <c r="C455" s="255" t="s">
        <v>886</v>
      </c>
      <c r="D455" s="59">
        <v>29.4</v>
      </c>
      <c r="E455" s="59"/>
    </row>
    <row r="456" spans="3:5" x14ac:dyDescent="0.15">
      <c r="C456" s="255" t="s">
        <v>887</v>
      </c>
      <c r="D456" s="59">
        <v>236.9</v>
      </c>
      <c r="E456" s="59"/>
    </row>
    <row r="457" spans="3:5" x14ac:dyDescent="0.15">
      <c r="C457" s="255" t="s">
        <v>888</v>
      </c>
      <c r="D457" s="59">
        <v>0.1</v>
      </c>
      <c r="E457" s="59"/>
    </row>
    <row r="458" spans="3:5" x14ac:dyDescent="0.15">
      <c r="C458" s="255" t="s">
        <v>889</v>
      </c>
      <c r="D458" s="59">
        <v>98.9</v>
      </c>
      <c r="E458" s="59"/>
    </row>
    <row r="459" spans="3:5" x14ac:dyDescent="0.15">
      <c r="C459" s="255" t="s">
        <v>890</v>
      </c>
      <c r="D459" s="59">
        <v>30.4</v>
      </c>
      <c r="E459" s="59"/>
    </row>
    <row r="460" spans="3:5" x14ac:dyDescent="0.15">
      <c r="C460" s="255" t="s">
        <v>891</v>
      </c>
      <c r="D460" s="59">
        <v>0.3</v>
      </c>
      <c r="E460" s="59"/>
    </row>
    <row r="461" spans="3:5" x14ac:dyDescent="0.15">
      <c r="C461" s="255" t="s">
        <v>892</v>
      </c>
      <c r="D461" s="59">
        <v>0.1</v>
      </c>
      <c r="E461" s="59"/>
    </row>
    <row r="462" spans="3:5" x14ac:dyDescent="0.15">
      <c r="C462" s="255" t="s">
        <v>893</v>
      </c>
      <c r="D462" s="59">
        <v>244.4</v>
      </c>
      <c r="E462" s="59"/>
    </row>
    <row r="463" spans="3:5" x14ac:dyDescent="0.15">
      <c r="C463" s="255" t="s">
        <v>894</v>
      </c>
      <c r="D463" s="59">
        <v>0</v>
      </c>
      <c r="E463" s="59"/>
    </row>
    <row r="464" spans="3:5" x14ac:dyDescent="0.15">
      <c r="C464" s="255" t="s">
        <v>895</v>
      </c>
      <c r="D464" s="59">
        <v>243.2</v>
      </c>
      <c r="E464" s="59"/>
    </row>
    <row r="465" spans="3:5" x14ac:dyDescent="0.15">
      <c r="C465" s="255" t="s">
        <v>896</v>
      </c>
      <c r="D465" s="59">
        <v>57.1</v>
      </c>
      <c r="E465" s="59"/>
    </row>
    <row r="466" spans="3:5" x14ac:dyDescent="0.15">
      <c r="C466" s="255" t="s">
        <v>897</v>
      </c>
      <c r="D466" s="59">
        <v>509</v>
      </c>
      <c r="E466" s="59"/>
    </row>
    <row r="467" spans="3:5" x14ac:dyDescent="0.15">
      <c r="C467" s="255" t="s">
        <v>898</v>
      </c>
      <c r="D467" s="59">
        <v>162.5</v>
      </c>
      <c r="E467" s="59"/>
    </row>
    <row r="468" spans="3:5" x14ac:dyDescent="0.15">
      <c r="C468" s="255" t="s">
        <v>899</v>
      </c>
      <c r="D468" s="59">
        <v>0.4</v>
      </c>
      <c r="E468" s="59"/>
    </row>
    <row r="469" spans="3:5" x14ac:dyDescent="0.15">
      <c r="C469" s="255" t="s">
        <v>900</v>
      </c>
      <c r="D469" s="59">
        <v>217.5</v>
      </c>
      <c r="E469" s="59"/>
    </row>
    <row r="470" spans="3:5" x14ac:dyDescent="0.15">
      <c r="C470" s="255" t="s">
        <v>901</v>
      </c>
      <c r="D470" s="59">
        <v>316.5</v>
      </c>
      <c r="E470" s="59"/>
    </row>
    <row r="471" spans="3:5" x14ac:dyDescent="0.15">
      <c r="C471" s="255" t="s">
        <v>902</v>
      </c>
      <c r="D471" s="59">
        <v>0</v>
      </c>
      <c r="E471" s="59"/>
    </row>
    <row r="472" spans="3:5" x14ac:dyDescent="0.15">
      <c r="C472" s="255" t="s">
        <v>903</v>
      </c>
      <c r="D472" s="59">
        <v>382.3</v>
      </c>
      <c r="E472" s="59"/>
    </row>
    <row r="473" spans="3:5" x14ac:dyDescent="0.15">
      <c r="C473" s="255" t="s">
        <v>904</v>
      </c>
      <c r="D473" s="59">
        <v>607.4</v>
      </c>
      <c r="E473" s="59"/>
    </row>
    <row r="474" spans="3:5" x14ac:dyDescent="0.15">
      <c r="C474" s="255" t="s">
        <v>905</v>
      </c>
      <c r="D474" s="59">
        <v>32.799999999999997</v>
      </c>
      <c r="E474" s="59"/>
    </row>
    <row r="475" spans="3:5" x14ac:dyDescent="0.15">
      <c r="C475" s="255" t="s">
        <v>906</v>
      </c>
      <c r="D475" s="59">
        <v>25.8</v>
      </c>
      <c r="E475" s="59"/>
    </row>
    <row r="476" spans="3:5" x14ac:dyDescent="0.15">
      <c r="C476" s="255" t="s">
        <v>907</v>
      </c>
      <c r="D476" s="59">
        <v>142.6</v>
      </c>
      <c r="E476" s="59"/>
    </row>
    <row r="477" spans="3:5" x14ac:dyDescent="0.15">
      <c r="C477" s="255" t="s">
        <v>908</v>
      </c>
      <c r="D477" s="59">
        <v>3543.7</v>
      </c>
      <c r="E477" s="59"/>
    </row>
    <row r="478" spans="3:5" x14ac:dyDescent="0.15">
      <c r="C478" s="255" t="s">
        <v>909</v>
      </c>
      <c r="D478" s="59">
        <v>1141.5</v>
      </c>
      <c r="E478" s="59"/>
    </row>
    <row r="479" spans="3:5" x14ac:dyDescent="0.15">
      <c r="C479" s="255" t="s">
        <v>910</v>
      </c>
      <c r="D479" s="59">
        <v>14.1</v>
      </c>
      <c r="E479" s="59"/>
    </row>
    <row r="480" spans="3:5" x14ac:dyDescent="0.15">
      <c r="C480" s="255" t="s">
        <v>911</v>
      </c>
      <c r="D480" s="59">
        <v>58</v>
      </c>
      <c r="E480" s="59"/>
    </row>
    <row r="481" spans="3:5" x14ac:dyDescent="0.15">
      <c r="C481" s="255" t="s">
        <v>912</v>
      </c>
      <c r="D481" s="59">
        <v>70.400000000000006</v>
      </c>
      <c r="E481" s="59"/>
    </row>
    <row r="482" spans="3:5" x14ac:dyDescent="0.15">
      <c r="C482" s="255" t="s">
        <v>913</v>
      </c>
      <c r="D482" s="59">
        <v>0</v>
      </c>
      <c r="E482" s="59"/>
    </row>
    <row r="483" spans="3:5" x14ac:dyDescent="0.15">
      <c r="C483" s="255" t="s">
        <v>914</v>
      </c>
      <c r="D483" s="59">
        <v>0</v>
      </c>
      <c r="E483" s="59"/>
    </row>
    <row r="484" spans="3:5" x14ac:dyDescent="0.15">
      <c r="C484" s="255" t="s">
        <v>915</v>
      </c>
      <c r="D484" s="59">
        <v>96.4</v>
      </c>
      <c r="E484" s="59"/>
    </row>
    <row r="485" spans="3:5" x14ac:dyDescent="0.15">
      <c r="C485" s="255" t="s">
        <v>916</v>
      </c>
      <c r="D485" s="59">
        <v>270.39999999999998</v>
      </c>
      <c r="E485" s="59"/>
    </row>
    <row r="486" spans="3:5" x14ac:dyDescent="0.15">
      <c r="C486" s="255" t="s">
        <v>917</v>
      </c>
      <c r="D486" s="59">
        <v>0.4</v>
      </c>
      <c r="E486" s="59"/>
    </row>
    <row r="487" spans="3:5" x14ac:dyDescent="0.15">
      <c r="C487" s="255" t="s">
        <v>918</v>
      </c>
      <c r="D487" s="59">
        <v>1329.2</v>
      </c>
      <c r="E487" s="59"/>
    </row>
    <row r="488" spans="3:5" x14ac:dyDescent="0.15">
      <c r="C488" s="255" t="s">
        <v>919</v>
      </c>
      <c r="D488" s="59">
        <v>1.8</v>
      </c>
      <c r="E488" s="59"/>
    </row>
    <row r="489" spans="3:5" x14ac:dyDescent="0.15">
      <c r="C489" s="255" t="s">
        <v>920</v>
      </c>
      <c r="D489" s="59">
        <v>561.5</v>
      </c>
      <c r="E489" s="59"/>
    </row>
    <row r="490" spans="3:5" x14ac:dyDescent="0.15">
      <c r="C490" s="255" t="s">
        <v>921</v>
      </c>
      <c r="D490" s="59">
        <v>0</v>
      </c>
      <c r="E490" s="59"/>
    </row>
    <row r="491" spans="3:5" x14ac:dyDescent="0.15">
      <c r="C491" s="255" t="s">
        <v>922</v>
      </c>
      <c r="D491" s="59">
        <v>25672.400000000001</v>
      </c>
      <c r="E491" s="59"/>
    </row>
    <row r="492" spans="3:5" x14ac:dyDescent="0.15">
      <c r="C492" s="255" t="s">
        <v>923</v>
      </c>
      <c r="D492" s="59">
        <v>6644.7</v>
      </c>
      <c r="E492" s="59"/>
    </row>
    <row r="493" spans="3:5" x14ac:dyDescent="0.15">
      <c r="C493" s="255" t="s">
        <v>924</v>
      </c>
      <c r="D493" s="59">
        <v>2429</v>
      </c>
      <c r="E493" s="59"/>
    </row>
    <row r="494" spans="3:5" x14ac:dyDescent="0.15">
      <c r="C494" s="255" t="s">
        <v>925</v>
      </c>
      <c r="D494" s="59">
        <v>263.3</v>
      </c>
      <c r="E494" s="59"/>
    </row>
    <row r="495" spans="3:5" x14ac:dyDescent="0.15">
      <c r="C495" s="255" t="s">
        <v>926</v>
      </c>
      <c r="D495" s="59">
        <v>453.2</v>
      </c>
      <c r="E495" s="59"/>
    </row>
    <row r="496" spans="3:5" x14ac:dyDescent="0.15">
      <c r="C496" s="255" t="s">
        <v>927</v>
      </c>
      <c r="D496" s="59">
        <v>133.30000000000001</v>
      </c>
      <c r="E496" s="59"/>
    </row>
    <row r="497" spans="3:5" x14ac:dyDescent="0.15">
      <c r="C497" s="255" t="s">
        <v>928</v>
      </c>
      <c r="D497" s="59">
        <v>950.2</v>
      </c>
      <c r="E497" s="59"/>
    </row>
    <row r="498" spans="3:5" x14ac:dyDescent="0.15">
      <c r="C498" s="255" t="s">
        <v>929</v>
      </c>
      <c r="D498" s="59">
        <v>178.6</v>
      </c>
      <c r="E498" s="59"/>
    </row>
    <row r="499" spans="3:5" x14ac:dyDescent="0.15">
      <c r="C499" s="255" t="s">
        <v>930</v>
      </c>
      <c r="D499" s="59">
        <v>901.5</v>
      </c>
      <c r="E499" s="59"/>
    </row>
    <row r="500" spans="3:5" x14ac:dyDescent="0.15">
      <c r="C500" s="255" t="s">
        <v>931</v>
      </c>
      <c r="D500" s="59">
        <v>3514.7</v>
      </c>
      <c r="E500" s="59"/>
    </row>
    <row r="501" spans="3:5" x14ac:dyDescent="0.15">
      <c r="C501" s="255" t="s">
        <v>932</v>
      </c>
      <c r="D501" s="59">
        <v>0</v>
      </c>
      <c r="E501" s="59"/>
    </row>
    <row r="502" spans="3:5" x14ac:dyDescent="0.15">
      <c r="C502" s="255" t="s">
        <v>933</v>
      </c>
      <c r="D502" s="59">
        <v>7.8</v>
      </c>
      <c r="E502" s="59"/>
    </row>
    <row r="503" spans="3:5" x14ac:dyDescent="0.15">
      <c r="C503" s="255" t="s">
        <v>934</v>
      </c>
      <c r="D503" s="59">
        <v>3013.6</v>
      </c>
      <c r="E503" s="59"/>
    </row>
    <row r="504" spans="3:5" x14ac:dyDescent="0.15">
      <c r="C504" s="255" t="s">
        <v>935</v>
      </c>
      <c r="D504" s="59">
        <v>1121.7</v>
      </c>
      <c r="E504" s="59"/>
    </row>
    <row r="505" spans="3:5" x14ac:dyDescent="0.15">
      <c r="C505" s="255" t="s">
        <v>936</v>
      </c>
      <c r="D505" s="59">
        <v>1879</v>
      </c>
      <c r="E505" s="59"/>
    </row>
    <row r="506" spans="3:5" x14ac:dyDescent="0.15">
      <c r="C506" s="255" t="s">
        <v>937</v>
      </c>
      <c r="D506" s="59">
        <v>254.1</v>
      </c>
      <c r="E506" s="59"/>
    </row>
    <row r="507" spans="3:5" x14ac:dyDescent="0.15">
      <c r="C507" s="255" t="s">
        <v>938</v>
      </c>
      <c r="D507" s="59">
        <v>530.4</v>
      </c>
      <c r="E507" s="59"/>
    </row>
    <row r="508" spans="3:5" x14ac:dyDescent="0.15">
      <c r="C508" s="255" t="s">
        <v>939</v>
      </c>
      <c r="D508" s="59">
        <v>7</v>
      </c>
      <c r="E508" s="59"/>
    </row>
    <row r="509" spans="3:5" x14ac:dyDescent="0.15">
      <c r="C509" s="255" t="s">
        <v>940</v>
      </c>
      <c r="D509" s="59">
        <v>148.6</v>
      </c>
      <c r="E509" s="59"/>
    </row>
    <row r="510" spans="3:5" x14ac:dyDescent="0.15">
      <c r="C510" s="255" t="s">
        <v>941</v>
      </c>
      <c r="D510" s="59">
        <v>431.5</v>
      </c>
      <c r="E510" s="59"/>
    </row>
    <row r="511" spans="3:5" x14ac:dyDescent="0.15">
      <c r="C511" s="255" t="s">
        <v>942</v>
      </c>
      <c r="D511" s="59">
        <v>0</v>
      </c>
      <c r="E511" s="59"/>
    </row>
    <row r="512" spans="3:5" x14ac:dyDescent="0.15">
      <c r="C512" s="255" t="s">
        <v>943</v>
      </c>
      <c r="D512" s="59">
        <v>923.7</v>
      </c>
      <c r="E512" s="59"/>
    </row>
    <row r="513" spans="3:5" x14ac:dyDescent="0.15">
      <c r="C513" s="255" t="s">
        <v>944</v>
      </c>
      <c r="D513" s="59">
        <v>261.3</v>
      </c>
      <c r="E513" s="59"/>
    </row>
    <row r="514" spans="3:5" x14ac:dyDescent="0.15">
      <c r="C514" s="255" t="s">
        <v>945</v>
      </c>
      <c r="D514" s="59">
        <v>1510.1</v>
      </c>
      <c r="E514" s="59"/>
    </row>
    <row r="515" spans="3:5" x14ac:dyDescent="0.15">
      <c r="C515" s="255" t="s">
        <v>946</v>
      </c>
      <c r="D515" s="59">
        <v>93</v>
      </c>
      <c r="E515" s="59"/>
    </row>
    <row r="516" spans="3:5" x14ac:dyDescent="0.15">
      <c r="C516" s="255" t="s">
        <v>947</v>
      </c>
      <c r="D516" s="59">
        <v>22.2</v>
      </c>
      <c r="E516" s="59"/>
    </row>
    <row r="517" spans="3:5" x14ac:dyDescent="0.15">
      <c r="C517" s="255" t="s">
        <v>948</v>
      </c>
      <c r="D517" s="59">
        <v>5960.1</v>
      </c>
      <c r="E517" s="59"/>
    </row>
    <row r="518" spans="3:5" x14ac:dyDescent="0.15">
      <c r="C518" s="255" t="s">
        <v>949</v>
      </c>
      <c r="D518" s="59">
        <v>132.19999999999999</v>
      </c>
      <c r="E518" s="59"/>
    </row>
    <row r="519" spans="3:5" x14ac:dyDescent="0.15">
      <c r="C519" s="255" t="s">
        <v>950</v>
      </c>
      <c r="D519" s="59">
        <v>0</v>
      </c>
      <c r="E519" s="59"/>
    </row>
    <row r="520" spans="3:5" x14ac:dyDescent="0.15">
      <c r="C520" s="255" t="s">
        <v>951</v>
      </c>
      <c r="D520" s="59">
        <v>899.6</v>
      </c>
      <c r="E520" s="59"/>
    </row>
    <row r="521" spans="3:5" x14ac:dyDescent="0.15">
      <c r="C521" s="255" t="s">
        <v>952</v>
      </c>
      <c r="D521" s="59">
        <v>0</v>
      </c>
      <c r="E521" s="59"/>
    </row>
    <row r="522" spans="3:5" x14ac:dyDescent="0.15">
      <c r="C522" s="255" t="s">
        <v>953</v>
      </c>
      <c r="D522" s="59">
        <v>29.1</v>
      </c>
      <c r="E522" s="59"/>
    </row>
    <row r="523" spans="3:5" x14ac:dyDescent="0.15">
      <c r="C523" s="255" t="s">
        <v>954</v>
      </c>
      <c r="D523" s="59">
        <v>1796.1</v>
      </c>
      <c r="E523" s="59"/>
    </row>
    <row r="524" spans="3:5" x14ac:dyDescent="0.15">
      <c r="C524" s="255" t="s">
        <v>955</v>
      </c>
      <c r="D524" s="59">
        <v>1694.6</v>
      </c>
      <c r="E524" s="59"/>
    </row>
    <row r="525" spans="3:5" x14ac:dyDescent="0.15">
      <c r="C525" s="255" t="s">
        <v>956</v>
      </c>
      <c r="D525" s="59">
        <v>1408.4</v>
      </c>
      <c r="E525" s="59"/>
    </row>
    <row r="526" spans="3:5" x14ac:dyDescent="0.15">
      <c r="C526" s="255" t="s">
        <v>957</v>
      </c>
      <c r="D526" s="59">
        <v>16387.099999999999</v>
      </c>
      <c r="E526" s="59"/>
    </row>
    <row r="527" spans="3:5" x14ac:dyDescent="0.15">
      <c r="C527" s="255" t="s">
        <v>958</v>
      </c>
      <c r="D527" s="59">
        <v>122.3</v>
      </c>
      <c r="E527" s="59"/>
    </row>
    <row r="528" spans="3:5" x14ac:dyDescent="0.15">
      <c r="C528" s="255" t="s">
        <v>959</v>
      </c>
      <c r="D528" s="59">
        <v>657.2</v>
      </c>
      <c r="E528" s="59"/>
    </row>
    <row r="529" spans="3:5" x14ac:dyDescent="0.15">
      <c r="C529" s="255" t="s">
        <v>960</v>
      </c>
      <c r="D529" s="59">
        <v>35.6</v>
      </c>
      <c r="E529" s="59"/>
    </row>
    <row r="530" spans="3:5" x14ac:dyDescent="0.15">
      <c r="C530" s="255" t="s">
        <v>961</v>
      </c>
      <c r="D530" s="59">
        <v>0.3</v>
      </c>
      <c r="E530" s="59"/>
    </row>
    <row r="531" spans="3:5" x14ac:dyDescent="0.15">
      <c r="C531" s="255" t="s">
        <v>962</v>
      </c>
      <c r="D531" s="59">
        <v>0</v>
      </c>
      <c r="E531" s="59"/>
    </row>
    <row r="532" spans="3:5" x14ac:dyDescent="0.15">
      <c r="C532" s="255" t="s">
        <v>963</v>
      </c>
      <c r="D532" s="59">
        <v>1415</v>
      </c>
      <c r="E532" s="59"/>
    </row>
    <row r="533" spans="3:5" x14ac:dyDescent="0.15">
      <c r="C533" s="255" t="s">
        <v>964</v>
      </c>
      <c r="D533" s="59">
        <v>501.3</v>
      </c>
      <c r="E533" s="59"/>
    </row>
    <row r="534" spans="3:5" x14ac:dyDescent="0.15">
      <c r="C534" s="255" t="s">
        <v>965</v>
      </c>
      <c r="D534" s="59">
        <v>116.1</v>
      </c>
      <c r="E534" s="59"/>
    </row>
    <row r="535" spans="3:5" x14ac:dyDescent="0.15">
      <c r="C535" s="255" t="s">
        <v>966</v>
      </c>
      <c r="D535" s="59">
        <v>0.3</v>
      </c>
      <c r="E535" s="59"/>
    </row>
    <row r="536" spans="3:5" x14ac:dyDescent="0.15">
      <c r="C536" s="255" t="s">
        <v>967</v>
      </c>
      <c r="D536" s="59">
        <v>85.8</v>
      </c>
      <c r="E536" s="59"/>
    </row>
    <row r="537" spans="3:5" x14ac:dyDescent="0.15">
      <c r="C537" s="255" t="s">
        <v>968</v>
      </c>
      <c r="D537" s="59">
        <v>4.9000000000000004</v>
      </c>
      <c r="E537" s="59"/>
    </row>
    <row r="538" spans="3:5" x14ac:dyDescent="0.15">
      <c r="C538" s="255" t="s">
        <v>969</v>
      </c>
      <c r="D538" s="59">
        <v>3.2</v>
      </c>
      <c r="E538" s="59"/>
    </row>
    <row r="539" spans="3:5" x14ac:dyDescent="0.15">
      <c r="C539" s="255" t="s">
        <v>970</v>
      </c>
      <c r="D539" s="59">
        <v>0</v>
      </c>
      <c r="E539" s="59"/>
    </row>
    <row r="540" spans="3:5" x14ac:dyDescent="0.15">
      <c r="C540" s="255" t="s">
        <v>971</v>
      </c>
      <c r="D540" s="59">
        <v>-70.3</v>
      </c>
      <c r="E540" s="59"/>
    </row>
    <row r="541" spans="3:5" x14ac:dyDescent="0.15">
      <c r="C541" s="255" t="s">
        <v>972</v>
      </c>
      <c r="D541" s="59">
        <v>-99.8</v>
      </c>
      <c r="E541" s="59"/>
    </row>
    <row r="542" spans="3:5" x14ac:dyDescent="0.15">
      <c r="C542" s="255" t="s">
        <v>973</v>
      </c>
      <c r="D542" s="59">
        <v>6.4</v>
      </c>
      <c r="E542" s="59"/>
    </row>
    <row r="543" spans="3:5" x14ac:dyDescent="0.15">
      <c r="C543" s="255" t="s">
        <v>974</v>
      </c>
      <c r="D543" s="59">
        <v>0</v>
      </c>
      <c r="E543" s="59"/>
    </row>
    <row r="544" spans="3:5" x14ac:dyDescent="0.15">
      <c r="C544" s="255" t="s">
        <v>975</v>
      </c>
      <c r="D544" s="59">
        <v>0</v>
      </c>
      <c r="E544" s="59"/>
    </row>
    <row r="545" spans="3:5" x14ac:dyDescent="0.15">
      <c r="C545" s="255" t="s">
        <v>976</v>
      </c>
      <c r="D545" s="59">
        <v>4.2</v>
      </c>
      <c r="E545" s="59"/>
    </row>
    <row r="546" spans="3:5" x14ac:dyDescent="0.15">
      <c r="C546" s="255" t="s">
        <v>977</v>
      </c>
      <c r="D546" s="59">
        <v>457.2</v>
      </c>
      <c r="E546" s="59"/>
    </row>
    <row r="547" spans="3:5" x14ac:dyDescent="0.15">
      <c r="C547" s="255" t="s">
        <v>978</v>
      </c>
      <c r="D547" s="59">
        <v>641.79999999999995</v>
      </c>
      <c r="E547" s="59"/>
    </row>
    <row r="548" spans="3:5" x14ac:dyDescent="0.15">
      <c r="C548" s="255" t="s">
        <v>979</v>
      </c>
      <c r="D548" s="59">
        <v>23.2</v>
      </c>
      <c r="E548" s="59"/>
    </row>
    <row r="549" spans="3:5" x14ac:dyDescent="0.15">
      <c r="C549" s="255" t="s">
        <v>980</v>
      </c>
      <c r="D549" s="59">
        <v>310.8</v>
      </c>
      <c r="E549" s="59"/>
    </row>
    <row r="550" spans="3:5" x14ac:dyDescent="0.15">
      <c r="C550" s="255" t="s">
        <v>981</v>
      </c>
      <c r="D550" s="59">
        <v>0</v>
      </c>
      <c r="E550" s="59"/>
    </row>
    <row r="551" spans="3:5" x14ac:dyDescent="0.15">
      <c r="C551" s="255" t="s">
        <v>982</v>
      </c>
      <c r="D551" s="59">
        <v>97.5</v>
      </c>
      <c r="E551" s="59"/>
    </row>
    <row r="552" spans="3:5" x14ac:dyDescent="0.15">
      <c r="C552" s="255" t="s">
        <v>983</v>
      </c>
      <c r="D552" s="59">
        <v>634.4</v>
      </c>
      <c r="E552" s="59"/>
    </row>
    <row r="553" spans="3:5" x14ac:dyDescent="0.15">
      <c r="C553" s="255" t="s">
        <v>984</v>
      </c>
      <c r="D553" s="59">
        <v>0</v>
      </c>
      <c r="E553" s="59"/>
    </row>
    <row r="554" spans="3:5" x14ac:dyDescent="0.15">
      <c r="C554" s="255" t="s">
        <v>985</v>
      </c>
      <c r="D554" s="59">
        <v>789.1</v>
      </c>
      <c r="E554" s="59"/>
    </row>
    <row r="555" spans="3:5" x14ac:dyDescent="0.15">
      <c r="C555" s="255" t="s">
        <v>986</v>
      </c>
      <c r="D555" s="59">
        <v>550.4</v>
      </c>
      <c r="E555" s="59"/>
    </row>
    <row r="556" spans="3:5" x14ac:dyDescent="0.15">
      <c r="C556" s="255" t="s">
        <v>987</v>
      </c>
      <c r="D556" s="59">
        <v>213.6</v>
      </c>
      <c r="E556" s="59"/>
    </row>
    <row r="557" spans="3:5" x14ac:dyDescent="0.15">
      <c r="C557" s="255" t="s">
        <v>988</v>
      </c>
      <c r="D557" s="59">
        <v>1046.9000000000001</v>
      </c>
      <c r="E557" s="59"/>
    </row>
    <row r="558" spans="3:5" x14ac:dyDescent="0.15">
      <c r="C558" s="255" t="s">
        <v>989</v>
      </c>
      <c r="D558" s="59">
        <v>788.7</v>
      </c>
      <c r="E558" s="59"/>
    </row>
    <row r="559" spans="3:5" x14ac:dyDescent="0.15">
      <c r="C559" s="255" t="s">
        <v>990</v>
      </c>
      <c r="D559" s="59">
        <v>268.5</v>
      </c>
      <c r="E559" s="59"/>
    </row>
    <row r="560" spans="3:5" x14ac:dyDescent="0.15">
      <c r="C560" s="255" t="s">
        <v>991</v>
      </c>
      <c r="D560" s="59">
        <v>4251.5</v>
      </c>
      <c r="E560" s="59"/>
    </row>
    <row r="561" spans="3:5" x14ac:dyDescent="0.15">
      <c r="C561" s="255" t="s">
        <v>992</v>
      </c>
      <c r="D561" s="59">
        <v>20.2</v>
      </c>
      <c r="E561" s="59"/>
    </row>
    <row r="562" spans="3:5" x14ac:dyDescent="0.15">
      <c r="C562" s="255" t="s">
        <v>993</v>
      </c>
      <c r="D562" s="59">
        <v>56.5</v>
      </c>
      <c r="E562" s="59"/>
    </row>
    <row r="563" spans="3:5" x14ac:dyDescent="0.15">
      <c r="C563" s="255" t="s">
        <v>994</v>
      </c>
      <c r="D563" s="59">
        <v>0</v>
      </c>
      <c r="E563" s="59"/>
    </row>
    <row r="564" spans="3:5" x14ac:dyDescent="0.15">
      <c r="C564" s="255" t="s">
        <v>995</v>
      </c>
      <c r="D564" s="59">
        <v>560.5</v>
      </c>
      <c r="E564" s="59"/>
    </row>
    <row r="565" spans="3:5" x14ac:dyDescent="0.15">
      <c r="C565" s="255" t="s">
        <v>996</v>
      </c>
      <c r="D565" s="59">
        <v>233.3</v>
      </c>
      <c r="E565" s="59"/>
    </row>
    <row r="566" spans="3:5" x14ac:dyDescent="0.15">
      <c r="C566" s="255" t="s">
        <v>997</v>
      </c>
      <c r="D566" s="59">
        <v>278</v>
      </c>
      <c r="E566" s="59"/>
    </row>
    <row r="567" spans="3:5" x14ac:dyDescent="0.15">
      <c r="C567" s="255" t="s">
        <v>998</v>
      </c>
      <c r="D567" s="59">
        <v>107.6</v>
      </c>
      <c r="E567" s="59"/>
    </row>
    <row r="568" spans="3:5" x14ac:dyDescent="0.15">
      <c r="C568" s="255" t="s">
        <v>999</v>
      </c>
      <c r="D568" s="59">
        <v>20.2</v>
      </c>
      <c r="E568" s="59"/>
    </row>
    <row r="569" spans="3:5" x14ac:dyDescent="0.15">
      <c r="C569" s="255" t="s">
        <v>1000</v>
      </c>
      <c r="D569" s="59">
        <v>224.9</v>
      </c>
      <c r="E569" s="59"/>
    </row>
    <row r="570" spans="3:5" x14ac:dyDescent="0.15">
      <c r="C570" s="255" t="s">
        <v>1001</v>
      </c>
      <c r="D570" s="59">
        <v>146.4</v>
      </c>
      <c r="E570" s="59"/>
    </row>
    <row r="571" spans="3:5" x14ac:dyDescent="0.15">
      <c r="C571" s="255" t="s">
        <v>1002</v>
      </c>
      <c r="D571" s="59">
        <v>66.900000000000006</v>
      </c>
      <c r="E571" s="59"/>
    </row>
    <row r="572" spans="3:5" x14ac:dyDescent="0.15">
      <c r="C572" s="255" t="s">
        <v>1003</v>
      </c>
      <c r="D572" s="59">
        <v>87.7</v>
      </c>
      <c r="E572" s="59"/>
    </row>
    <row r="573" spans="3:5" x14ac:dyDescent="0.15">
      <c r="C573" s="255" t="s">
        <v>1004</v>
      </c>
      <c r="D573" s="59">
        <v>64.3</v>
      </c>
      <c r="E573" s="59"/>
    </row>
    <row r="574" spans="3:5" x14ac:dyDescent="0.15">
      <c r="C574" s="255" t="s">
        <v>1005</v>
      </c>
      <c r="D574" s="59">
        <v>0</v>
      </c>
      <c r="E574" s="59"/>
    </row>
    <row r="575" spans="3:5" x14ac:dyDescent="0.15">
      <c r="C575" s="255" t="s">
        <v>1006</v>
      </c>
      <c r="D575" s="59">
        <v>1664.5</v>
      </c>
      <c r="E575" s="59"/>
    </row>
    <row r="576" spans="3:5" x14ac:dyDescent="0.15">
      <c r="C576" s="255" t="s">
        <v>1007</v>
      </c>
      <c r="D576" s="59">
        <v>1617.3</v>
      </c>
      <c r="E576" s="59"/>
    </row>
    <row r="577" spans="3:5" x14ac:dyDescent="0.15">
      <c r="C577" s="255" t="s">
        <v>1008</v>
      </c>
      <c r="D577" s="59">
        <v>0</v>
      </c>
      <c r="E577" s="59"/>
    </row>
    <row r="578" spans="3:5" x14ac:dyDescent="0.15">
      <c r="C578" s="255" t="s">
        <v>1009</v>
      </c>
      <c r="D578" s="59">
        <v>1.5</v>
      </c>
      <c r="E578" s="59"/>
    </row>
    <row r="579" spans="3:5" x14ac:dyDescent="0.15">
      <c r="C579" s="255" t="s">
        <v>1010</v>
      </c>
      <c r="D579" s="59">
        <v>457</v>
      </c>
      <c r="E579" s="59"/>
    </row>
    <row r="580" spans="3:5" x14ac:dyDescent="0.15">
      <c r="C580" s="255" t="s">
        <v>1011</v>
      </c>
      <c r="D580" s="59">
        <v>1158.8</v>
      </c>
      <c r="E580" s="59"/>
    </row>
    <row r="581" spans="3:5" x14ac:dyDescent="0.15">
      <c r="C581" s="255" t="s">
        <v>1012</v>
      </c>
      <c r="D581" s="59">
        <v>11815.6</v>
      </c>
      <c r="E581" s="59"/>
    </row>
    <row r="582" spans="3:5" x14ac:dyDescent="0.15">
      <c r="C582" s="255" t="s">
        <v>1013</v>
      </c>
      <c r="D582" s="59">
        <v>5770.8</v>
      </c>
      <c r="E582" s="59"/>
    </row>
    <row r="583" spans="3:5" x14ac:dyDescent="0.15">
      <c r="C583" s="255" t="s">
        <v>1014</v>
      </c>
      <c r="D583" s="59">
        <v>3278</v>
      </c>
      <c r="E583" s="59"/>
    </row>
    <row r="584" spans="3:5" x14ac:dyDescent="0.15">
      <c r="C584" s="255" t="s">
        <v>1015</v>
      </c>
      <c r="D584" s="59">
        <v>702.9</v>
      </c>
      <c r="E584" s="59"/>
    </row>
    <row r="585" spans="3:5" x14ac:dyDescent="0.15">
      <c r="C585" s="255" t="s">
        <v>1016</v>
      </c>
      <c r="D585" s="59">
        <v>1459.7</v>
      </c>
      <c r="E585" s="59"/>
    </row>
    <row r="586" spans="3:5" x14ac:dyDescent="0.15">
      <c r="C586" s="255" t="s">
        <v>1017</v>
      </c>
      <c r="D586" s="59">
        <v>604.1</v>
      </c>
      <c r="E586" s="59"/>
    </row>
    <row r="587" spans="3:5" x14ac:dyDescent="0.15">
      <c r="C587" s="255" t="s">
        <v>1018</v>
      </c>
      <c r="D587" s="59">
        <v>0</v>
      </c>
      <c r="E587" s="59"/>
    </row>
    <row r="588" spans="3:5" x14ac:dyDescent="0.15">
      <c r="C588" s="255" t="s">
        <v>1019</v>
      </c>
      <c r="D588" s="59">
        <v>12829.6</v>
      </c>
      <c r="E588" s="59"/>
    </row>
    <row r="589" spans="3:5" x14ac:dyDescent="0.15">
      <c r="C589" s="255" t="s">
        <v>1020</v>
      </c>
      <c r="D589" s="59">
        <v>377.9</v>
      </c>
      <c r="E589" s="59"/>
    </row>
    <row r="590" spans="3:5" x14ac:dyDescent="0.15">
      <c r="C590" s="255" t="s">
        <v>1021</v>
      </c>
      <c r="D590" s="59">
        <v>940.1</v>
      </c>
      <c r="E590" s="59"/>
    </row>
    <row r="591" spans="3:5" x14ac:dyDescent="0.15">
      <c r="C591" s="255" t="s">
        <v>1022</v>
      </c>
      <c r="D591" s="59">
        <v>120.5</v>
      </c>
      <c r="E591" s="59"/>
    </row>
    <row r="592" spans="3:5" x14ac:dyDescent="0.15">
      <c r="C592" s="255" t="s">
        <v>1023</v>
      </c>
      <c r="D592" s="59">
        <v>110.5</v>
      </c>
      <c r="E592" s="59"/>
    </row>
    <row r="593" spans="3:5" x14ac:dyDescent="0.15">
      <c r="C593" s="255" t="s">
        <v>1024</v>
      </c>
      <c r="D593" s="59">
        <v>39.9</v>
      </c>
      <c r="E593" s="59"/>
    </row>
    <row r="594" spans="3:5" x14ac:dyDescent="0.15">
      <c r="C594" s="255" t="s">
        <v>1025</v>
      </c>
      <c r="D594" s="59">
        <v>141.4</v>
      </c>
      <c r="E594" s="59"/>
    </row>
    <row r="595" spans="3:5" x14ac:dyDescent="0.15">
      <c r="C595" s="255" t="s">
        <v>1026</v>
      </c>
      <c r="D595" s="59">
        <v>1682.6</v>
      </c>
      <c r="E595" s="59"/>
    </row>
    <row r="596" spans="3:5" x14ac:dyDescent="0.15">
      <c r="C596" s="255" t="s">
        <v>1027</v>
      </c>
      <c r="D596" s="59">
        <v>0</v>
      </c>
      <c r="E596" s="59"/>
    </row>
    <row r="597" spans="3:5" x14ac:dyDescent="0.15">
      <c r="C597" s="255" t="s">
        <v>1028</v>
      </c>
      <c r="D597" s="59">
        <v>334.7</v>
      </c>
      <c r="E597" s="59"/>
    </row>
    <row r="598" spans="3:5" x14ac:dyDescent="0.15">
      <c r="C598" s="255" t="s">
        <v>1029</v>
      </c>
      <c r="D598" s="59">
        <v>134.30000000000001</v>
      </c>
      <c r="E598" s="59"/>
    </row>
    <row r="599" spans="3:5" x14ac:dyDescent="0.15">
      <c r="C599" s="255" t="s">
        <v>1030</v>
      </c>
      <c r="D599" s="59">
        <v>125.1</v>
      </c>
      <c r="E599" s="59"/>
    </row>
    <row r="600" spans="3:5" x14ac:dyDescent="0.15">
      <c r="C600" s="255" t="s">
        <v>1031</v>
      </c>
      <c r="D600" s="59">
        <v>156.19999999999999</v>
      </c>
      <c r="E600" s="59"/>
    </row>
    <row r="601" spans="3:5" x14ac:dyDescent="0.15">
      <c r="C601" s="255" t="s">
        <v>1032</v>
      </c>
      <c r="D601" s="59">
        <v>0.4</v>
      </c>
      <c r="E601" s="59"/>
    </row>
    <row r="602" spans="3:5" x14ac:dyDescent="0.15">
      <c r="C602" s="255" t="s">
        <v>1033</v>
      </c>
      <c r="D602" s="59">
        <v>3.2</v>
      </c>
      <c r="E602" s="59"/>
    </row>
    <row r="603" spans="3:5" x14ac:dyDescent="0.15">
      <c r="C603" s="255" t="s">
        <v>1034</v>
      </c>
      <c r="D603" s="59">
        <v>111.4</v>
      </c>
      <c r="E603" s="59"/>
    </row>
    <row r="604" spans="3:5" x14ac:dyDescent="0.15">
      <c r="C604" s="255" t="s">
        <v>1035</v>
      </c>
      <c r="D604" s="59">
        <v>0</v>
      </c>
      <c r="E604" s="59"/>
    </row>
    <row r="605" spans="3:5" x14ac:dyDescent="0.15">
      <c r="C605" s="255" t="s">
        <v>1036</v>
      </c>
      <c r="D605" s="59">
        <v>41.5</v>
      </c>
      <c r="E605" s="59"/>
    </row>
    <row r="606" spans="3:5" x14ac:dyDescent="0.15">
      <c r="C606" s="255" t="s">
        <v>1037</v>
      </c>
      <c r="D606" s="59">
        <v>601.5</v>
      </c>
      <c r="E606" s="59"/>
    </row>
    <row r="607" spans="3:5" x14ac:dyDescent="0.15">
      <c r="C607" s="255" t="s">
        <v>1038</v>
      </c>
      <c r="D607" s="59">
        <v>2395</v>
      </c>
      <c r="E607" s="59"/>
    </row>
    <row r="608" spans="3:5" x14ac:dyDescent="0.15">
      <c r="C608" s="255" t="s">
        <v>1039</v>
      </c>
      <c r="D608" s="59">
        <v>474.8</v>
      </c>
      <c r="E608" s="59"/>
    </row>
    <row r="609" spans="2:5" x14ac:dyDescent="0.15">
      <c r="C609" s="255" t="s">
        <v>1040</v>
      </c>
      <c r="D609" s="59">
        <v>2522.9</v>
      </c>
      <c r="E609" s="59"/>
    </row>
    <row r="610" spans="2:5" x14ac:dyDescent="0.15">
      <c r="C610" s="255" t="s">
        <v>1041</v>
      </c>
      <c r="D610" s="59">
        <v>247.1</v>
      </c>
      <c r="E610" s="59"/>
    </row>
    <row r="611" spans="2:5" x14ac:dyDescent="0.15">
      <c r="C611" s="255" t="s">
        <v>1042</v>
      </c>
      <c r="D611" s="59">
        <v>1417.9</v>
      </c>
      <c r="E611" s="59"/>
    </row>
    <row r="612" spans="2:5" x14ac:dyDescent="0.15">
      <c r="C612" s="255" t="s">
        <v>1043</v>
      </c>
      <c r="D612" s="59">
        <v>558.9</v>
      </c>
      <c r="E612" s="59"/>
    </row>
    <row r="613" spans="2:5" x14ac:dyDescent="0.15">
      <c r="C613" s="255" t="s">
        <v>1044</v>
      </c>
      <c r="D613" s="59">
        <v>55.2</v>
      </c>
      <c r="E613" s="59"/>
    </row>
    <row r="614" spans="2:5" x14ac:dyDescent="0.15">
      <c r="C614" s="255" t="s">
        <v>1045</v>
      </c>
      <c r="D614" s="59">
        <v>41.7</v>
      </c>
      <c r="E614" s="59"/>
    </row>
    <row r="615" spans="2:5" x14ac:dyDescent="0.15">
      <c r="C615" s="255" t="s">
        <v>1046</v>
      </c>
      <c r="D615" s="59">
        <v>132.6</v>
      </c>
      <c r="E615" s="59"/>
    </row>
    <row r="616" spans="2:5" x14ac:dyDescent="0.15">
      <c r="C616" s="255" t="s">
        <v>1047</v>
      </c>
      <c r="D616" s="59">
        <v>34.1</v>
      </c>
      <c r="E616" s="59"/>
    </row>
    <row r="617" spans="2:5" x14ac:dyDescent="0.15">
      <c r="C617" s="255" t="s">
        <v>1048</v>
      </c>
      <c r="D617" s="59">
        <v>28.1</v>
      </c>
      <c r="E617" s="59"/>
    </row>
    <row r="618" spans="2:5" x14ac:dyDescent="0.15">
      <c r="B618" s="255" t="s">
        <v>1049</v>
      </c>
      <c r="C618" s="255" t="s">
        <v>743</v>
      </c>
      <c r="D618" s="59">
        <v>334</v>
      </c>
      <c r="E618" s="59"/>
    </row>
    <row r="619" spans="2:5" x14ac:dyDescent="0.15">
      <c r="C619" s="255" t="s">
        <v>744</v>
      </c>
      <c r="D619" s="59">
        <v>505.2</v>
      </c>
      <c r="E619" s="59"/>
    </row>
    <row r="620" spans="2:5" x14ac:dyDescent="0.15">
      <c r="C620" s="255" t="s">
        <v>745</v>
      </c>
      <c r="D620" s="59">
        <v>505.2</v>
      </c>
      <c r="E620" s="59"/>
    </row>
    <row r="621" spans="2:5" x14ac:dyDescent="0.15">
      <c r="C621" s="255" t="s">
        <v>746</v>
      </c>
      <c r="D621" s="59">
        <v>1</v>
      </c>
      <c r="E621" s="59"/>
    </row>
    <row r="622" spans="2:5" x14ac:dyDescent="0.15">
      <c r="C622" s="255" t="s">
        <v>747</v>
      </c>
      <c r="D622" s="59">
        <v>1</v>
      </c>
      <c r="E622" s="59"/>
    </row>
    <row r="623" spans="2:5" x14ac:dyDescent="0.15">
      <c r="C623" s="255" t="s">
        <v>748</v>
      </c>
      <c r="D623" s="59">
        <v>0</v>
      </c>
      <c r="E623" s="59"/>
    </row>
    <row r="624" spans="2:5" x14ac:dyDescent="0.15">
      <c r="C624" s="255" t="s">
        <v>749</v>
      </c>
      <c r="D624" s="59">
        <v>0.4</v>
      </c>
      <c r="E624" s="59"/>
    </row>
    <row r="625" spans="3:5" x14ac:dyDescent="0.15">
      <c r="C625" s="255" t="s">
        <v>750</v>
      </c>
      <c r="D625" s="59">
        <v>0.7</v>
      </c>
      <c r="E625" s="59"/>
    </row>
    <row r="626" spans="3:5" x14ac:dyDescent="0.15">
      <c r="C626" s="255" t="s">
        <v>751</v>
      </c>
      <c r="D626" s="59">
        <v>74.3</v>
      </c>
      <c r="E626" s="59"/>
    </row>
    <row r="627" spans="3:5" x14ac:dyDescent="0.15">
      <c r="C627" s="255" t="s">
        <v>752</v>
      </c>
      <c r="D627" s="59">
        <v>1</v>
      </c>
      <c r="E627" s="59"/>
    </row>
    <row r="628" spans="3:5" x14ac:dyDescent="0.15">
      <c r="C628" s="255" t="s">
        <v>753</v>
      </c>
      <c r="D628" s="59">
        <v>91.7</v>
      </c>
      <c r="E628" s="59"/>
    </row>
    <row r="629" spans="3:5" x14ac:dyDescent="0.15">
      <c r="C629" s="255" t="s">
        <v>754</v>
      </c>
      <c r="D629" s="59">
        <v>1964</v>
      </c>
      <c r="E629" s="59"/>
    </row>
    <row r="630" spans="3:5" x14ac:dyDescent="0.15">
      <c r="C630" s="255" t="s">
        <v>192</v>
      </c>
      <c r="D630" s="59">
        <v>191284.4</v>
      </c>
      <c r="E630" s="59"/>
    </row>
    <row r="631" spans="3:5" x14ac:dyDescent="0.15">
      <c r="C631" s="255" t="s">
        <v>755</v>
      </c>
      <c r="D631" s="59">
        <v>20395.5</v>
      </c>
      <c r="E631" s="59"/>
    </row>
    <row r="632" spans="3:5" x14ac:dyDescent="0.15">
      <c r="C632" s="255" t="s">
        <v>756</v>
      </c>
      <c r="D632" s="59">
        <v>59.1</v>
      </c>
      <c r="E632" s="59"/>
    </row>
    <row r="633" spans="3:5" x14ac:dyDescent="0.15">
      <c r="C633" s="255" t="s">
        <v>757</v>
      </c>
      <c r="D633" s="59">
        <v>68.599999999999994</v>
      </c>
      <c r="E633" s="59"/>
    </row>
    <row r="634" spans="3:5" x14ac:dyDescent="0.15">
      <c r="C634" s="255" t="s">
        <v>758</v>
      </c>
      <c r="D634" s="59">
        <v>1287.5</v>
      </c>
      <c r="E634" s="59"/>
    </row>
    <row r="635" spans="3:5" x14ac:dyDescent="0.15">
      <c r="C635" s="255" t="s">
        <v>759</v>
      </c>
      <c r="D635" s="59">
        <v>959</v>
      </c>
      <c r="E635" s="59"/>
    </row>
    <row r="636" spans="3:5" x14ac:dyDescent="0.15">
      <c r="C636" s="255" t="s">
        <v>760</v>
      </c>
      <c r="D636" s="59">
        <v>72.099999999999994</v>
      </c>
      <c r="E636" s="59"/>
    </row>
    <row r="637" spans="3:5" x14ac:dyDescent="0.15">
      <c r="C637" s="255" t="s">
        <v>761</v>
      </c>
      <c r="D637" s="59">
        <v>121.9</v>
      </c>
      <c r="E637" s="59"/>
    </row>
    <row r="638" spans="3:5" x14ac:dyDescent="0.15">
      <c r="C638" s="255" t="s">
        <v>762</v>
      </c>
      <c r="D638" s="59">
        <v>183</v>
      </c>
      <c r="E638" s="59"/>
    </row>
    <row r="639" spans="3:5" x14ac:dyDescent="0.15">
      <c r="C639" s="255" t="s">
        <v>763</v>
      </c>
      <c r="D639" s="59">
        <v>61.1</v>
      </c>
      <c r="E639" s="59"/>
    </row>
    <row r="640" spans="3:5" x14ac:dyDescent="0.15">
      <c r="C640" s="255" t="s">
        <v>764</v>
      </c>
      <c r="D640" s="59">
        <v>950.8</v>
      </c>
      <c r="E640" s="59"/>
    </row>
    <row r="641" spans="3:5" x14ac:dyDescent="0.15">
      <c r="C641" s="255" t="s">
        <v>765</v>
      </c>
      <c r="D641" s="59">
        <v>533.4</v>
      </c>
      <c r="E641" s="59"/>
    </row>
    <row r="642" spans="3:5" x14ac:dyDescent="0.15">
      <c r="C642" s="255" t="s">
        <v>766</v>
      </c>
      <c r="D642" s="59">
        <v>48</v>
      </c>
      <c r="E642" s="59"/>
    </row>
    <row r="643" spans="3:5" x14ac:dyDescent="0.15">
      <c r="C643" s="255" t="s">
        <v>767</v>
      </c>
      <c r="D643" s="59">
        <v>495.3</v>
      </c>
      <c r="E643" s="59"/>
    </row>
    <row r="644" spans="3:5" x14ac:dyDescent="0.15">
      <c r="C644" s="255" t="s">
        <v>768</v>
      </c>
      <c r="D644" s="59">
        <v>1.9</v>
      </c>
      <c r="E644" s="59"/>
    </row>
    <row r="645" spans="3:5" x14ac:dyDescent="0.15">
      <c r="C645" s="255" t="s">
        <v>769</v>
      </c>
      <c r="D645" s="59">
        <v>7.5</v>
      </c>
      <c r="E645" s="59"/>
    </row>
    <row r="646" spans="3:5" x14ac:dyDescent="0.15">
      <c r="C646" s="255" t="s">
        <v>770</v>
      </c>
      <c r="D646" s="59">
        <v>642</v>
      </c>
      <c r="E646" s="59"/>
    </row>
    <row r="647" spans="3:5" x14ac:dyDescent="0.15">
      <c r="C647" s="255" t="s">
        <v>771</v>
      </c>
      <c r="D647" s="59">
        <v>955.2</v>
      </c>
      <c r="E647" s="59"/>
    </row>
    <row r="648" spans="3:5" x14ac:dyDescent="0.15">
      <c r="C648" s="255" t="s">
        <v>772</v>
      </c>
      <c r="D648" s="59">
        <v>308.89999999999998</v>
      </c>
      <c r="E648" s="59"/>
    </row>
    <row r="649" spans="3:5" x14ac:dyDescent="0.15">
      <c r="C649" s="255" t="s">
        <v>773</v>
      </c>
      <c r="D649" s="59">
        <v>62.6</v>
      </c>
      <c r="E649" s="59"/>
    </row>
    <row r="650" spans="3:5" x14ac:dyDescent="0.15">
      <c r="C650" s="255" t="s">
        <v>774</v>
      </c>
      <c r="D650" s="59">
        <v>22.4</v>
      </c>
      <c r="E650" s="59"/>
    </row>
    <row r="651" spans="3:5" x14ac:dyDescent="0.15">
      <c r="C651" s="255" t="s">
        <v>775</v>
      </c>
      <c r="D651" s="59">
        <v>72</v>
      </c>
      <c r="E651" s="59"/>
    </row>
    <row r="652" spans="3:5" x14ac:dyDescent="0.15">
      <c r="C652" s="255" t="s">
        <v>776</v>
      </c>
      <c r="D652" s="59">
        <v>275.39999999999998</v>
      </c>
      <c r="E652" s="59"/>
    </row>
    <row r="653" spans="3:5" x14ac:dyDescent="0.15">
      <c r="C653" s="255" t="s">
        <v>777</v>
      </c>
      <c r="D653" s="59">
        <v>622.6</v>
      </c>
      <c r="E653" s="59"/>
    </row>
    <row r="654" spans="3:5" x14ac:dyDescent="0.15">
      <c r="C654" s="255" t="s">
        <v>778</v>
      </c>
      <c r="D654" s="59">
        <v>273.2</v>
      </c>
      <c r="E654" s="59"/>
    </row>
    <row r="655" spans="3:5" x14ac:dyDescent="0.15">
      <c r="C655" s="255" t="s">
        <v>779</v>
      </c>
      <c r="D655" s="59">
        <v>220.4</v>
      </c>
      <c r="E655" s="59"/>
    </row>
    <row r="656" spans="3:5" x14ac:dyDescent="0.15">
      <c r="C656" s="255" t="s">
        <v>780</v>
      </c>
      <c r="D656" s="59">
        <v>7</v>
      </c>
      <c r="E656" s="59"/>
    </row>
    <row r="657" spans="3:5" x14ac:dyDescent="0.15">
      <c r="C657" s="255" t="s">
        <v>781</v>
      </c>
      <c r="D657" s="59">
        <v>445.8</v>
      </c>
      <c r="E657" s="59"/>
    </row>
    <row r="658" spans="3:5" x14ac:dyDescent="0.15">
      <c r="C658" s="255" t="s">
        <v>782</v>
      </c>
      <c r="D658" s="59">
        <v>1194.9000000000001</v>
      </c>
      <c r="E658" s="59"/>
    </row>
    <row r="659" spans="3:5" x14ac:dyDescent="0.15">
      <c r="C659" s="255" t="s">
        <v>783</v>
      </c>
      <c r="D659" s="59">
        <v>513.6</v>
      </c>
      <c r="E659" s="59"/>
    </row>
    <row r="660" spans="3:5" x14ac:dyDescent="0.15">
      <c r="C660" s="255" t="s">
        <v>784</v>
      </c>
      <c r="D660" s="59">
        <v>408.3</v>
      </c>
      <c r="E660" s="59"/>
    </row>
    <row r="661" spans="3:5" x14ac:dyDescent="0.15">
      <c r="C661" s="255" t="s">
        <v>785</v>
      </c>
      <c r="D661" s="59">
        <v>409.2</v>
      </c>
      <c r="E661" s="59"/>
    </row>
    <row r="662" spans="3:5" x14ac:dyDescent="0.15">
      <c r="C662" s="255" t="s">
        <v>786</v>
      </c>
      <c r="D662" s="59">
        <v>105.6</v>
      </c>
      <c r="E662" s="59"/>
    </row>
    <row r="663" spans="3:5" x14ac:dyDescent="0.15">
      <c r="C663" s="255" t="s">
        <v>787</v>
      </c>
      <c r="D663" s="59">
        <v>61.9</v>
      </c>
      <c r="E663" s="59"/>
    </row>
    <row r="664" spans="3:5" x14ac:dyDescent="0.15">
      <c r="C664" s="255" t="s">
        <v>788</v>
      </c>
      <c r="D664" s="59">
        <v>36.299999999999997</v>
      </c>
      <c r="E664" s="59"/>
    </row>
    <row r="665" spans="3:5" x14ac:dyDescent="0.15">
      <c r="C665" s="255" t="s">
        <v>789</v>
      </c>
      <c r="D665" s="59">
        <v>23.7</v>
      </c>
      <c r="E665" s="59"/>
    </row>
    <row r="666" spans="3:5" x14ac:dyDescent="0.15">
      <c r="C666" s="255" t="s">
        <v>790</v>
      </c>
      <c r="D666" s="59">
        <v>1521.5</v>
      </c>
      <c r="E666" s="59"/>
    </row>
    <row r="667" spans="3:5" x14ac:dyDescent="0.15">
      <c r="C667" s="255" t="s">
        <v>791</v>
      </c>
      <c r="D667" s="59">
        <v>32.9</v>
      </c>
      <c r="E667" s="59"/>
    </row>
    <row r="668" spans="3:5" x14ac:dyDescent="0.15">
      <c r="C668" s="255" t="s">
        <v>792</v>
      </c>
      <c r="D668" s="59">
        <v>449.8</v>
      </c>
      <c r="E668" s="59"/>
    </row>
    <row r="669" spans="3:5" x14ac:dyDescent="0.15">
      <c r="C669" s="255" t="s">
        <v>793</v>
      </c>
      <c r="D669" s="59">
        <v>52</v>
      </c>
      <c r="E669" s="59"/>
    </row>
    <row r="670" spans="3:5" x14ac:dyDescent="0.15">
      <c r="C670" s="255" t="s">
        <v>794</v>
      </c>
      <c r="D670" s="59">
        <v>1289.5999999999999</v>
      </c>
      <c r="E670" s="59"/>
    </row>
    <row r="671" spans="3:5" x14ac:dyDescent="0.15">
      <c r="C671" s="255" t="s">
        <v>795</v>
      </c>
      <c r="D671" s="59">
        <v>175</v>
      </c>
      <c r="E671" s="59"/>
    </row>
    <row r="672" spans="3:5" x14ac:dyDescent="0.15">
      <c r="C672" s="255" t="s">
        <v>796</v>
      </c>
      <c r="D672" s="59">
        <v>345.4</v>
      </c>
      <c r="E672" s="59"/>
    </row>
    <row r="673" spans="3:5" x14ac:dyDescent="0.15">
      <c r="C673" s="255" t="s">
        <v>797</v>
      </c>
      <c r="D673" s="59">
        <v>411.8</v>
      </c>
      <c r="E673" s="59"/>
    </row>
    <row r="674" spans="3:5" x14ac:dyDescent="0.15">
      <c r="C674" s="255" t="s">
        <v>798</v>
      </c>
      <c r="D674" s="59">
        <v>80.7</v>
      </c>
      <c r="E674" s="59"/>
    </row>
    <row r="675" spans="3:5" x14ac:dyDescent="0.15">
      <c r="C675" s="255" t="s">
        <v>799</v>
      </c>
      <c r="D675" s="59">
        <v>50.1</v>
      </c>
      <c r="E675" s="59"/>
    </row>
    <row r="676" spans="3:5" x14ac:dyDescent="0.15">
      <c r="C676" s="255" t="s">
        <v>800</v>
      </c>
      <c r="D676" s="59">
        <v>80.3</v>
      </c>
      <c r="E676" s="59"/>
    </row>
    <row r="677" spans="3:5" x14ac:dyDescent="0.15">
      <c r="C677" s="255" t="s">
        <v>801</v>
      </c>
      <c r="D677" s="59">
        <v>228.2</v>
      </c>
      <c r="E677" s="59"/>
    </row>
    <row r="678" spans="3:5" x14ac:dyDescent="0.15">
      <c r="C678" s="255" t="s">
        <v>802</v>
      </c>
      <c r="D678" s="59">
        <v>772.6</v>
      </c>
      <c r="E678" s="59"/>
    </row>
    <row r="679" spans="3:5" x14ac:dyDescent="0.15">
      <c r="C679" s="255" t="s">
        <v>803</v>
      </c>
      <c r="D679" s="59">
        <v>529.20000000000005</v>
      </c>
      <c r="E679" s="59"/>
    </row>
    <row r="680" spans="3:5" x14ac:dyDescent="0.15">
      <c r="C680" s="255" t="s">
        <v>804</v>
      </c>
      <c r="D680" s="59">
        <v>338.9</v>
      </c>
      <c r="E680" s="59"/>
    </row>
    <row r="681" spans="3:5" x14ac:dyDescent="0.15">
      <c r="C681" s="255" t="s">
        <v>805</v>
      </c>
      <c r="D681" s="59">
        <v>11.3</v>
      </c>
      <c r="E681" s="59"/>
    </row>
    <row r="682" spans="3:5" x14ac:dyDescent="0.15">
      <c r="C682" s="255" t="s">
        <v>806</v>
      </c>
      <c r="D682" s="59">
        <v>316.60000000000002</v>
      </c>
      <c r="E682" s="59"/>
    </row>
    <row r="683" spans="3:5" x14ac:dyDescent="0.15">
      <c r="C683" s="255" t="s">
        <v>807</v>
      </c>
      <c r="D683" s="59">
        <v>164.3</v>
      </c>
      <c r="E683" s="59"/>
    </row>
    <row r="684" spans="3:5" x14ac:dyDescent="0.15">
      <c r="C684" s="255" t="s">
        <v>808</v>
      </c>
      <c r="D684" s="59">
        <v>4.5</v>
      </c>
      <c r="E684" s="59"/>
    </row>
    <row r="685" spans="3:5" x14ac:dyDescent="0.15">
      <c r="C685" s="255" t="s">
        <v>809</v>
      </c>
      <c r="D685" s="59">
        <v>243.8</v>
      </c>
      <c r="E685" s="59"/>
    </row>
    <row r="686" spans="3:5" x14ac:dyDescent="0.15">
      <c r="C686" s="255" t="s">
        <v>810</v>
      </c>
      <c r="D686" s="59">
        <v>195.7</v>
      </c>
      <c r="E686" s="59"/>
    </row>
    <row r="687" spans="3:5" x14ac:dyDescent="0.15">
      <c r="C687" s="255" t="s">
        <v>811</v>
      </c>
      <c r="D687" s="59">
        <v>767.4</v>
      </c>
      <c r="E687" s="59"/>
    </row>
    <row r="688" spans="3:5" x14ac:dyDescent="0.15">
      <c r="C688" s="255" t="s">
        <v>812</v>
      </c>
      <c r="D688" s="59">
        <v>78.2</v>
      </c>
      <c r="E688" s="59"/>
    </row>
    <row r="689" spans="3:5" x14ac:dyDescent="0.15">
      <c r="C689" s="255" t="s">
        <v>813</v>
      </c>
      <c r="D689" s="59">
        <v>23.6</v>
      </c>
      <c r="E689" s="59"/>
    </row>
    <row r="690" spans="3:5" x14ac:dyDescent="0.15">
      <c r="C690" s="255" t="s">
        <v>814</v>
      </c>
      <c r="D690" s="59">
        <v>78.599999999999994</v>
      </c>
      <c r="E690" s="59"/>
    </row>
    <row r="691" spans="3:5" x14ac:dyDescent="0.15">
      <c r="C691" s="255" t="s">
        <v>815</v>
      </c>
      <c r="D691" s="59">
        <v>317.2</v>
      </c>
      <c r="E691" s="59"/>
    </row>
    <row r="692" spans="3:5" x14ac:dyDescent="0.15">
      <c r="C692" s="255" t="s">
        <v>816</v>
      </c>
      <c r="D692" s="59">
        <v>326.3</v>
      </c>
      <c r="E692" s="59"/>
    </row>
    <row r="693" spans="3:5" x14ac:dyDescent="0.15">
      <c r="C693" s="255" t="s">
        <v>817</v>
      </c>
      <c r="D693" s="59">
        <v>4830.7</v>
      </c>
      <c r="E693" s="59"/>
    </row>
    <row r="694" spans="3:5" x14ac:dyDescent="0.15">
      <c r="C694" s="255" t="s">
        <v>818</v>
      </c>
      <c r="D694" s="59">
        <v>512.6</v>
      </c>
      <c r="E694" s="59"/>
    </row>
    <row r="695" spans="3:5" x14ac:dyDescent="0.15">
      <c r="C695" s="255" t="s">
        <v>819</v>
      </c>
      <c r="D695" s="59">
        <v>0.5</v>
      </c>
      <c r="E695" s="59"/>
    </row>
    <row r="696" spans="3:5" x14ac:dyDescent="0.15">
      <c r="C696" s="255" t="s">
        <v>820</v>
      </c>
      <c r="D696" s="59">
        <v>1624.5</v>
      </c>
      <c r="E696" s="59"/>
    </row>
    <row r="697" spans="3:5" x14ac:dyDescent="0.15">
      <c r="C697" s="255" t="s">
        <v>821</v>
      </c>
      <c r="D697" s="59">
        <v>9.9</v>
      </c>
      <c r="E697" s="59"/>
    </row>
    <row r="698" spans="3:5" x14ac:dyDescent="0.15">
      <c r="C698" s="255" t="s">
        <v>822</v>
      </c>
      <c r="D698" s="59">
        <v>123.5</v>
      </c>
      <c r="E698" s="59"/>
    </row>
    <row r="699" spans="3:5" x14ac:dyDescent="0.15">
      <c r="C699" s="255" t="s">
        <v>823</v>
      </c>
      <c r="D699" s="59">
        <v>3.2</v>
      </c>
      <c r="E699" s="59"/>
    </row>
    <row r="700" spans="3:5" x14ac:dyDescent="0.15">
      <c r="C700" s="255" t="s">
        <v>824</v>
      </c>
      <c r="D700" s="59">
        <v>364.2</v>
      </c>
      <c r="E700" s="59"/>
    </row>
    <row r="701" spans="3:5" x14ac:dyDescent="0.15">
      <c r="C701" s="255" t="s">
        <v>825</v>
      </c>
      <c r="D701" s="59">
        <v>295</v>
      </c>
      <c r="E701" s="59"/>
    </row>
    <row r="702" spans="3:5" x14ac:dyDescent="0.15">
      <c r="C702" s="255" t="s">
        <v>826</v>
      </c>
      <c r="D702" s="59">
        <v>2.5</v>
      </c>
      <c r="E702" s="59"/>
    </row>
    <row r="703" spans="3:5" x14ac:dyDescent="0.15">
      <c r="C703" s="255" t="s">
        <v>827</v>
      </c>
      <c r="D703" s="59">
        <v>0</v>
      </c>
      <c r="E703" s="59"/>
    </row>
    <row r="704" spans="3:5" x14ac:dyDescent="0.15">
      <c r="C704" s="255" t="s">
        <v>828</v>
      </c>
      <c r="D704" s="59">
        <v>1313.2</v>
      </c>
      <c r="E704" s="59"/>
    </row>
    <row r="705" spans="3:5" x14ac:dyDescent="0.15">
      <c r="C705" s="255" t="s">
        <v>829</v>
      </c>
      <c r="D705" s="59">
        <v>0.9</v>
      </c>
      <c r="E705" s="59"/>
    </row>
    <row r="706" spans="3:5" x14ac:dyDescent="0.15">
      <c r="C706" s="255" t="s">
        <v>830</v>
      </c>
      <c r="D706" s="59">
        <v>580.70000000000005</v>
      </c>
      <c r="E706" s="59"/>
    </row>
    <row r="707" spans="3:5" x14ac:dyDescent="0.15">
      <c r="C707" s="255" t="s">
        <v>831</v>
      </c>
      <c r="D707" s="59">
        <v>0</v>
      </c>
      <c r="E707" s="59"/>
    </row>
    <row r="708" spans="3:5" x14ac:dyDescent="0.15">
      <c r="C708" s="255" t="s">
        <v>832</v>
      </c>
      <c r="D708" s="59">
        <v>5169</v>
      </c>
      <c r="E708" s="59"/>
    </row>
    <row r="709" spans="3:5" x14ac:dyDescent="0.15">
      <c r="C709" s="255" t="s">
        <v>833</v>
      </c>
      <c r="D709" s="59">
        <v>2.4</v>
      </c>
      <c r="E709" s="59"/>
    </row>
    <row r="710" spans="3:5" x14ac:dyDescent="0.15">
      <c r="C710" s="255" t="s">
        <v>834</v>
      </c>
      <c r="D710" s="59">
        <v>880.5</v>
      </c>
      <c r="E710" s="59"/>
    </row>
    <row r="711" spans="3:5" x14ac:dyDescent="0.15">
      <c r="C711" s="255" t="s">
        <v>835</v>
      </c>
      <c r="D711" s="59">
        <v>2591.6999999999998</v>
      </c>
      <c r="E711" s="59"/>
    </row>
    <row r="712" spans="3:5" x14ac:dyDescent="0.15">
      <c r="C712" s="255" t="s">
        <v>836</v>
      </c>
      <c r="D712" s="59">
        <v>243.2</v>
      </c>
      <c r="E712" s="59"/>
    </row>
    <row r="713" spans="3:5" x14ac:dyDescent="0.15">
      <c r="C713" s="255" t="s">
        <v>837</v>
      </c>
      <c r="D713" s="59">
        <v>161.6</v>
      </c>
      <c r="E713" s="59"/>
    </row>
    <row r="714" spans="3:5" x14ac:dyDescent="0.15">
      <c r="C714" s="255" t="s">
        <v>838</v>
      </c>
      <c r="D714" s="59">
        <v>294.89999999999998</v>
      </c>
      <c r="E714" s="59"/>
    </row>
    <row r="715" spans="3:5" x14ac:dyDescent="0.15">
      <c r="C715" s="255" t="s">
        <v>839</v>
      </c>
      <c r="D715" s="59">
        <v>89.5</v>
      </c>
      <c r="E715" s="59"/>
    </row>
    <row r="716" spans="3:5" x14ac:dyDescent="0.15">
      <c r="C716" s="255" t="s">
        <v>840</v>
      </c>
      <c r="D716" s="59">
        <v>26.5</v>
      </c>
      <c r="E716" s="59"/>
    </row>
    <row r="717" spans="3:5" x14ac:dyDescent="0.15">
      <c r="C717" s="255" t="s">
        <v>841</v>
      </c>
      <c r="D717" s="59">
        <v>108.4</v>
      </c>
      <c r="E717" s="59"/>
    </row>
    <row r="718" spans="3:5" x14ac:dyDescent="0.15">
      <c r="C718" s="255" t="s">
        <v>842</v>
      </c>
      <c r="D718" s="59">
        <v>649.1</v>
      </c>
      <c r="E718" s="59"/>
    </row>
    <row r="719" spans="3:5" x14ac:dyDescent="0.15">
      <c r="C719" s="255" t="s">
        <v>843</v>
      </c>
      <c r="D719" s="59">
        <v>101.3</v>
      </c>
      <c r="E719" s="59"/>
    </row>
    <row r="720" spans="3:5" x14ac:dyDescent="0.15">
      <c r="C720" s="255" t="s">
        <v>844</v>
      </c>
      <c r="D720" s="59">
        <v>19.899999999999999</v>
      </c>
      <c r="E720" s="59"/>
    </row>
    <row r="721" spans="3:5" x14ac:dyDescent="0.15">
      <c r="C721" s="255" t="s">
        <v>845</v>
      </c>
      <c r="D721" s="59">
        <v>83822.3</v>
      </c>
      <c r="E721" s="59"/>
    </row>
    <row r="722" spans="3:5" x14ac:dyDescent="0.15">
      <c r="C722" s="255" t="s">
        <v>846</v>
      </c>
      <c r="D722" s="59">
        <v>33717.699999999997</v>
      </c>
      <c r="E722" s="59"/>
    </row>
    <row r="723" spans="3:5" x14ac:dyDescent="0.15">
      <c r="C723" s="255" t="s">
        <v>847</v>
      </c>
      <c r="D723" s="59">
        <v>48.7</v>
      </c>
      <c r="E723" s="59"/>
    </row>
    <row r="724" spans="3:5" x14ac:dyDescent="0.15">
      <c r="C724" s="255" t="s">
        <v>848</v>
      </c>
      <c r="D724" s="59">
        <v>20312.3</v>
      </c>
      <c r="E724" s="59"/>
    </row>
    <row r="725" spans="3:5" x14ac:dyDescent="0.15">
      <c r="C725" s="255" t="s">
        <v>849</v>
      </c>
      <c r="D725" s="59">
        <v>1898.9</v>
      </c>
      <c r="E725" s="59"/>
    </row>
    <row r="726" spans="3:5" x14ac:dyDescent="0.15">
      <c r="C726" s="255" t="s">
        <v>850</v>
      </c>
      <c r="D726" s="59">
        <v>507.3</v>
      </c>
      <c r="E726" s="59"/>
    </row>
    <row r="727" spans="3:5" x14ac:dyDescent="0.15">
      <c r="C727" s="255" t="s">
        <v>851</v>
      </c>
      <c r="D727" s="59">
        <v>0</v>
      </c>
      <c r="E727" s="59"/>
    </row>
    <row r="728" spans="3:5" x14ac:dyDescent="0.15">
      <c r="C728" s="255" t="s">
        <v>852</v>
      </c>
      <c r="D728" s="59">
        <v>0</v>
      </c>
      <c r="E728" s="59"/>
    </row>
    <row r="729" spans="3:5" x14ac:dyDescent="0.15">
      <c r="C729" s="255" t="s">
        <v>853</v>
      </c>
      <c r="D729" s="59">
        <v>100.1</v>
      </c>
      <c r="E729" s="59"/>
    </row>
    <row r="730" spans="3:5" x14ac:dyDescent="0.15">
      <c r="C730" s="255" t="s">
        <v>854</v>
      </c>
      <c r="D730" s="59">
        <v>0</v>
      </c>
      <c r="E730" s="59"/>
    </row>
    <row r="731" spans="3:5" x14ac:dyDescent="0.15">
      <c r="C731" s="255" t="s">
        <v>855</v>
      </c>
      <c r="D731" s="59">
        <v>90.8</v>
      </c>
      <c r="E731" s="59"/>
    </row>
    <row r="732" spans="3:5" x14ac:dyDescent="0.15">
      <c r="C732" s="255" t="s">
        <v>856</v>
      </c>
      <c r="D732" s="59">
        <v>1697.7</v>
      </c>
      <c r="E732" s="59"/>
    </row>
    <row r="733" spans="3:5" x14ac:dyDescent="0.15">
      <c r="C733" s="255" t="s">
        <v>857</v>
      </c>
      <c r="D733" s="59">
        <v>1759.6</v>
      </c>
      <c r="E733" s="59"/>
    </row>
    <row r="734" spans="3:5" x14ac:dyDescent="0.15">
      <c r="C734" s="255" t="s">
        <v>858</v>
      </c>
      <c r="D734" s="59">
        <v>2279.1999999999998</v>
      </c>
      <c r="E734" s="59"/>
    </row>
    <row r="735" spans="3:5" x14ac:dyDescent="0.15">
      <c r="C735" s="255" t="s">
        <v>859</v>
      </c>
      <c r="D735" s="59">
        <v>1448.2</v>
      </c>
      <c r="E735" s="59"/>
    </row>
    <row r="736" spans="3:5" x14ac:dyDescent="0.15">
      <c r="C736" s="255" t="s">
        <v>860</v>
      </c>
      <c r="D736" s="59">
        <v>88.2</v>
      </c>
      <c r="E736" s="59"/>
    </row>
    <row r="737" spans="3:5" x14ac:dyDescent="0.15">
      <c r="C737" s="255" t="s">
        <v>861</v>
      </c>
      <c r="D737" s="59">
        <v>1492.3</v>
      </c>
      <c r="E737" s="59"/>
    </row>
    <row r="738" spans="3:5" x14ac:dyDescent="0.15">
      <c r="C738" s="255" t="s">
        <v>862</v>
      </c>
      <c r="D738" s="59">
        <v>5357</v>
      </c>
      <c r="E738" s="59"/>
    </row>
    <row r="739" spans="3:5" x14ac:dyDescent="0.15">
      <c r="C739" s="255" t="s">
        <v>863</v>
      </c>
      <c r="D739" s="59">
        <v>1170.4000000000001</v>
      </c>
      <c r="E739" s="59"/>
    </row>
    <row r="740" spans="3:5" x14ac:dyDescent="0.15">
      <c r="C740" s="255" t="s">
        <v>864</v>
      </c>
      <c r="D740" s="59">
        <v>35.700000000000003</v>
      </c>
      <c r="E740" s="59"/>
    </row>
    <row r="741" spans="3:5" x14ac:dyDescent="0.15">
      <c r="C741" s="255" t="s">
        <v>865</v>
      </c>
      <c r="D741" s="59">
        <v>604.9</v>
      </c>
      <c r="E741" s="59"/>
    </row>
    <row r="742" spans="3:5" x14ac:dyDescent="0.15">
      <c r="C742" s="255" t="s">
        <v>866</v>
      </c>
      <c r="D742" s="59">
        <v>63.6</v>
      </c>
      <c r="E742" s="59"/>
    </row>
    <row r="743" spans="3:5" x14ac:dyDescent="0.15">
      <c r="C743" s="255" t="s">
        <v>867</v>
      </c>
      <c r="D743" s="59">
        <v>376.3</v>
      </c>
      <c r="E743" s="59"/>
    </row>
    <row r="744" spans="3:5" x14ac:dyDescent="0.15">
      <c r="C744" s="255" t="s">
        <v>868</v>
      </c>
      <c r="D744" s="59">
        <v>10773.4</v>
      </c>
      <c r="E744" s="59"/>
    </row>
    <row r="745" spans="3:5" x14ac:dyDescent="0.15">
      <c r="C745" s="255" t="s">
        <v>869</v>
      </c>
      <c r="D745" s="59">
        <v>6559.1</v>
      </c>
      <c r="E745" s="59"/>
    </row>
    <row r="746" spans="3:5" x14ac:dyDescent="0.15">
      <c r="C746" s="255" t="s">
        <v>870</v>
      </c>
      <c r="D746" s="59">
        <v>645.1</v>
      </c>
      <c r="E746" s="59"/>
    </row>
    <row r="747" spans="3:5" x14ac:dyDescent="0.15">
      <c r="C747" s="255" t="s">
        <v>871</v>
      </c>
      <c r="D747" s="59">
        <v>171.9</v>
      </c>
      <c r="E747" s="59"/>
    </row>
    <row r="748" spans="3:5" x14ac:dyDescent="0.15">
      <c r="C748" s="255" t="s">
        <v>872</v>
      </c>
      <c r="D748" s="59">
        <v>219.3</v>
      </c>
      <c r="E748" s="59"/>
    </row>
    <row r="749" spans="3:5" x14ac:dyDescent="0.15">
      <c r="C749" s="255" t="s">
        <v>873</v>
      </c>
      <c r="D749" s="59">
        <v>156.5</v>
      </c>
      <c r="E749" s="59"/>
    </row>
    <row r="750" spans="3:5" x14ac:dyDescent="0.15">
      <c r="C750" s="255" t="s">
        <v>874</v>
      </c>
      <c r="D750" s="59">
        <v>199</v>
      </c>
      <c r="E750" s="59"/>
    </row>
    <row r="751" spans="3:5" x14ac:dyDescent="0.15">
      <c r="C751" s="255" t="s">
        <v>875</v>
      </c>
      <c r="D751" s="59">
        <v>3.4</v>
      </c>
      <c r="E751" s="59"/>
    </row>
    <row r="752" spans="3:5" x14ac:dyDescent="0.15">
      <c r="C752" s="255" t="s">
        <v>876</v>
      </c>
      <c r="D752" s="59">
        <v>2.2000000000000002</v>
      </c>
      <c r="E752" s="59"/>
    </row>
    <row r="753" spans="3:5" x14ac:dyDescent="0.15">
      <c r="C753" s="255" t="s">
        <v>877</v>
      </c>
      <c r="D753" s="59">
        <v>38.200000000000003</v>
      </c>
      <c r="E753" s="59"/>
    </row>
    <row r="754" spans="3:5" x14ac:dyDescent="0.15">
      <c r="C754" s="255" t="s">
        <v>878</v>
      </c>
      <c r="D754" s="59">
        <v>3.2</v>
      </c>
      <c r="E754" s="59"/>
    </row>
    <row r="755" spans="3:5" x14ac:dyDescent="0.15">
      <c r="C755" s="255" t="s">
        <v>879</v>
      </c>
      <c r="D755" s="59">
        <v>552.9</v>
      </c>
      <c r="E755" s="59"/>
    </row>
    <row r="756" spans="3:5" x14ac:dyDescent="0.15">
      <c r="C756" s="255" t="s">
        <v>880</v>
      </c>
      <c r="D756" s="59">
        <v>26</v>
      </c>
      <c r="E756" s="59"/>
    </row>
    <row r="757" spans="3:5" x14ac:dyDescent="0.15">
      <c r="C757" s="255" t="s">
        <v>881</v>
      </c>
      <c r="D757" s="59">
        <v>0</v>
      </c>
      <c r="E757" s="59"/>
    </row>
    <row r="758" spans="3:5" x14ac:dyDescent="0.15">
      <c r="C758" s="255" t="s">
        <v>882</v>
      </c>
      <c r="D758" s="59">
        <v>143.19999999999999</v>
      </c>
      <c r="E758" s="59"/>
    </row>
    <row r="759" spans="3:5" x14ac:dyDescent="0.15">
      <c r="C759" s="255" t="s">
        <v>883</v>
      </c>
      <c r="D759" s="59">
        <v>144.19999999999999</v>
      </c>
      <c r="E759" s="59"/>
    </row>
    <row r="760" spans="3:5" x14ac:dyDescent="0.15">
      <c r="C760" s="255" t="s">
        <v>884</v>
      </c>
      <c r="D760" s="59">
        <v>282.3</v>
      </c>
      <c r="E760" s="59"/>
    </row>
    <row r="761" spans="3:5" x14ac:dyDescent="0.15">
      <c r="C761" s="255" t="s">
        <v>885</v>
      </c>
      <c r="D761" s="59">
        <v>73</v>
      </c>
      <c r="E761" s="59"/>
    </row>
    <row r="762" spans="3:5" x14ac:dyDescent="0.15">
      <c r="C762" s="255" t="s">
        <v>886</v>
      </c>
      <c r="D762" s="59">
        <v>0.1</v>
      </c>
      <c r="E762" s="59"/>
    </row>
    <row r="763" spans="3:5" x14ac:dyDescent="0.15">
      <c r="C763" s="255" t="s">
        <v>887</v>
      </c>
      <c r="D763" s="59">
        <v>227.3</v>
      </c>
      <c r="E763" s="59"/>
    </row>
    <row r="764" spans="3:5" x14ac:dyDescent="0.15">
      <c r="C764" s="255" t="s">
        <v>888</v>
      </c>
      <c r="D764" s="59">
        <v>0.1</v>
      </c>
      <c r="E764" s="59"/>
    </row>
    <row r="765" spans="3:5" x14ac:dyDescent="0.15">
      <c r="C765" s="255" t="s">
        <v>889</v>
      </c>
      <c r="D765" s="59">
        <v>112.7</v>
      </c>
      <c r="E765" s="59"/>
    </row>
    <row r="766" spans="3:5" x14ac:dyDescent="0.15">
      <c r="C766" s="255" t="s">
        <v>890</v>
      </c>
      <c r="D766" s="59">
        <v>26.5</v>
      </c>
      <c r="E766" s="59"/>
    </row>
    <row r="767" spans="3:5" x14ac:dyDescent="0.15">
      <c r="C767" s="255" t="s">
        <v>891</v>
      </c>
      <c r="D767" s="59">
        <v>0.1</v>
      </c>
      <c r="E767" s="59"/>
    </row>
    <row r="768" spans="3:5" x14ac:dyDescent="0.15">
      <c r="C768" s="255" t="s">
        <v>892</v>
      </c>
      <c r="D768" s="59">
        <v>19.5</v>
      </c>
      <c r="E768" s="59"/>
    </row>
    <row r="769" spans="3:5" x14ac:dyDescent="0.15">
      <c r="C769" s="255" t="s">
        <v>893</v>
      </c>
      <c r="D769" s="59">
        <v>73.7</v>
      </c>
      <c r="E769" s="59"/>
    </row>
    <row r="770" spans="3:5" x14ac:dyDescent="0.15">
      <c r="C770" s="255" t="s">
        <v>894</v>
      </c>
      <c r="D770" s="59">
        <v>0</v>
      </c>
      <c r="E770" s="59"/>
    </row>
    <row r="771" spans="3:5" x14ac:dyDescent="0.15">
      <c r="C771" s="255" t="s">
        <v>895</v>
      </c>
      <c r="D771" s="59">
        <v>125.5</v>
      </c>
      <c r="E771" s="59"/>
    </row>
    <row r="772" spans="3:5" x14ac:dyDescent="0.15">
      <c r="C772" s="255" t="s">
        <v>896</v>
      </c>
      <c r="D772" s="59">
        <v>3.2</v>
      </c>
      <c r="E772" s="59"/>
    </row>
    <row r="773" spans="3:5" x14ac:dyDescent="0.15">
      <c r="C773" s="255" t="s">
        <v>897</v>
      </c>
      <c r="D773" s="59">
        <v>492.4</v>
      </c>
      <c r="E773" s="59"/>
    </row>
    <row r="774" spans="3:5" x14ac:dyDescent="0.15">
      <c r="C774" s="255" t="s">
        <v>898</v>
      </c>
      <c r="D774" s="59">
        <v>140.80000000000001</v>
      </c>
      <c r="E774" s="59"/>
    </row>
    <row r="775" spans="3:5" x14ac:dyDescent="0.15">
      <c r="C775" s="255" t="s">
        <v>899</v>
      </c>
      <c r="D775" s="59">
        <v>0.2</v>
      </c>
      <c r="E775" s="59"/>
    </row>
    <row r="776" spans="3:5" x14ac:dyDescent="0.15">
      <c r="C776" s="255" t="s">
        <v>900</v>
      </c>
      <c r="D776" s="59">
        <v>95.5</v>
      </c>
      <c r="E776" s="59"/>
    </row>
    <row r="777" spans="3:5" x14ac:dyDescent="0.15">
      <c r="C777" s="255" t="s">
        <v>901</v>
      </c>
      <c r="D777" s="59">
        <v>455.1</v>
      </c>
      <c r="E777" s="59"/>
    </row>
    <row r="778" spans="3:5" x14ac:dyDescent="0.15">
      <c r="C778" s="255" t="s">
        <v>902</v>
      </c>
      <c r="D778" s="59">
        <v>29.9</v>
      </c>
      <c r="E778" s="59"/>
    </row>
    <row r="779" spans="3:5" x14ac:dyDescent="0.15">
      <c r="C779" s="255" t="s">
        <v>903</v>
      </c>
      <c r="D779" s="59">
        <v>660.5</v>
      </c>
      <c r="E779" s="59"/>
    </row>
    <row r="780" spans="3:5" x14ac:dyDescent="0.15">
      <c r="C780" s="255" t="s">
        <v>904</v>
      </c>
      <c r="D780" s="59">
        <v>578.79999999999995</v>
      </c>
      <c r="E780" s="59"/>
    </row>
    <row r="781" spans="3:5" x14ac:dyDescent="0.15">
      <c r="C781" s="255" t="s">
        <v>905</v>
      </c>
      <c r="D781" s="59">
        <v>163.69999999999999</v>
      </c>
      <c r="E781" s="59"/>
    </row>
    <row r="782" spans="3:5" x14ac:dyDescent="0.15">
      <c r="C782" s="255" t="s">
        <v>906</v>
      </c>
      <c r="D782" s="59">
        <v>12.4</v>
      </c>
      <c r="E782" s="59"/>
    </row>
    <row r="783" spans="3:5" x14ac:dyDescent="0.15">
      <c r="C783" s="255" t="s">
        <v>907</v>
      </c>
      <c r="D783" s="59">
        <v>680.8</v>
      </c>
      <c r="E783" s="59"/>
    </row>
    <row r="784" spans="3:5" x14ac:dyDescent="0.15">
      <c r="C784" s="255" t="s">
        <v>908</v>
      </c>
      <c r="D784" s="59">
        <v>9108.1</v>
      </c>
      <c r="E784" s="59"/>
    </row>
    <row r="785" spans="3:5" x14ac:dyDescent="0.15">
      <c r="C785" s="255" t="s">
        <v>909</v>
      </c>
      <c r="D785" s="59">
        <v>2616.1999999999998</v>
      </c>
      <c r="E785" s="59"/>
    </row>
    <row r="786" spans="3:5" x14ac:dyDescent="0.15">
      <c r="C786" s="255" t="s">
        <v>910</v>
      </c>
      <c r="D786" s="59">
        <v>7.7</v>
      </c>
      <c r="E786" s="59"/>
    </row>
    <row r="787" spans="3:5" x14ac:dyDescent="0.15">
      <c r="C787" s="255" t="s">
        <v>911</v>
      </c>
      <c r="D787" s="59">
        <v>265.10000000000002</v>
      </c>
      <c r="E787" s="59"/>
    </row>
    <row r="788" spans="3:5" x14ac:dyDescent="0.15">
      <c r="C788" s="255" t="s">
        <v>912</v>
      </c>
      <c r="D788" s="59">
        <v>2652.3</v>
      </c>
      <c r="E788" s="59"/>
    </row>
    <row r="789" spans="3:5" x14ac:dyDescent="0.15">
      <c r="C789" s="255" t="s">
        <v>913</v>
      </c>
      <c r="D789" s="59">
        <v>0</v>
      </c>
      <c r="E789" s="59"/>
    </row>
    <row r="790" spans="3:5" x14ac:dyDescent="0.15">
      <c r="C790" s="255" t="s">
        <v>914</v>
      </c>
      <c r="D790" s="59">
        <v>6.9</v>
      </c>
      <c r="E790" s="59"/>
    </row>
    <row r="791" spans="3:5" x14ac:dyDescent="0.15">
      <c r="C791" s="255" t="s">
        <v>915</v>
      </c>
      <c r="D791" s="59">
        <v>51.4</v>
      </c>
      <c r="E791" s="59"/>
    </row>
    <row r="792" spans="3:5" x14ac:dyDescent="0.15">
      <c r="C792" s="255" t="s">
        <v>916</v>
      </c>
      <c r="D792" s="59">
        <v>75.5</v>
      </c>
      <c r="E792" s="59"/>
    </row>
    <row r="793" spans="3:5" x14ac:dyDescent="0.15">
      <c r="C793" s="255" t="s">
        <v>917</v>
      </c>
      <c r="D793" s="59">
        <v>2.9</v>
      </c>
      <c r="E793" s="59"/>
    </row>
    <row r="794" spans="3:5" x14ac:dyDescent="0.15">
      <c r="C794" s="255" t="s">
        <v>918</v>
      </c>
      <c r="D794" s="59">
        <v>2257.6999999999998</v>
      </c>
      <c r="E794" s="59"/>
    </row>
    <row r="795" spans="3:5" x14ac:dyDescent="0.15">
      <c r="C795" s="255" t="s">
        <v>919</v>
      </c>
      <c r="D795" s="59">
        <v>0</v>
      </c>
      <c r="E795" s="59"/>
    </row>
    <row r="796" spans="3:5" x14ac:dyDescent="0.15">
      <c r="C796" s="255" t="s">
        <v>920</v>
      </c>
      <c r="D796" s="59">
        <v>1172.3</v>
      </c>
      <c r="E796" s="59"/>
    </row>
    <row r="797" spans="3:5" x14ac:dyDescent="0.15">
      <c r="C797" s="255" t="s">
        <v>921</v>
      </c>
      <c r="D797" s="59">
        <v>0</v>
      </c>
      <c r="E797" s="59"/>
    </row>
    <row r="798" spans="3:5" x14ac:dyDescent="0.15">
      <c r="C798" s="255" t="s">
        <v>922</v>
      </c>
      <c r="D798" s="59">
        <v>15124.6</v>
      </c>
      <c r="E798" s="59"/>
    </row>
    <row r="799" spans="3:5" x14ac:dyDescent="0.15">
      <c r="C799" s="255" t="s">
        <v>923</v>
      </c>
      <c r="D799" s="59">
        <v>4078.8</v>
      </c>
      <c r="E799" s="59"/>
    </row>
    <row r="800" spans="3:5" x14ac:dyDescent="0.15">
      <c r="C800" s="255" t="s">
        <v>924</v>
      </c>
      <c r="D800" s="59">
        <v>331.3</v>
      </c>
      <c r="E800" s="59"/>
    </row>
    <row r="801" spans="3:5" x14ac:dyDescent="0.15">
      <c r="C801" s="255" t="s">
        <v>925</v>
      </c>
      <c r="D801" s="59">
        <v>244.3</v>
      </c>
      <c r="E801" s="59"/>
    </row>
    <row r="802" spans="3:5" x14ac:dyDescent="0.15">
      <c r="C802" s="255" t="s">
        <v>926</v>
      </c>
      <c r="D802" s="59">
        <v>234.3</v>
      </c>
      <c r="E802" s="59"/>
    </row>
    <row r="803" spans="3:5" x14ac:dyDescent="0.15">
      <c r="C803" s="255" t="s">
        <v>927</v>
      </c>
      <c r="D803" s="59">
        <v>425.3</v>
      </c>
      <c r="E803" s="59"/>
    </row>
    <row r="804" spans="3:5" x14ac:dyDescent="0.15">
      <c r="C804" s="255" t="s">
        <v>928</v>
      </c>
      <c r="D804" s="59">
        <v>172.4</v>
      </c>
      <c r="E804" s="59"/>
    </row>
    <row r="805" spans="3:5" x14ac:dyDescent="0.15">
      <c r="C805" s="255" t="s">
        <v>929</v>
      </c>
      <c r="D805" s="59">
        <v>15</v>
      </c>
      <c r="E805" s="59"/>
    </row>
    <row r="806" spans="3:5" x14ac:dyDescent="0.15">
      <c r="C806" s="255" t="s">
        <v>930</v>
      </c>
      <c r="D806" s="59">
        <v>531.70000000000005</v>
      </c>
      <c r="E806" s="59"/>
    </row>
    <row r="807" spans="3:5" x14ac:dyDescent="0.15">
      <c r="C807" s="255" t="s">
        <v>931</v>
      </c>
      <c r="D807" s="59">
        <v>2626</v>
      </c>
      <c r="E807" s="59"/>
    </row>
    <row r="808" spans="3:5" x14ac:dyDescent="0.15">
      <c r="C808" s="255" t="s">
        <v>932</v>
      </c>
      <c r="D808" s="59">
        <v>0</v>
      </c>
      <c r="E808" s="59"/>
    </row>
    <row r="809" spans="3:5" x14ac:dyDescent="0.15">
      <c r="C809" s="255" t="s">
        <v>933</v>
      </c>
      <c r="D809" s="59">
        <v>7.6</v>
      </c>
      <c r="E809" s="59"/>
    </row>
    <row r="810" spans="3:5" x14ac:dyDescent="0.15">
      <c r="C810" s="255" t="s">
        <v>934</v>
      </c>
      <c r="D810" s="59">
        <v>2342</v>
      </c>
      <c r="E810" s="59"/>
    </row>
    <row r="811" spans="3:5" x14ac:dyDescent="0.15">
      <c r="C811" s="255" t="s">
        <v>935</v>
      </c>
      <c r="D811" s="59">
        <v>215.9</v>
      </c>
      <c r="E811" s="59"/>
    </row>
    <row r="812" spans="3:5" x14ac:dyDescent="0.15">
      <c r="C812" s="255" t="s">
        <v>936</v>
      </c>
      <c r="D812" s="59">
        <v>1566.9</v>
      </c>
      <c r="E812" s="59"/>
    </row>
    <row r="813" spans="3:5" x14ac:dyDescent="0.15">
      <c r="C813" s="255" t="s">
        <v>937</v>
      </c>
      <c r="D813" s="59">
        <v>83.2</v>
      </c>
      <c r="E813" s="59"/>
    </row>
    <row r="814" spans="3:5" x14ac:dyDescent="0.15">
      <c r="C814" s="255" t="s">
        <v>938</v>
      </c>
      <c r="D814" s="59">
        <v>180.7</v>
      </c>
      <c r="E814" s="59"/>
    </row>
    <row r="815" spans="3:5" x14ac:dyDescent="0.15">
      <c r="C815" s="255" t="s">
        <v>939</v>
      </c>
      <c r="D815" s="59">
        <v>0</v>
      </c>
      <c r="E815" s="59"/>
    </row>
    <row r="816" spans="3:5" x14ac:dyDescent="0.15">
      <c r="C816" s="255" t="s">
        <v>940</v>
      </c>
      <c r="D816" s="59">
        <v>121</v>
      </c>
      <c r="E816" s="59"/>
    </row>
    <row r="817" spans="3:5" x14ac:dyDescent="0.15">
      <c r="C817" s="255" t="s">
        <v>941</v>
      </c>
      <c r="D817" s="59">
        <v>296.2</v>
      </c>
      <c r="E817" s="59"/>
    </row>
    <row r="818" spans="3:5" x14ac:dyDescent="0.15">
      <c r="C818" s="255" t="s">
        <v>942</v>
      </c>
      <c r="D818" s="59">
        <v>0</v>
      </c>
      <c r="E818" s="59"/>
    </row>
    <row r="819" spans="3:5" x14ac:dyDescent="0.15">
      <c r="C819" s="255" t="s">
        <v>943</v>
      </c>
      <c r="D819" s="59">
        <v>566.20000000000005</v>
      </c>
      <c r="E819" s="59"/>
    </row>
    <row r="820" spans="3:5" x14ac:dyDescent="0.15">
      <c r="C820" s="255" t="s">
        <v>944</v>
      </c>
      <c r="D820" s="59">
        <v>166.6</v>
      </c>
      <c r="E820" s="59"/>
    </row>
    <row r="821" spans="3:5" x14ac:dyDescent="0.15">
      <c r="C821" s="255" t="s">
        <v>945</v>
      </c>
      <c r="D821" s="59">
        <v>783.7</v>
      </c>
      <c r="E821" s="59"/>
    </row>
    <row r="822" spans="3:5" x14ac:dyDescent="0.15">
      <c r="C822" s="255" t="s">
        <v>946</v>
      </c>
      <c r="D822" s="59">
        <v>113.9</v>
      </c>
      <c r="E822" s="59"/>
    </row>
    <row r="823" spans="3:5" x14ac:dyDescent="0.15">
      <c r="C823" s="255" t="s">
        <v>947</v>
      </c>
      <c r="D823" s="59">
        <v>21.6</v>
      </c>
      <c r="E823" s="59"/>
    </row>
    <row r="824" spans="3:5" x14ac:dyDescent="0.15">
      <c r="C824" s="255" t="s">
        <v>948</v>
      </c>
      <c r="D824" s="59">
        <v>5375.5</v>
      </c>
      <c r="E824" s="59"/>
    </row>
    <row r="825" spans="3:5" x14ac:dyDescent="0.15">
      <c r="C825" s="255" t="s">
        <v>949</v>
      </c>
      <c r="D825" s="59">
        <v>165.7</v>
      </c>
      <c r="E825" s="59"/>
    </row>
    <row r="826" spans="3:5" x14ac:dyDescent="0.15">
      <c r="C826" s="255" t="s">
        <v>950</v>
      </c>
      <c r="D826" s="59">
        <v>0.1</v>
      </c>
      <c r="E826" s="59"/>
    </row>
    <row r="827" spans="3:5" x14ac:dyDescent="0.15">
      <c r="C827" s="255" t="s">
        <v>951</v>
      </c>
      <c r="D827" s="59">
        <v>283.8</v>
      </c>
      <c r="E827" s="59"/>
    </row>
    <row r="828" spans="3:5" x14ac:dyDescent="0.15">
      <c r="C828" s="255" t="s">
        <v>952</v>
      </c>
      <c r="D828" s="59">
        <v>0</v>
      </c>
      <c r="E828" s="59"/>
    </row>
    <row r="829" spans="3:5" x14ac:dyDescent="0.15">
      <c r="C829" s="255" t="s">
        <v>953</v>
      </c>
      <c r="D829" s="59">
        <v>622.4</v>
      </c>
      <c r="E829" s="59"/>
    </row>
    <row r="830" spans="3:5" x14ac:dyDescent="0.15">
      <c r="C830" s="255" t="s">
        <v>954</v>
      </c>
      <c r="D830" s="59">
        <v>1190.0999999999999</v>
      </c>
      <c r="E830" s="59"/>
    </row>
    <row r="831" spans="3:5" x14ac:dyDescent="0.15">
      <c r="C831" s="255" t="s">
        <v>955</v>
      </c>
      <c r="D831" s="59">
        <v>989</v>
      </c>
      <c r="E831" s="59"/>
    </row>
    <row r="832" spans="3:5" x14ac:dyDescent="0.15">
      <c r="C832" s="255" t="s">
        <v>956</v>
      </c>
      <c r="D832" s="59">
        <v>2124.5</v>
      </c>
      <c r="E832" s="59"/>
    </row>
    <row r="833" spans="3:5" x14ac:dyDescent="0.15">
      <c r="C833" s="255" t="s">
        <v>957</v>
      </c>
      <c r="D833" s="59">
        <v>18262.7</v>
      </c>
      <c r="E833" s="59"/>
    </row>
    <row r="834" spans="3:5" x14ac:dyDescent="0.15">
      <c r="C834" s="255" t="s">
        <v>958</v>
      </c>
      <c r="D834" s="59">
        <v>201.7</v>
      </c>
      <c r="E834" s="59"/>
    </row>
    <row r="835" spans="3:5" x14ac:dyDescent="0.15">
      <c r="C835" s="255" t="s">
        <v>959</v>
      </c>
      <c r="D835" s="59">
        <v>302.7</v>
      </c>
      <c r="E835" s="59"/>
    </row>
    <row r="836" spans="3:5" x14ac:dyDescent="0.15">
      <c r="C836" s="255" t="s">
        <v>960</v>
      </c>
      <c r="D836" s="59">
        <v>12.2</v>
      </c>
      <c r="E836" s="59"/>
    </row>
    <row r="837" spans="3:5" x14ac:dyDescent="0.15">
      <c r="C837" s="255" t="s">
        <v>961</v>
      </c>
      <c r="D837" s="59">
        <v>0.1</v>
      </c>
      <c r="E837" s="59"/>
    </row>
    <row r="838" spans="3:5" x14ac:dyDescent="0.15">
      <c r="C838" s="255" t="s">
        <v>962</v>
      </c>
      <c r="D838" s="59">
        <v>0</v>
      </c>
      <c r="E838" s="59"/>
    </row>
    <row r="839" spans="3:5" x14ac:dyDescent="0.15">
      <c r="C839" s="255" t="s">
        <v>963</v>
      </c>
      <c r="D839" s="59">
        <v>179.3</v>
      </c>
      <c r="E839" s="59"/>
    </row>
    <row r="840" spans="3:5" x14ac:dyDescent="0.15">
      <c r="C840" s="255" t="s">
        <v>964</v>
      </c>
      <c r="D840" s="59">
        <v>334.8</v>
      </c>
      <c r="E840" s="59"/>
    </row>
    <row r="841" spans="3:5" x14ac:dyDescent="0.15">
      <c r="C841" s="255" t="s">
        <v>965</v>
      </c>
      <c r="D841" s="59">
        <v>64.599999999999994</v>
      </c>
      <c r="E841" s="59"/>
    </row>
    <row r="842" spans="3:5" x14ac:dyDescent="0.15">
      <c r="C842" s="255" t="s">
        <v>966</v>
      </c>
      <c r="D842" s="59">
        <v>0.1</v>
      </c>
      <c r="E842" s="59"/>
    </row>
    <row r="843" spans="3:5" x14ac:dyDescent="0.15">
      <c r="C843" s="255" t="s">
        <v>967</v>
      </c>
      <c r="D843" s="59">
        <v>89.6</v>
      </c>
      <c r="E843" s="59"/>
    </row>
    <row r="844" spans="3:5" x14ac:dyDescent="0.15">
      <c r="C844" s="255" t="s">
        <v>968</v>
      </c>
      <c r="D844" s="59">
        <v>0</v>
      </c>
      <c r="E844" s="59"/>
    </row>
    <row r="845" spans="3:5" x14ac:dyDescent="0.15">
      <c r="C845" s="255" t="s">
        <v>969</v>
      </c>
      <c r="D845" s="59">
        <v>23</v>
      </c>
      <c r="E845" s="59"/>
    </row>
    <row r="846" spans="3:5" x14ac:dyDescent="0.15">
      <c r="C846" s="255" t="s">
        <v>970</v>
      </c>
      <c r="D846" s="59">
        <v>486.3</v>
      </c>
      <c r="E846" s="59"/>
    </row>
    <row r="847" spans="3:5" x14ac:dyDescent="0.15">
      <c r="C847" s="255" t="s">
        <v>971</v>
      </c>
      <c r="D847" s="59">
        <v>8.5</v>
      </c>
      <c r="E847" s="59"/>
    </row>
    <row r="848" spans="3:5" x14ac:dyDescent="0.15">
      <c r="C848" s="255" t="s">
        <v>972</v>
      </c>
      <c r="D848" s="59">
        <v>92.3</v>
      </c>
      <c r="E848" s="59"/>
    </row>
    <row r="849" spans="3:5" x14ac:dyDescent="0.15">
      <c r="C849" s="255" t="s">
        <v>973</v>
      </c>
      <c r="D849" s="59">
        <v>0</v>
      </c>
      <c r="E849" s="59"/>
    </row>
    <row r="850" spans="3:5" x14ac:dyDescent="0.15">
      <c r="C850" s="255" t="s">
        <v>974</v>
      </c>
      <c r="D850" s="59">
        <v>34</v>
      </c>
      <c r="E850" s="59"/>
    </row>
    <row r="851" spans="3:5" x14ac:dyDescent="0.15">
      <c r="C851" s="255" t="s">
        <v>975</v>
      </c>
      <c r="D851" s="59">
        <v>0</v>
      </c>
      <c r="E851" s="59"/>
    </row>
    <row r="852" spans="3:5" x14ac:dyDescent="0.15">
      <c r="C852" s="255" t="s">
        <v>976</v>
      </c>
      <c r="D852" s="59">
        <v>11.8</v>
      </c>
      <c r="E852" s="59"/>
    </row>
    <row r="853" spans="3:5" x14ac:dyDescent="0.15">
      <c r="C853" s="255" t="s">
        <v>977</v>
      </c>
      <c r="D853" s="59">
        <v>150.69999999999999</v>
      </c>
      <c r="E853" s="59"/>
    </row>
    <row r="854" spans="3:5" x14ac:dyDescent="0.15">
      <c r="C854" s="255" t="s">
        <v>978</v>
      </c>
      <c r="D854" s="59">
        <v>500.3</v>
      </c>
      <c r="E854" s="59"/>
    </row>
    <row r="855" spans="3:5" x14ac:dyDescent="0.15">
      <c r="C855" s="255" t="s">
        <v>979</v>
      </c>
      <c r="D855" s="59">
        <v>60.9</v>
      </c>
      <c r="E855" s="59"/>
    </row>
    <row r="856" spans="3:5" x14ac:dyDescent="0.15">
      <c r="C856" s="255" t="s">
        <v>980</v>
      </c>
      <c r="D856" s="59">
        <v>60.6</v>
      </c>
      <c r="E856" s="59"/>
    </row>
    <row r="857" spans="3:5" x14ac:dyDescent="0.15">
      <c r="C857" s="255" t="s">
        <v>981</v>
      </c>
      <c r="D857" s="59">
        <v>0</v>
      </c>
      <c r="E857" s="59"/>
    </row>
    <row r="858" spans="3:5" x14ac:dyDescent="0.15">
      <c r="C858" s="255" t="s">
        <v>982</v>
      </c>
      <c r="D858" s="59">
        <v>234.5</v>
      </c>
      <c r="E858" s="59"/>
    </row>
    <row r="859" spans="3:5" x14ac:dyDescent="0.15">
      <c r="C859" s="255" t="s">
        <v>983</v>
      </c>
      <c r="D859" s="59">
        <v>1875.2</v>
      </c>
      <c r="E859" s="59"/>
    </row>
    <row r="860" spans="3:5" x14ac:dyDescent="0.15">
      <c r="C860" s="255" t="s">
        <v>984</v>
      </c>
      <c r="D860" s="59">
        <v>0</v>
      </c>
      <c r="E860" s="59"/>
    </row>
    <row r="861" spans="3:5" x14ac:dyDescent="0.15">
      <c r="C861" s="255" t="s">
        <v>985</v>
      </c>
      <c r="D861" s="59">
        <v>434.9</v>
      </c>
      <c r="E861" s="59"/>
    </row>
    <row r="862" spans="3:5" x14ac:dyDescent="0.15">
      <c r="C862" s="255" t="s">
        <v>986</v>
      </c>
      <c r="D862" s="59">
        <v>86.6</v>
      </c>
      <c r="E862" s="59"/>
    </row>
    <row r="863" spans="3:5" x14ac:dyDescent="0.15">
      <c r="C863" s="255" t="s">
        <v>987</v>
      </c>
      <c r="D863" s="59">
        <v>142.5</v>
      </c>
      <c r="E863" s="59"/>
    </row>
    <row r="864" spans="3:5" x14ac:dyDescent="0.15">
      <c r="C864" s="255" t="s">
        <v>988</v>
      </c>
      <c r="D864" s="59">
        <v>414.1</v>
      </c>
      <c r="E864" s="59"/>
    </row>
    <row r="865" spans="3:5" x14ac:dyDescent="0.15">
      <c r="C865" s="255" t="s">
        <v>989</v>
      </c>
      <c r="D865" s="59">
        <v>811.9</v>
      </c>
      <c r="E865" s="59"/>
    </row>
    <row r="866" spans="3:5" x14ac:dyDescent="0.15">
      <c r="C866" s="255" t="s">
        <v>990</v>
      </c>
      <c r="D866" s="59">
        <v>187.4</v>
      </c>
      <c r="E866" s="59"/>
    </row>
    <row r="867" spans="3:5" x14ac:dyDescent="0.15">
      <c r="C867" s="255" t="s">
        <v>991</v>
      </c>
      <c r="D867" s="59">
        <v>4564.7</v>
      </c>
      <c r="E867" s="59"/>
    </row>
    <row r="868" spans="3:5" x14ac:dyDescent="0.15">
      <c r="C868" s="255" t="s">
        <v>992</v>
      </c>
      <c r="D868" s="59">
        <v>0</v>
      </c>
      <c r="E868" s="59"/>
    </row>
    <row r="869" spans="3:5" x14ac:dyDescent="0.15">
      <c r="C869" s="255" t="s">
        <v>993</v>
      </c>
      <c r="D869" s="59">
        <v>11.5</v>
      </c>
      <c r="E869" s="59"/>
    </row>
    <row r="870" spans="3:5" x14ac:dyDescent="0.15">
      <c r="C870" s="255" t="s">
        <v>994</v>
      </c>
      <c r="D870" s="59">
        <v>0</v>
      </c>
      <c r="E870" s="59"/>
    </row>
    <row r="871" spans="3:5" x14ac:dyDescent="0.15">
      <c r="C871" s="255" t="s">
        <v>995</v>
      </c>
      <c r="D871" s="59">
        <v>954.7</v>
      </c>
      <c r="E871" s="59"/>
    </row>
    <row r="872" spans="3:5" x14ac:dyDescent="0.15">
      <c r="C872" s="255" t="s">
        <v>996</v>
      </c>
      <c r="D872" s="59">
        <v>193.2</v>
      </c>
      <c r="E872" s="59"/>
    </row>
    <row r="873" spans="3:5" x14ac:dyDescent="0.15">
      <c r="C873" s="255" t="s">
        <v>997</v>
      </c>
      <c r="D873" s="59">
        <v>107.5</v>
      </c>
      <c r="E873" s="59"/>
    </row>
    <row r="874" spans="3:5" x14ac:dyDescent="0.15">
      <c r="C874" s="255" t="s">
        <v>998</v>
      </c>
      <c r="D874" s="59">
        <v>42.2</v>
      </c>
      <c r="E874" s="59"/>
    </row>
    <row r="875" spans="3:5" x14ac:dyDescent="0.15">
      <c r="C875" s="255" t="s">
        <v>999</v>
      </c>
      <c r="D875" s="59">
        <v>0</v>
      </c>
      <c r="E875" s="59"/>
    </row>
    <row r="876" spans="3:5" x14ac:dyDescent="0.15">
      <c r="C876" s="255" t="s">
        <v>1000</v>
      </c>
      <c r="D876" s="59">
        <v>1501.8</v>
      </c>
      <c r="E876" s="59"/>
    </row>
    <row r="877" spans="3:5" x14ac:dyDescent="0.15">
      <c r="C877" s="255" t="s">
        <v>1001</v>
      </c>
      <c r="D877" s="59">
        <v>668.9</v>
      </c>
      <c r="E877" s="59"/>
    </row>
    <row r="878" spans="3:5" x14ac:dyDescent="0.15">
      <c r="C878" s="255" t="s">
        <v>1002</v>
      </c>
      <c r="D878" s="59">
        <v>101.2</v>
      </c>
      <c r="E878" s="59"/>
    </row>
    <row r="879" spans="3:5" x14ac:dyDescent="0.15">
      <c r="C879" s="255" t="s">
        <v>1003</v>
      </c>
      <c r="D879" s="59">
        <v>35.1</v>
      </c>
      <c r="E879" s="59"/>
    </row>
    <row r="880" spans="3:5" x14ac:dyDescent="0.15">
      <c r="C880" s="255" t="s">
        <v>1004</v>
      </c>
      <c r="D880" s="59">
        <v>60.2</v>
      </c>
      <c r="E880" s="59"/>
    </row>
    <row r="881" spans="3:5" x14ac:dyDescent="0.15">
      <c r="C881" s="255" t="s">
        <v>1005</v>
      </c>
      <c r="D881" s="59">
        <v>61.7</v>
      </c>
      <c r="E881" s="59"/>
    </row>
    <row r="882" spans="3:5" x14ac:dyDescent="0.15">
      <c r="C882" s="255" t="s">
        <v>1006</v>
      </c>
      <c r="D882" s="59">
        <v>3159.3</v>
      </c>
      <c r="E882" s="59"/>
    </row>
    <row r="883" spans="3:5" x14ac:dyDescent="0.15">
      <c r="C883" s="255" t="s">
        <v>1007</v>
      </c>
      <c r="D883" s="59">
        <v>88.1</v>
      </c>
      <c r="E883" s="59"/>
    </row>
    <row r="884" spans="3:5" x14ac:dyDescent="0.15">
      <c r="C884" s="255" t="s">
        <v>1008</v>
      </c>
      <c r="D884" s="59">
        <v>0</v>
      </c>
      <c r="E884" s="59"/>
    </row>
    <row r="885" spans="3:5" x14ac:dyDescent="0.15">
      <c r="C885" s="255" t="s">
        <v>1009</v>
      </c>
      <c r="D885" s="59">
        <v>0</v>
      </c>
      <c r="E885" s="59"/>
    </row>
    <row r="886" spans="3:5" x14ac:dyDescent="0.15">
      <c r="C886" s="255" t="s">
        <v>1010</v>
      </c>
      <c r="D886" s="59">
        <v>0</v>
      </c>
      <c r="E886" s="59"/>
    </row>
    <row r="887" spans="3:5" x14ac:dyDescent="0.15">
      <c r="C887" s="255" t="s">
        <v>1011</v>
      </c>
      <c r="D887" s="59">
        <v>88.1</v>
      </c>
      <c r="E887" s="59"/>
    </row>
    <row r="888" spans="3:5" x14ac:dyDescent="0.15">
      <c r="C888" s="255" t="s">
        <v>1012</v>
      </c>
      <c r="D888" s="59">
        <v>6172.1</v>
      </c>
      <c r="E888" s="59"/>
    </row>
    <row r="889" spans="3:5" x14ac:dyDescent="0.15">
      <c r="C889" s="255" t="s">
        <v>1013</v>
      </c>
      <c r="D889" s="59">
        <v>4027.4</v>
      </c>
      <c r="E889" s="59"/>
    </row>
    <row r="890" spans="3:5" x14ac:dyDescent="0.15">
      <c r="C890" s="255" t="s">
        <v>1014</v>
      </c>
      <c r="D890" s="59">
        <v>496.7</v>
      </c>
      <c r="E890" s="59"/>
    </row>
    <row r="891" spans="3:5" x14ac:dyDescent="0.15">
      <c r="C891" s="255" t="s">
        <v>1015</v>
      </c>
      <c r="D891" s="59">
        <v>264.60000000000002</v>
      </c>
      <c r="E891" s="59"/>
    </row>
    <row r="892" spans="3:5" x14ac:dyDescent="0.15">
      <c r="C892" s="255" t="s">
        <v>1016</v>
      </c>
      <c r="D892" s="59">
        <v>587.20000000000005</v>
      </c>
      <c r="E892" s="59"/>
    </row>
    <row r="893" spans="3:5" x14ac:dyDescent="0.15">
      <c r="C893" s="255" t="s">
        <v>1017</v>
      </c>
      <c r="D893" s="59">
        <v>796.2</v>
      </c>
      <c r="E893" s="59"/>
    </row>
    <row r="894" spans="3:5" x14ac:dyDescent="0.15">
      <c r="C894" s="255" t="s">
        <v>1018</v>
      </c>
      <c r="D894" s="59">
        <v>0</v>
      </c>
      <c r="E894" s="59"/>
    </row>
    <row r="895" spans="3:5" x14ac:dyDescent="0.15">
      <c r="C895" s="255" t="s">
        <v>1019</v>
      </c>
      <c r="D895" s="59">
        <v>16376.6</v>
      </c>
      <c r="E895" s="59"/>
    </row>
    <row r="896" spans="3:5" x14ac:dyDescent="0.15">
      <c r="C896" s="255" t="s">
        <v>1020</v>
      </c>
      <c r="D896" s="59">
        <v>154.30000000000001</v>
      </c>
      <c r="E896" s="59"/>
    </row>
    <row r="897" spans="3:5" x14ac:dyDescent="0.15">
      <c r="C897" s="255" t="s">
        <v>1021</v>
      </c>
      <c r="D897" s="59">
        <v>1337.9</v>
      </c>
      <c r="E897" s="59"/>
    </row>
    <row r="898" spans="3:5" x14ac:dyDescent="0.15">
      <c r="C898" s="255" t="s">
        <v>1022</v>
      </c>
      <c r="D898" s="59">
        <v>180.5</v>
      </c>
      <c r="E898" s="59"/>
    </row>
    <row r="899" spans="3:5" x14ac:dyDescent="0.15">
      <c r="C899" s="255" t="s">
        <v>1023</v>
      </c>
      <c r="D899" s="59">
        <v>84.2</v>
      </c>
      <c r="E899" s="59"/>
    </row>
    <row r="900" spans="3:5" x14ac:dyDescent="0.15">
      <c r="C900" s="255" t="s">
        <v>1024</v>
      </c>
      <c r="D900" s="59">
        <v>0.2</v>
      </c>
      <c r="E900" s="59"/>
    </row>
    <row r="901" spans="3:5" x14ac:dyDescent="0.15">
      <c r="C901" s="255" t="s">
        <v>1025</v>
      </c>
      <c r="D901" s="59">
        <v>123.9</v>
      </c>
      <c r="E901" s="59"/>
    </row>
    <row r="902" spans="3:5" x14ac:dyDescent="0.15">
      <c r="C902" s="255" t="s">
        <v>1026</v>
      </c>
      <c r="D902" s="59">
        <v>1758.8</v>
      </c>
      <c r="E902" s="59"/>
    </row>
    <row r="903" spans="3:5" x14ac:dyDescent="0.15">
      <c r="C903" s="255" t="s">
        <v>1027</v>
      </c>
      <c r="D903" s="59">
        <v>0</v>
      </c>
      <c r="E903" s="59"/>
    </row>
    <row r="904" spans="3:5" x14ac:dyDescent="0.15">
      <c r="C904" s="255" t="s">
        <v>1028</v>
      </c>
      <c r="D904" s="59">
        <v>497.1</v>
      </c>
      <c r="E904" s="59"/>
    </row>
    <row r="905" spans="3:5" x14ac:dyDescent="0.15">
      <c r="C905" s="255" t="s">
        <v>1029</v>
      </c>
      <c r="D905" s="59">
        <v>163.6</v>
      </c>
      <c r="E905" s="59"/>
    </row>
    <row r="906" spans="3:5" x14ac:dyDescent="0.15">
      <c r="C906" s="255" t="s">
        <v>1030</v>
      </c>
      <c r="D906" s="59">
        <v>7.9</v>
      </c>
      <c r="E906" s="59"/>
    </row>
    <row r="907" spans="3:5" x14ac:dyDescent="0.15">
      <c r="C907" s="255" t="s">
        <v>1031</v>
      </c>
      <c r="D907" s="59">
        <v>405.4</v>
      </c>
      <c r="E907" s="59"/>
    </row>
    <row r="908" spans="3:5" x14ac:dyDescent="0.15">
      <c r="C908" s="255" t="s">
        <v>1032</v>
      </c>
      <c r="D908" s="59">
        <v>0.2</v>
      </c>
      <c r="E908" s="59"/>
    </row>
    <row r="909" spans="3:5" x14ac:dyDescent="0.15">
      <c r="C909" s="255" t="s">
        <v>1033</v>
      </c>
      <c r="D909" s="59">
        <v>7.6</v>
      </c>
      <c r="E909" s="59"/>
    </row>
    <row r="910" spans="3:5" x14ac:dyDescent="0.15">
      <c r="C910" s="255" t="s">
        <v>1034</v>
      </c>
      <c r="D910" s="59">
        <v>28</v>
      </c>
      <c r="E910" s="59"/>
    </row>
    <row r="911" spans="3:5" x14ac:dyDescent="0.15">
      <c r="C911" s="255" t="s">
        <v>1035</v>
      </c>
      <c r="D911" s="59">
        <v>0</v>
      </c>
      <c r="E911" s="59"/>
    </row>
    <row r="912" spans="3:5" x14ac:dyDescent="0.15">
      <c r="C912" s="255" t="s">
        <v>1036</v>
      </c>
      <c r="D912" s="59">
        <v>1488.1</v>
      </c>
      <c r="E912" s="59"/>
    </row>
    <row r="913" spans="2:5" x14ac:dyDescent="0.15">
      <c r="C913" s="255" t="s">
        <v>1037</v>
      </c>
      <c r="D913" s="59">
        <v>57.9</v>
      </c>
      <c r="E913" s="59"/>
    </row>
    <row r="914" spans="2:5" x14ac:dyDescent="0.15">
      <c r="C914" s="255" t="s">
        <v>1038</v>
      </c>
      <c r="D914" s="59">
        <v>3405.6</v>
      </c>
      <c r="E914" s="59"/>
    </row>
    <row r="915" spans="2:5" x14ac:dyDescent="0.15">
      <c r="C915" s="255" t="s">
        <v>1039</v>
      </c>
      <c r="D915" s="59">
        <v>993.6</v>
      </c>
      <c r="E915" s="59"/>
    </row>
    <row r="916" spans="2:5" x14ac:dyDescent="0.15">
      <c r="C916" s="255" t="s">
        <v>1040</v>
      </c>
      <c r="D916" s="59">
        <v>2363.4</v>
      </c>
      <c r="E916" s="59"/>
    </row>
    <row r="917" spans="2:5" x14ac:dyDescent="0.15">
      <c r="C917" s="255" t="s">
        <v>1041</v>
      </c>
      <c r="D917" s="59">
        <v>224.6</v>
      </c>
      <c r="E917" s="59"/>
    </row>
    <row r="918" spans="2:5" x14ac:dyDescent="0.15">
      <c r="C918" s="255" t="s">
        <v>1042</v>
      </c>
      <c r="D918" s="59">
        <v>687.3</v>
      </c>
      <c r="E918" s="59"/>
    </row>
    <row r="919" spans="2:5" x14ac:dyDescent="0.15">
      <c r="C919" s="255" t="s">
        <v>1043</v>
      </c>
      <c r="D919" s="59">
        <v>773.5</v>
      </c>
      <c r="E919" s="59"/>
    </row>
    <row r="920" spans="2:5" x14ac:dyDescent="0.15">
      <c r="C920" s="255" t="s">
        <v>1044</v>
      </c>
      <c r="D920" s="59">
        <v>295.5</v>
      </c>
      <c r="E920" s="59"/>
    </row>
    <row r="921" spans="2:5" x14ac:dyDescent="0.15">
      <c r="C921" s="255" t="s">
        <v>1045</v>
      </c>
      <c r="D921" s="59">
        <v>60.5</v>
      </c>
      <c r="E921" s="59"/>
    </row>
    <row r="922" spans="2:5" x14ac:dyDescent="0.15">
      <c r="C922" s="255" t="s">
        <v>1046</v>
      </c>
      <c r="D922" s="59">
        <v>145.6</v>
      </c>
      <c r="E922" s="59"/>
    </row>
    <row r="923" spans="2:5" x14ac:dyDescent="0.15">
      <c r="C923" s="255" t="s">
        <v>1047</v>
      </c>
      <c r="D923" s="59">
        <v>1067.0999999999999</v>
      </c>
      <c r="E923" s="59"/>
    </row>
    <row r="924" spans="2:5" x14ac:dyDescent="0.15">
      <c r="C924" s="255" t="s">
        <v>1048</v>
      </c>
      <c r="D924" s="59">
        <v>64.2</v>
      </c>
      <c r="E924" s="59"/>
    </row>
    <row r="925" spans="2:5" x14ac:dyDescent="0.15">
      <c r="B925" s="255" t="s">
        <v>189</v>
      </c>
      <c r="C925" s="255" t="s">
        <v>743</v>
      </c>
      <c r="D925" s="59">
        <v>86</v>
      </c>
      <c r="E925" s="59"/>
    </row>
    <row r="926" spans="2:5" x14ac:dyDescent="0.15">
      <c r="C926" s="255" t="s">
        <v>744</v>
      </c>
      <c r="D926" s="59">
        <v>123.3</v>
      </c>
      <c r="E926" s="59"/>
    </row>
    <row r="927" spans="2:5" x14ac:dyDescent="0.15">
      <c r="C927" s="255" t="s">
        <v>745</v>
      </c>
      <c r="D927" s="59">
        <v>305.39999999999998</v>
      </c>
      <c r="E927" s="59"/>
    </row>
    <row r="928" spans="2:5" x14ac:dyDescent="0.15">
      <c r="C928" s="255" t="s">
        <v>746</v>
      </c>
      <c r="D928" s="59">
        <v>2.5</v>
      </c>
      <c r="E928" s="59"/>
    </row>
    <row r="929" spans="3:5" x14ac:dyDescent="0.15">
      <c r="C929" s="255" t="s">
        <v>747</v>
      </c>
      <c r="D929" s="59">
        <v>1</v>
      </c>
      <c r="E929" s="59"/>
    </row>
    <row r="930" spans="3:5" x14ac:dyDescent="0.15">
      <c r="C930" s="255" t="s">
        <v>748</v>
      </c>
      <c r="D930" s="59">
        <v>1.5</v>
      </c>
      <c r="E930" s="59"/>
    </row>
    <row r="931" spans="3:5" x14ac:dyDescent="0.15">
      <c r="C931" s="255" t="s">
        <v>749</v>
      </c>
      <c r="D931" s="59">
        <v>0.2</v>
      </c>
      <c r="E931" s="59"/>
    </row>
    <row r="932" spans="3:5" x14ac:dyDescent="0.15">
      <c r="C932" s="255" t="s">
        <v>750</v>
      </c>
      <c r="D932" s="59">
        <v>0.9</v>
      </c>
      <c r="E932" s="59"/>
    </row>
    <row r="933" spans="3:5" x14ac:dyDescent="0.15">
      <c r="C933" s="255" t="s">
        <v>751</v>
      </c>
      <c r="D933" s="59">
        <v>39.1</v>
      </c>
      <c r="E933" s="59"/>
    </row>
    <row r="934" spans="3:5" x14ac:dyDescent="0.15">
      <c r="C934" s="255" t="s">
        <v>752</v>
      </c>
      <c r="D934" s="59">
        <v>1.5</v>
      </c>
      <c r="E934" s="59"/>
    </row>
    <row r="935" spans="3:5" x14ac:dyDescent="0.15">
      <c r="C935" s="255" t="s">
        <v>753</v>
      </c>
      <c r="D935" s="59">
        <v>106.8</v>
      </c>
      <c r="E935" s="59"/>
    </row>
    <row r="936" spans="3:5" x14ac:dyDescent="0.15">
      <c r="C936" s="255" t="s">
        <v>754</v>
      </c>
      <c r="D936" s="59">
        <v>1956.4</v>
      </c>
      <c r="E936" s="59"/>
    </row>
    <row r="937" spans="3:5" x14ac:dyDescent="0.15">
      <c r="C937" s="255" t="s">
        <v>192</v>
      </c>
      <c r="D937" s="59">
        <v>246764.4</v>
      </c>
      <c r="E937" s="59"/>
    </row>
    <row r="938" spans="3:5" x14ac:dyDescent="0.15">
      <c r="C938" s="255" t="s">
        <v>755</v>
      </c>
      <c r="D938" s="59">
        <v>34015.5</v>
      </c>
      <c r="E938" s="59"/>
    </row>
    <row r="939" spans="3:5" x14ac:dyDescent="0.15">
      <c r="C939" s="255" t="s">
        <v>756</v>
      </c>
      <c r="D939" s="59">
        <v>123.2</v>
      </c>
      <c r="E939" s="59"/>
    </row>
    <row r="940" spans="3:5" x14ac:dyDescent="0.15">
      <c r="C940" s="255" t="s">
        <v>757</v>
      </c>
      <c r="D940" s="59">
        <v>104.8</v>
      </c>
      <c r="E940" s="59"/>
    </row>
    <row r="941" spans="3:5" x14ac:dyDescent="0.15">
      <c r="C941" s="255" t="s">
        <v>758</v>
      </c>
      <c r="D941" s="59">
        <v>1982.7</v>
      </c>
      <c r="E941" s="59"/>
    </row>
    <row r="942" spans="3:5" x14ac:dyDescent="0.15">
      <c r="C942" s="255" t="s">
        <v>759</v>
      </c>
      <c r="D942" s="59">
        <v>1064.5999999999999</v>
      </c>
      <c r="E942" s="59"/>
    </row>
    <row r="943" spans="3:5" x14ac:dyDescent="0.15">
      <c r="C943" s="255" t="s">
        <v>760</v>
      </c>
      <c r="D943" s="59">
        <v>310.3</v>
      </c>
      <c r="E943" s="59"/>
    </row>
    <row r="944" spans="3:5" x14ac:dyDescent="0.15">
      <c r="C944" s="255" t="s">
        <v>761</v>
      </c>
      <c r="D944" s="59">
        <v>433.4</v>
      </c>
      <c r="E944" s="59"/>
    </row>
    <row r="945" spans="3:5" x14ac:dyDescent="0.15">
      <c r="C945" s="255" t="s">
        <v>762</v>
      </c>
      <c r="D945" s="59">
        <v>448.4</v>
      </c>
      <c r="E945" s="59"/>
    </row>
    <row r="946" spans="3:5" x14ac:dyDescent="0.15">
      <c r="C946" s="255" t="s">
        <v>763</v>
      </c>
      <c r="D946" s="59">
        <v>216.7</v>
      </c>
      <c r="E946" s="59"/>
    </row>
    <row r="947" spans="3:5" x14ac:dyDescent="0.15">
      <c r="C947" s="255" t="s">
        <v>764</v>
      </c>
      <c r="D947" s="59">
        <v>1856.8</v>
      </c>
      <c r="E947" s="59"/>
    </row>
    <row r="948" spans="3:5" x14ac:dyDescent="0.15">
      <c r="C948" s="255" t="s">
        <v>765</v>
      </c>
      <c r="D948" s="59">
        <v>877.1</v>
      </c>
      <c r="E948" s="59"/>
    </row>
    <row r="949" spans="3:5" x14ac:dyDescent="0.15">
      <c r="C949" s="255" t="s">
        <v>766</v>
      </c>
      <c r="D949" s="59">
        <v>32.299999999999997</v>
      </c>
      <c r="E949" s="59"/>
    </row>
    <row r="950" spans="3:5" x14ac:dyDescent="0.15">
      <c r="C950" s="255" t="s">
        <v>767</v>
      </c>
      <c r="D950" s="59">
        <v>1134.0999999999999</v>
      </c>
      <c r="E950" s="59"/>
    </row>
    <row r="951" spans="3:5" x14ac:dyDescent="0.15">
      <c r="C951" s="255" t="s">
        <v>768</v>
      </c>
      <c r="D951" s="59">
        <v>5.8</v>
      </c>
      <c r="E951" s="59"/>
    </row>
    <row r="952" spans="3:5" x14ac:dyDescent="0.15">
      <c r="C952" s="255" t="s">
        <v>769</v>
      </c>
      <c r="D952" s="59">
        <v>20.100000000000001</v>
      </c>
      <c r="E952" s="59"/>
    </row>
    <row r="953" spans="3:5" x14ac:dyDescent="0.15">
      <c r="C953" s="255" t="s">
        <v>770</v>
      </c>
      <c r="D953" s="59">
        <v>1396.1</v>
      </c>
      <c r="E953" s="59"/>
    </row>
    <row r="954" spans="3:5" x14ac:dyDescent="0.15">
      <c r="C954" s="255" t="s">
        <v>771</v>
      </c>
      <c r="D954" s="59">
        <v>1427.7</v>
      </c>
      <c r="E954" s="59"/>
    </row>
    <row r="955" spans="3:5" x14ac:dyDescent="0.15">
      <c r="C955" s="255" t="s">
        <v>772</v>
      </c>
      <c r="D955" s="59">
        <v>408.2</v>
      </c>
      <c r="E955" s="59"/>
    </row>
    <row r="956" spans="3:5" x14ac:dyDescent="0.15">
      <c r="C956" s="255" t="s">
        <v>773</v>
      </c>
      <c r="D956" s="59">
        <v>34.799999999999997</v>
      </c>
      <c r="E956" s="59"/>
    </row>
    <row r="957" spans="3:5" x14ac:dyDescent="0.15">
      <c r="C957" s="255" t="s">
        <v>774</v>
      </c>
      <c r="D957" s="59">
        <v>41.5</v>
      </c>
      <c r="E957" s="59"/>
    </row>
    <row r="958" spans="3:5" x14ac:dyDescent="0.15">
      <c r="C958" s="255" t="s">
        <v>775</v>
      </c>
      <c r="D958" s="59">
        <v>37.299999999999997</v>
      </c>
      <c r="E958" s="59"/>
    </row>
    <row r="959" spans="3:5" x14ac:dyDescent="0.15">
      <c r="C959" s="255" t="s">
        <v>776</v>
      </c>
      <c r="D959" s="59">
        <v>123.2</v>
      </c>
      <c r="E959" s="59"/>
    </row>
    <row r="960" spans="3:5" x14ac:dyDescent="0.15">
      <c r="C960" s="255" t="s">
        <v>777</v>
      </c>
      <c r="D960" s="59">
        <v>501.4</v>
      </c>
      <c r="E960" s="59"/>
    </row>
    <row r="961" spans="3:5" x14ac:dyDescent="0.15">
      <c r="C961" s="255" t="s">
        <v>778</v>
      </c>
      <c r="D961" s="59">
        <v>437.5</v>
      </c>
      <c r="E961" s="59"/>
    </row>
    <row r="962" spans="3:5" x14ac:dyDescent="0.15">
      <c r="C962" s="255" t="s">
        <v>779</v>
      </c>
      <c r="D962" s="59">
        <v>620.29999999999995</v>
      </c>
      <c r="E962" s="59"/>
    </row>
    <row r="963" spans="3:5" x14ac:dyDescent="0.15">
      <c r="C963" s="255" t="s">
        <v>780</v>
      </c>
      <c r="D963" s="59">
        <v>12.9</v>
      </c>
      <c r="E963" s="59"/>
    </row>
    <row r="964" spans="3:5" x14ac:dyDescent="0.15">
      <c r="C964" s="255" t="s">
        <v>781</v>
      </c>
      <c r="D964" s="59">
        <v>620.29999999999995</v>
      </c>
      <c r="E964" s="59"/>
    </row>
    <row r="965" spans="3:5" x14ac:dyDescent="0.15">
      <c r="C965" s="255" t="s">
        <v>782</v>
      </c>
      <c r="D965" s="59">
        <v>1278.7</v>
      </c>
      <c r="E965" s="59"/>
    </row>
    <row r="966" spans="3:5" x14ac:dyDescent="0.15">
      <c r="C966" s="255" t="s">
        <v>783</v>
      </c>
      <c r="D966" s="59">
        <v>640</v>
      </c>
      <c r="E966" s="59"/>
    </row>
    <row r="967" spans="3:5" x14ac:dyDescent="0.15">
      <c r="C967" s="255" t="s">
        <v>784</v>
      </c>
      <c r="D967" s="59">
        <v>590</v>
      </c>
      <c r="E967" s="59"/>
    </row>
    <row r="968" spans="3:5" x14ac:dyDescent="0.15">
      <c r="C968" s="255" t="s">
        <v>785</v>
      </c>
      <c r="D968" s="59">
        <v>566.70000000000005</v>
      </c>
      <c r="E968" s="59"/>
    </row>
    <row r="969" spans="3:5" x14ac:dyDescent="0.15">
      <c r="C969" s="255" t="s">
        <v>786</v>
      </c>
      <c r="D969" s="59">
        <v>100.9</v>
      </c>
      <c r="E969" s="59"/>
    </row>
    <row r="970" spans="3:5" x14ac:dyDescent="0.15">
      <c r="C970" s="255" t="s">
        <v>787</v>
      </c>
      <c r="D970" s="59">
        <v>77.7</v>
      </c>
      <c r="E970" s="59"/>
    </row>
    <row r="971" spans="3:5" x14ac:dyDescent="0.15">
      <c r="C971" s="255" t="s">
        <v>788</v>
      </c>
      <c r="D971" s="59">
        <v>134.9</v>
      </c>
      <c r="E971" s="59"/>
    </row>
    <row r="972" spans="3:5" x14ac:dyDescent="0.15">
      <c r="C972" s="255" t="s">
        <v>789</v>
      </c>
      <c r="D972" s="59">
        <v>1.4</v>
      </c>
      <c r="E972" s="59"/>
    </row>
    <row r="973" spans="3:5" x14ac:dyDescent="0.15">
      <c r="C973" s="255" t="s">
        <v>790</v>
      </c>
      <c r="D973" s="59">
        <v>2179.4</v>
      </c>
      <c r="E973" s="59"/>
    </row>
    <row r="974" spans="3:5" x14ac:dyDescent="0.15">
      <c r="C974" s="255" t="s">
        <v>791</v>
      </c>
      <c r="D974" s="59">
        <v>69.900000000000006</v>
      </c>
      <c r="E974" s="59"/>
    </row>
    <row r="975" spans="3:5" x14ac:dyDescent="0.15">
      <c r="C975" s="255" t="s">
        <v>792</v>
      </c>
      <c r="D975" s="59">
        <v>744.6</v>
      </c>
      <c r="E975" s="59"/>
    </row>
    <row r="976" spans="3:5" x14ac:dyDescent="0.15">
      <c r="C976" s="255" t="s">
        <v>793</v>
      </c>
      <c r="D976" s="59">
        <v>252</v>
      </c>
      <c r="E976" s="59"/>
    </row>
    <row r="977" spans="3:5" x14ac:dyDescent="0.15">
      <c r="C977" s="255" t="s">
        <v>794</v>
      </c>
      <c r="D977" s="59">
        <v>2311.3000000000002</v>
      </c>
      <c r="E977" s="59"/>
    </row>
    <row r="978" spans="3:5" x14ac:dyDescent="0.15">
      <c r="C978" s="255" t="s">
        <v>795</v>
      </c>
      <c r="D978" s="59">
        <v>168.9</v>
      </c>
      <c r="E978" s="59"/>
    </row>
    <row r="979" spans="3:5" x14ac:dyDescent="0.15">
      <c r="C979" s="255" t="s">
        <v>796</v>
      </c>
      <c r="D979" s="59">
        <v>450.8</v>
      </c>
      <c r="E979" s="59"/>
    </row>
    <row r="980" spans="3:5" x14ac:dyDescent="0.15">
      <c r="C980" s="255" t="s">
        <v>797</v>
      </c>
      <c r="D980" s="59">
        <v>505.7</v>
      </c>
      <c r="E980" s="59"/>
    </row>
    <row r="981" spans="3:5" x14ac:dyDescent="0.15">
      <c r="C981" s="255" t="s">
        <v>798</v>
      </c>
      <c r="D981" s="59">
        <v>487.2</v>
      </c>
      <c r="E981" s="59"/>
    </row>
    <row r="982" spans="3:5" x14ac:dyDescent="0.15">
      <c r="C982" s="255" t="s">
        <v>799</v>
      </c>
      <c r="D982" s="59">
        <v>61.5</v>
      </c>
      <c r="E982" s="59"/>
    </row>
    <row r="983" spans="3:5" x14ac:dyDescent="0.15">
      <c r="C983" s="255" t="s">
        <v>800</v>
      </c>
      <c r="D983" s="59">
        <v>143.9</v>
      </c>
      <c r="E983" s="59"/>
    </row>
    <row r="984" spans="3:5" x14ac:dyDescent="0.15">
      <c r="C984" s="255" t="s">
        <v>801</v>
      </c>
      <c r="D984" s="59">
        <v>160.30000000000001</v>
      </c>
      <c r="E984" s="59"/>
    </row>
    <row r="985" spans="3:5" x14ac:dyDescent="0.15">
      <c r="C985" s="255" t="s">
        <v>802</v>
      </c>
      <c r="D985" s="59">
        <v>1193.2</v>
      </c>
      <c r="E985" s="59"/>
    </row>
    <row r="986" spans="3:5" x14ac:dyDescent="0.15">
      <c r="C986" s="255" t="s">
        <v>803</v>
      </c>
      <c r="D986" s="59">
        <v>1761.9</v>
      </c>
      <c r="E986" s="59"/>
    </row>
    <row r="987" spans="3:5" x14ac:dyDescent="0.15">
      <c r="C987" s="255" t="s">
        <v>804</v>
      </c>
      <c r="D987" s="59">
        <v>1141.5</v>
      </c>
      <c r="E987" s="59"/>
    </row>
    <row r="988" spans="3:5" x14ac:dyDescent="0.15">
      <c r="C988" s="255" t="s">
        <v>805</v>
      </c>
      <c r="D988" s="59">
        <v>2</v>
      </c>
      <c r="E988" s="59"/>
    </row>
    <row r="989" spans="3:5" x14ac:dyDescent="0.15">
      <c r="C989" s="255" t="s">
        <v>806</v>
      </c>
      <c r="D989" s="59">
        <v>896.8</v>
      </c>
      <c r="E989" s="59"/>
    </row>
    <row r="990" spans="3:5" x14ac:dyDescent="0.15">
      <c r="C990" s="255" t="s">
        <v>807</v>
      </c>
      <c r="D990" s="59">
        <v>287.39999999999998</v>
      </c>
      <c r="E990" s="59"/>
    </row>
    <row r="991" spans="3:5" x14ac:dyDescent="0.15">
      <c r="C991" s="255" t="s">
        <v>808</v>
      </c>
      <c r="D991" s="59">
        <v>134.80000000000001</v>
      </c>
      <c r="E991" s="59"/>
    </row>
    <row r="992" spans="3:5" x14ac:dyDescent="0.15">
      <c r="C992" s="255" t="s">
        <v>809</v>
      </c>
      <c r="D992" s="59">
        <v>501</v>
      </c>
      <c r="E992" s="59"/>
    </row>
    <row r="993" spans="3:5" x14ac:dyDescent="0.15">
      <c r="C993" s="255" t="s">
        <v>810</v>
      </c>
      <c r="D993" s="59">
        <v>314.7</v>
      </c>
      <c r="E993" s="59"/>
    </row>
    <row r="994" spans="3:5" x14ac:dyDescent="0.15">
      <c r="C994" s="255" t="s">
        <v>811</v>
      </c>
      <c r="D994" s="59">
        <v>600.70000000000005</v>
      </c>
      <c r="E994" s="59"/>
    </row>
    <row r="995" spans="3:5" x14ac:dyDescent="0.15">
      <c r="C995" s="255" t="s">
        <v>812</v>
      </c>
      <c r="D995" s="59">
        <v>108.8</v>
      </c>
      <c r="E995" s="59"/>
    </row>
    <row r="996" spans="3:5" x14ac:dyDescent="0.15">
      <c r="C996" s="255" t="s">
        <v>813</v>
      </c>
      <c r="D996" s="59">
        <v>56.6</v>
      </c>
      <c r="E996" s="59"/>
    </row>
    <row r="997" spans="3:5" x14ac:dyDescent="0.15">
      <c r="C997" s="255" t="s">
        <v>814</v>
      </c>
      <c r="D997" s="59">
        <v>138.5</v>
      </c>
      <c r="E997" s="59"/>
    </row>
    <row r="998" spans="3:5" x14ac:dyDescent="0.15">
      <c r="C998" s="255" t="s">
        <v>815</v>
      </c>
      <c r="D998" s="59">
        <v>1061.8</v>
      </c>
      <c r="E998" s="59"/>
    </row>
    <row r="999" spans="3:5" x14ac:dyDescent="0.15">
      <c r="C999" s="255" t="s">
        <v>816</v>
      </c>
      <c r="D999" s="59">
        <v>618.4</v>
      </c>
      <c r="E999" s="59"/>
    </row>
    <row r="1000" spans="3:5" x14ac:dyDescent="0.15">
      <c r="C1000" s="255" t="s">
        <v>817</v>
      </c>
      <c r="D1000" s="59">
        <v>5018.3999999999996</v>
      </c>
      <c r="E1000" s="59"/>
    </row>
    <row r="1001" spans="3:5" x14ac:dyDescent="0.15">
      <c r="C1001" s="255" t="s">
        <v>818</v>
      </c>
      <c r="D1001" s="59">
        <v>184.1</v>
      </c>
      <c r="E1001" s="59"/>
    </row>
    <row r="1002" spans="3:5" x14ac:dyDescent="0.15">
      <c r="C1002" s="255" t="s">
        <v>819</v>
      </c>
      <c r="D1002" s="59">
        <v>58.2</v>
      </c>
      <c r="E1002" s="59"/>
    </row>
    <row r="1003" spans="3:5" x14ac:dyDescent="0.15">
      <c r="C1003" s="255" t="s">
        <v>820</v>
      </c>
      <c r="D1003" s="59">
        <v>1546.8</v>
      </c>
      <c r="E1003" s="59"/>
    </row>
    <row r="1004" spans="3:5" x14ac:dyDescent="0.15">
      <c r="C1004" s="255" t="s">
        <v>821</v>
      </c>
      <c r="D1004" s="59">
        <v>23.1</v>
      </c>
      <c r="E1004" s="59"/>
    </row>
    <row r="1005" spans="3:5" x14ac:dyDescent="0.15">
      <c r="C1005" s="255" t="s">
        <v>822</v>
      </c>
      <c r="D1005" s="59">
        <v>231.9</v>
      </c>
      <c r="E1005" s="59"/>
    </row>
    <row r="1006" spans="3:5" x14ac:dyDescent="0.15">
      <c r="C1006" s="255" t="s">
        <v>823</v>
      </c>
      <c r="D1006" s="59">
        <v>2</v>
      </c>
      <c r="E1006" s="59"/>
    </row>
    <row r="1007" spans="3:5" x14ac:dyDescent="0.15">
      <c r="C1007" s="255" t="s">
        <v>824</v>
      </c>
      <c r="D1007" s="59">
        <v>133.4</v>
      </c>
      <c r="E1007" s="59"/>
    </row>
    <row r="1008" spans="3:5" x14ac:dyDescent="0.15">
      <c r="C1008" s="255" t="s">
        <v>825</v>
      </c>
      <c r="D1008" s="59">
        <v>400.8</v>
      </c>
      <c r="E1008" s="59"/>
    </row>
    <row r="1009" spans="3:5" x14ac:dyDescent="0.15">
      <c r="C1009" s="255" t="s">
        <v>826</v>
      </c>
      <c r="D1009" s="59">
        <v>14</v>
      </c>
      <c r="E1009" s="59"/>
    </row>
    <row r="1010" spans="3:5" x14ac:dyDescent="0.15">
      <c r="C1010" s="255" t="s">
        <v>827</v>
      </c>
      <c r="D1010" s="59">
        <v>0</v>
      </c>
      <c r="E1010" s="59"/>
    </row>
    <row r="1011" spans="3:5" x14ac:dyDescent="0.15">
      <c r="C1011" s="255" t="s">
        <v>828</v>
      </c>
      <c r="D1011" s="59">
        <v>2375.1999999999998</v>
      </c>
      <c r="E1011" s="59"/>
    </row>
    <row r="1012" spans="3:5" x14ac:dyDescent="0.15">
      <c r="C1012" s="255" t="s">
        <v>829</v>
      </c>
      <c r="D1012" s="59">
        <v>4.7</v>
      </c>
      <c r="E1012" s="59"/>
    </row>
    <row r="1013" spans="3:5" x14ac:dyDescent="0.15">
      <c r="C1013" s="255" t="s">
        <v>830</v>
      </c>
      <c r="D1013" s="59">
        <v>44.1</v>
      </c>
      <c r="E1013" s="59"/>
    </row>
    <row r="1014" spans="3:5" x14ac:dyDescent="0.15">
      <c r="C1014" s="255" t="s">
        <v>831</v>
      </c>
      <c r="D1014" s="59">
        <v>0</v>
      </c>
      <c r="E1014" s="59"/>
    </row>
    <row r="1015" spans="3:5" x14ac:dyDescent="0.15">
      <c r="C1015" s="255" t="s">
        <v>832</v>
      </c>
      <c r="D1015" s="59">
        <v>9371.5</v>
      </c>
      <c r="E1015" s="59"/>
    </row>
    <row r="1016" spans="3:5" x14ac:dyDescent="0.15">
      <c r="C1016" s="255" t="s">
        <v>833</v>
      </c>
      <c r="D1016" s="59">
        <v>38.6</v>
      </c>
      <c r="E1016" s="59"/>
    </row>
    <row r="1017" spans="3:5" x14ac:dyDescent="0.15">
      <c r="C1017" s="255" t="s">
        <v>834</v>
      </c>
      <c r="D1017" s="59">
        <v>1724.2</v>
      </c>
      <c r="E1017" s="59"/>
    </row>
    <row r="1018" spans="3:5" x14ac:dyDescent="0.15">
      <c r="C1018" s="255" t="s">
        <v>835</v>
      </c>
      <c r="D1018" s="59">
        <v>3011.2</v>
      </c>
      <c r="E1018" s="59"/>
    </row>
    <row r="1019" spans="3:5" x14ac:dyDescent="0.15">
      <c r="C1019" s="255" t="s">
        <v>836</v>
      </c>
      <c r="D1019" s="59">
        <v>2262.3000000000002</v>
      </c>
      <c r="E1019" s="59"/>
    </row>
    <row r="1020" spans="3:5" x14ac:dyDescent="0.15">
      <c r="C1020" s="255" t="s">
        <v>837</v>
      </c>
      <c r="D1020" s="59">
        <v>363.9</v>
      </c>
      <c r="E1020" s="59"/>
    </row>
    <row r="1021" spans="3:5" x14ac:dyDescent="0.15">
      <c r="C1021" s="255" t="s">
        <v>838</v>
      </c>
      <c r="D1021" s="59">
        <v>0.8</v>
      </c>
      <c r="E1021" s="59"/>
    </row>
    <row r="1022" spans="3:5" x14ac:dyDescent="0.15">
      <c r="C1022" s="255" t="s">
        <v>839</v>
      </c>
      <c r="D1022" s="59">
        <v>155.6</v>
      </c>
      <c r="E1022" s="59"/>
    </row>
    <row r="1023" spans="3:5" x14ac:dyDescent="0.15">
      <c r="C1023" s="255" t="s">
        <v>840</v>
      </c>
      <c r="D1023" s="59">
        <v>0</v>
      </c>
      <c r="E1023" s="59"/>
    </row>
    <row r="1024" spans="3:5" x14ac:dyDescent="0.15">
      <c r="C1024" s="255" t="s">
        <v>841</v>
      </c>
      <c r="D1024" s="59">
        <v>850.8</v>
      </c>
      <c r="E1024" s="59"/>
    </row>
    <row r="1025" spans="3:5" x14ac:dyDescent="0.15">
      <c r="C1025" s="255" t="s">
        <v>842</v>
      </c>
      <c r="D1025" s="59">
        <v>789.8</v>
      </c>
      <c r="E1025" s="59"/>
    </row>
    <row r="1026" spans="3:5" x14ac:dyDescent="0.15">
      <c r="C1026" s="255" t="s">
        <v>843</v>
      </c>
      <c r="D1026" s="59">
        <v>174.3</v>
      </c>
      <c r="E1026" s="59"/>
    </row>
    <row r="1027" spans="3:5" x14ac:dyDescent="0.15">
      <c r="C1027" s="255" t="s">
        <v>844</v>
      </c>
      <c r="D1027" s="59">
        <v>0</v>
      </c>
      <c r="E1027" s="59"/>
    </row>
    <row r="1028" spans="3:5" x14ac:dyDescent="0.15">
      <c r="C1028" s="255" t="s">
        <v>845</v>
      </c>
      <c r="D1028" s="59">
        <v>87319.8</v>
      </c>
      <c r="E1028" s="59"/>
    </row>
    <row r="1029" spans="3:5" x14ac:dyDescent="0.15">
      <c r="C1029" s="255" t="s">
        <v>846</v>
      </c>
      <c r="D1029" s="59">
        <v>51515.9</v>
      </c>
      <c r="E1029" s="59"/>
    </row>
    <row r="1030" spans="3:5" x14ac:dyDescent="0.15">
      <c r="C1030" s="255" t="s">
        <v>847</v>
      </c>
      <c r="D1030" s="59">
        <v>164.9</v>
      </c>
      <c r="E1030" s="59"/>
    </row>
    <row r="1031" spans="3:5" x14ac:dyDescent="0.15">
      <c r="C1031" s="255" t="s">
        <v>848</v>
      </c>
      <c r="D1031" s="59">
        <v>7470.3</v>
      </c>
      <c r="E1031" s="59"/>
    </row>
    <row r="1032" spans="3:5" x14ac:dyDescent="0.15">
      <c r="C1032" s="255" t="s">
        <v>849</v>
      </c>
      <c r="D1032" s="59">
        <v>0</v>
      </c>
      <c r="E1032" s="59"/>
    </row>
    <row r="1033" spans="3:5" x14ac:dyDescent="0.15">
      <c r="C1033" s="255" t="s">
        <v>850</v>
      </c>
      <c r="D1033" s="59">
        <v>381</v>
      </c>
      <c r="E1033" s="59"/>
    </row>
    <row r="1034" spans="3:5" x14ac:dyDescent="0.15">
      <c r="C1034" s="255" t="s">
        <v>851</v>
      </c>
      <c r="D1034" s="59">
        <v>0</v>
      </c>
      <c r="E1034" s="59"/>
    </row>
    <row r="1035" spans="3:5" x14ac:dyDescent="0.15">
      <c r="C1035" s="255" t="s">
        <v>852</v>
      </c>
      <c r="D1035" s="59">
        <v>0</v>
      </c>
      <c r="E1035" s="59"/>
    </row>
    <row r="1036" spans="3:5" x14ac:dyDescent="0.15">
      <c r="C1036" s="255" t="s">
        <v>853</v>
      </c>
      <c r="D1036" s="59">
        <v>83</v>
      </c>
      <c r="E1036" s="59"/>
    </row>
    <row r="1037" spans="3:5" x14ac:dyDescent="0.15">
      <c r="C1037" s="255" t="s">
        <v>854</v>
      </c>
      <c r="D1037" s="59">
        <v>0</v>
      </c>
      <c r="E1037" s="59"/>
    </row>
    <row r="1038" spans="3:5" x14ac:dyDescent="0.15">
      <c r="C1038" s="255" t="s">
        <v>855</v>
      </c>
      <c r="D1038" s="59">
        <v>11.3</v>
      </c>
      <c r="E1038" s="59"/>
    </row>
    <row r="1039" spans="3:5" x14ac:dyDescent="0.15">
      <c r="C1039" s="255" t="s">
        <v>856</v>
      </c>
      <c r="D1039" s="59">
        <v>128.19999999999999</v>
      </c>
      <c r="E1039" s="59"/>
    </row>
    <row r="1040" spans="3:5" x14ac:dyDescent="0.15">
      <c r="C1040" s="255" t="s">
        <v>857</v>
      </c>
      <c r="D1040" s="59">
        <v>2455</v>
      </c>
      <c r="E1040" s="59"/>
    </row>
    <row r="1041" spans="3:5" x14ac:dyDescent="0.15">
      <c r="C1041" s="255" t="s">
        <v>858</v>
      </c>
      <c r="D1041" s="59">
        <v>2267.6</v>
      </c>
      <c r="E1041" s="59"/>
    </row>
    <row r="1042" spans="3:5" x14ac:dyDescent="0.15">
      <c r="C1042" s="255" t="s">
        <v>859</v>
      </c>
      <c r="D1042" s="59">
        <v>1528.4</v>
      </c>
      <c r="E1042" s="59"/>
    </row>
    <row r="1043" spans="3:5" x14ac:dyDescent="0.15">
      <c r="C1043" s="255" t="s">
        <v>860</v>
      </c>
      <c r="D1043" s="59">
        <v>101.2</v>
      </c>
      <c r="E1043" s="59"/>
    </row>
    <row r="1044" spans="3:5" x14ac:dyDescent="0.15">
      <c r="C1044" s="255" t="s">
        <v>861</v>
      </c>
      <c r="D1044" s="59">
        <v>872.1</v>
      </c>
      <c r="E1044" s="59"/>
    </row>
    <row r="1045" spans="3:5" x14ac:dyDescent="0.15">
      <c r="C1045" s="255" t="s">
        <v>862</v>
      </c>
      <c r="D1045" s="59">
        <v>6832.5</v>
      </c>
      <c r="E1045" s="59"/>
    </row>
    <row r="1046" spans="3:5" x14ac:dyDescent="0.15">
      <c r="C1046" s="255" t="s">
        <v>863</v>
      </c>
      <c r="D1046" s="59">
        <v>861.6</v>
      </c>
      <c r="E1046" s="59"/>
    </row>
    <row r="1047" spans="3:5" x14ac:dyDescent="0.15">
      <c r="C1047" s="255" t="s">
        <v>864</v>
      </c>
      <c r="D1047" s="59">
        <v>2.1</v>
      </c>
      <c r="E1047" s="59"/>
    </row>
    <row r="1048" spans="3:5" x14ac:dyDescent="0.15">
      <c r="C1048" s="255" t="s">
        <v>865</v>
      </c>
      <c r="D1048" s="59">
        <v>251.3</v>
      </c>
      <c r="E1048" s="59"/>
    </row>
    <row r="1049" spans="3:5" x14ac:dyDescent="0.15">
      <c r="C1049" s="255" t="s">
        <v>866</v>
      </c>
      <c r="D1049" s="59">
        <v>0</v>
      </c>
      <c r="E1049" s="59"/>
    </row>
    <row r="1050" spans="3:5" x14ac:dyDescent="0.15">
      <c r="C1050" s="255" t="s">
        <v>867</v>
      </c>
      <c r="D1050" s="59">
        <v>861.3</v>
      </c>
      <c r="E1050" s="59"/>
    </row>
    <row r="1051" spans="3:5" x14ac:dyDescent="0.15">
      <c r="C1051" s="255" t="s">
        <v>868</v>
      </c>
      <c r="D1051" s="59">
        <v>11531.8</v>
      </c>
      <c r="E1051" s="59"/>
    </row>
    <row r="1052" spans="3:5" x14ac:dyDescent="0.15">
      <c r="C1052" s="255" t="s">
        <v>869</v>
      </c>
      <c r="D1052" s="59">
        <v>11423.6</v>
      </c>
      <c r="E1052" s="59"/>
    </row>
    <row r="1053" spans="3:5" x14ac:dyDescent="0.15">
      <c r="C1053" s="255" t="s">
        <v>870</v>
      </c>
      <c r="D1053" s="59">
        <v>4245.1000000000004</v>
      </c>
      <c r="E1053" s="59"/>
    </row>
    <row r="1054" spans="3:5" x14ac:dyDescent="0.15">
      <c r="C1054" s="255" t="s">
        <v>871</v>
      </c>
      <c r="D1054" s="59">
        <v>41.1</v>
      </c>
      <c r="E1054" s="59"/>
    </row>
    <row r="1055" spans="3:5" x14ac:dyDescent="0.15">
      <c r="C1055" s="255" t="s">
        <v>872</v>
      </c>
      <c r="D1055" s="59">
        <v>93.9</v>
      </c>
      <c r="E1055" s="59"/>
    </row>
    <row r="1056" spans="3:5" x14ac:dyDescent="0.15">
      <c r="C1056" s="255" t="s">
        <v>873</v>
      </c>
      <c r="D1056" s="59">
        <v>278.2</v>
      </c>
      <c r="E1056" s="59"/>
    </row>
    <row r="1057" spans="3:5" x14ac:dyDescent="0.15">
      <c r="C1057" s="255" t="s">
        <v>874</v>
      </c>
      <c r="D1057" s="59">
        <v>134.1</v>
      </c>
      <c r="E1057" s="59"/>
    </row>
    <row r="1058" spans="3:5" x14ac:dyDescent="0.15">
      <c r="C1058" s="255" t="s">
        <v>875</v>
      </c>
      <c r="D1058" s="59">
        <v>0</v>
      </c>
      <c r="E1058" s="59"/>
    </row>
    <row r="1059" spans="3:5" x14ac:dyDescent="0.15">
      <c r="C1059" s="255" t="s">
        <v>876</v>
      </c>
      <c r="D1059" s="59">
        <v>0</v>
      </c>
      <c r="E1059" s="59"/>
    </row>
    <row r="1060" spans="3:5" x14ac:dyDescent="0.15">
      <c r="C1060" s="255" t="s">
        <v>877</v>
      </c>
      <c r="D1060" s="59">
        <v>0.1</v>
      </c>
      <c r="E1060" s="59"/>
    </row>
    <row r="1061" spans="3:5" x14ac:dyDescent="0.15">
      <c r="C1061" s="255" t="s">
        <v>878</v>
      </c>
      <c r="D1061" s="59">
        <v>3.9</v>
      </c>
      <c r="E1061" s="59"/>
    </row>
    <row r="1062" spans="3:5" x14ac:dyDescent="0.15">
      <c r="C1062" s="255" t="s">
        <v>879</v>
      </c>
      <c r="D1062" s="59">
        <v>718.3</v>
      </c>
      <c r="E1062" s="59"/>
    </row>
    <row r="1063" spans="3:5" x14ac:dyDescent="0.15">
      <c r="C1063" s="255" t="s">
        <v>880</v>
      </c>
      <c r="D1063" s="59">
        <v>144</v>
      </c>
      <c r="E1063" s="59"/>
    </row>
    <row r="1064" spans="3:5" x14ac:dyDescent="0.15">
      <c r="C1064" s="255" t="s">
        <v>881</v>
      </c>
      <c r="D1064" s="59">
        <v>0</v>
      </c>
      <c r="E1064" s="59"/>
    </row>
    <row r="1065" spans="3:5" x14ac:dyDescent="0.15">
      <c r="C1065" s="255" t="s">
        <v>882</v>
      </c>
      <c r="D1065" s="59">
        <v>74.3</v>
      </c>
      <c r="E1065" s="59"/>
    </row>
    <row r="1066" spans="3:5" x14ac:dyDescent="0.15">
      <c r="C1066" s="255" t="s">
        <v>883</v>
      </c>
      <c r="D1066" s="59">
        <v>320.7</v>
      </c>
      <c r="E1066" s="59"/>
    </row>
    <row r="1067" spans="3:5" x14ac:dyDescent="0.15">
      <c r="C1067" s="255" t="s">
        <v>884</v>
      </c>
      <c r="D1067" s="59">
        <v>800.5</v>
      </c>
      <c r="E1067" s="59"/>
    </row>
    <row r="1068" spans="3:5" x14ac:dyDescent="0.15">
      <c r="C1068" s="255" t="s">
        <v>885</v>
      </c>
      <c r="D1068" s="59">
        <v>415.6</v>
      </c>
      <c r="E1068" s="59"/>
    </row>
    <row r="1069" spans="3:5" x14ac:dyDescent="0.15">
      <c r="C1069" s="255" t="s">
        <v>886</v>
      </c>
      <c r="D1069" s="59">
        <v>0.2</v>
      </c>
      <c r="E1069" s="59"/>
    </row>
    <row r="1070" spans="3:5" x14ac:dyDescent="0.15">
      <c r="C1070" s="255" t="s">
        <v>887</v>
      </c>
      <c r="D1070" s="59">
        <v>0</v>
      </c>
      <c r="E1070" s="59"/>
    </row>
    <row r="1071" spans="3:5" x14ac:dyDescent="0.15">
      <c r="C1071" s="255" t="s">
        <v>888</v>
      </c>
      <c r="D1071" s="59">
        <v>0.3</v>
      </c>
      <c r="E1071" s="59"/>
    </row>
    <row r="1072" spans="3:5" x14ac:dyDescent="0.15">
      <c r="C1072" s="255" t="s">
        <v>889</v>
      </c>
      <c r="D1072" s="59">
        <v>80.5</v>
      </c>
      <c r="E1072" s="59"/>
    </row>
    <row r="1073" spans="3:5" x14ac:dyDescent="0.15">
      <c r="C1073" s="255" t="s">
        <v>890</v>
      </c>
      <c r="D1073" s="59">
        <v>0.8</v>
      </c>
      <c r="E1073" s="59"/>
    </row>
    <row r="1074" spans="3:5" x14ac:dyDescent="0.15">
      <c r="C1074" s="255" t="s">
        <v>891</v>
      </c>
      <c r="D1074" s="59">
        <v>0.1</v>
      </c>
      <c r="E1074" s="59"/>
    </row>
    <row r="1075" spans="3:5" x14ac:dyDescent="0.15">
      <c r="C1075" s="255" t="s">
        <v>892</v>
      </c>
      <c r="D1075" s="59">
        <v>53.7</v>
      </c>
      <c r="E1075" s="59"/>
    </row>
    <row r="1076" spans="3:5" x14ac:dyDescent="0.15">
      <c r="C1076" s="255" t="s">
        <v>893</v>
      </c>
      <c r="D1076" s="59">
        <v>205.3</v>
      </c>
      <c r="E1076" s="59"/>
    </row>
    <row r="1077" spans="3:5" x14ac:dyDescent="0.15">
      <c r="C1077" s="255" t="s">
        <v>894</v>
      </c>
      <c r="D1077" s="59">
        <v>0</v>
      </c>
      <c r="E1077" s="59"/>
    </row>
    <row r="1078" spans="3:5" x14ac:dyDescent="0.15">
      <c r="C1078" s="255" t="s">
        <v>895</v>
      </c>
      <c r="D1078" s="59">
        <v>70.3</v>
      </c>
      <c r="E1078" s="59"/>
    </row>
    <row r="1079" spans="3:5" x14ac:dyDescent="0.15">
      <c r="C1079" s="255" t="s">
        <v>896</v>
      </c>
      <c r="D1079" s="59">
        <v>0.3</v>
      </c>
      <c r="E1079" s="59"/>
    </row>
    <row r="1080" spans="3:5" x14ac:dyDescent="0.15">
      <c r="C1080" s="255" t="s">
        <v>897</v>
      </c>
      <c r="D1080" s="59">
        <v>579.29999999999995</v>
      </c>
      <c r="E1080" s="59"/>
    </row>
    <row r="1081" spans="3:5" x14ac:dyDescent="0.15">
      <c r="C1081" s="255" t="s">
        <v>898</v>
      </c>
      <c r="D1081" s="59">
        <v>74.7</v>
      </c>
      <c r="E1081" s="59"/>
    </row>
    <row r="1082" spans="3:5" x14ac:dyDescent="0.15">
      <c r="C1082" s="255" t="s">
        <v>899</v>
      </c>
      <c r="D1082" s="59">
        <v>0</v>
      </c>
      <c r="E1082" s="59"/>
    </row>
    <row r="1083" spans="3:5" x14ac:dyDescent="0.15">
      <c r="C1083" s="255" t="s">
        <v>900</v>
      </c>
      <c r="D1083" s="59">
        <v>161.5</v>
      </c>
      <c r="E1083" s="59"/>
    </row>
    <row r="1084" spans="3:5" x14ac:dyDescent="0.15">
      <c r="C1084" s="255" t="s">
        <v>901</v>
      </c>
      <c r="D1084" s="59">
        <v>301.5</v>
      </c>
      <c r="E1084" s="59"/>
    </row>
    <row r="1085" spans="3:5" x14ac:dyDescent="0.15">
      <c r="C1085" s="255" t="s">
        <v>902</v>
      </c>
      <c r="D1085" s="59">
        <v>0</v>
      </c>
      <c r="E1085" s="59"/>
    </row>
    <row r="1086" spans="3:5" x14ac:dyDescent="0.15">
      <c r="C1086" s="255" t="s">
        <v>903</v>
      </c>
      <c r="D1086" s="59">
        <v>609.4</v>
      </c>
      <c r="E1086" s="59"/>
    </row>
    <row r="1087" spans="3:5" x14ac:dyDescent="0.15">
      <c r="C1087" s="255" t="s">
        <v>904</v>
      </c>
      <c r="D1087" s="59">
        <v>1167.3</v>
      </c>
      <c r="E1087" s="59"/>
    </row>
    <row r="1088" spans="3:5" x14ac:dyDescent="0.15">
      <c r="C1088" s="255" t="s">
        <v>905</v>
      </c>
      <c r="D1088" s="59">
        <v>303.89999999999998</v>
      </c>
      <c r="E1088" s="59"/>
    </row>
    <row r="1089" spans="3:5" x14ac:dyDescent="0.15">
      <c r="C1089" s="255" t="s">
        <v>906</v>
      </c>
      <c r="D1089" s="59">
        <v>146.19999999999999</v>
      </c>
      <c r="E1089" s="59"/>
    </row>
    <row r="1090" spans="3:5" x14ac:dyDescent="0.15">
      <c r="C1090" s="255" t="s">
        <v>907</v>
      </c>
      <c r="D1090" s="59">
        <v>398.2</v>
      </c>
      <c r="E1090" s="59"/>
    </row>
    <row r="1091" spans="3:5" x14ac:dyDescent="0.15">
      <c r="C1091" s="255" t="s">
        <v>908</v>
      </c>
      <c r="D1091" s="59">
        <v>4333.3999999999996</v>
      </c>
      <c r="E1091" s="59"/>
    </row>
    <row r="1092" spans="3:5" x14ac:dyDescent="0.15">
      <c r="C1092" s="255" t="s">
        <v>909</v>
      </c>
      <c r="D1092" s="59">
        <v>1478.2</v>
      </c>
      <c r="E1092" s="59"/>
    </row>
    <row r="1093" spans="3:5" x14ac:dyDescent="0.15">
      <c r="C1093" s="255" t="s">
        <v>910</v>
      </c>
      <c r="D1093" s="59">
        <v>14.3</v>
      </c>
      <c r="E1093" s="59"/>
    </row>
    <row r="1094" spans="3:5" x14ac:dyDescent="0.15">
      <c r="C1094" s="255" t="s">
        <v>911</v>
      </c>
      <c r="D1094" s="59">
        <v>32.200000000000003</v>
      </c>
      <c r="E1094" s="59"/>
    </row>
    <row r="1095" spans="3:5" x14ac:dyDescent="0.15">
      <c r="C1095" s="255" t="s">
        <v>912</v>
      </c>
      <c r="D1095" s="59">
        <v>178.9</v>
      </c>
      <c r="E1095" s="59"/>
    </row>
    <row r="1096" spans="3:5" x14ac:dyDescent="0.15">
      <c r="C1096" s="255" t="s">
        <v>913</v>
      </c>
      <c r="D1096" s="59">
        <v>0</v>
      </c>
      <c r="E1096" s="59"/>
    </row>
    <row r="1097" spans="3:5" x14ac:dyDescent="0.15">
      <c r="C1097" s="255" t="s">
        <v>914</v>
      </c>
      <c r="D1097" s="59">
        <v>0</v>
      </c>
      <c r="E1097" s="59"/>
    </row>
    <row r="1098" spans="3:5" x14ac:dyDescent="0.15">
      <c r="C1098" s="255" t="s">
        <v>915</v>
      </c>
      <c r="D1098" s="59">
        <v>0</v>
      </c>
      <c r="E1098" s="59"/>
    </row>
    <row r="1099" spans="3:5" x14ac:dyDescent="0.15">
      <c r="C1099" s="255" t="s">
        <v>916</v>
      </c>
      <c r="D1099" s="59">
        <v>235.9</v>
      </c>
      <c r="E1099" s="59"/>
    </row>
    <row r="1100" spans="3:5" x14ac:dyDescent="0.15">
      <c r="C1100" s="255" t="s">
        <v>917</v>
      </c>
      <c r="D1100" s="59">
        <v>7.7</v>
      </c>
      <c r="E1100" s="59"/>
    </row>
    <row r="1101" spans="3:5" x14ac:dyDescent="0.15">
      <c r="C1101" s="255" t="s">
        <v>918</v>
      </c>
      <c r="D1101" s="59">
        <v>1898.7</v>
      </c>
      <c r="E1101" s="59"/>
    </row>
    <row r="1102" spans="3:5" x14ac:dyDescent="0.15">
      <c r="C1102" s="255" t="s">
        <v>919</v>
      </c>
      <c r="D1102" s="59">
        <v>0</v>
      </c>
      <c r="E1102" s="59"/>
    </row>
    <row r="1103" spans="3:5" x14ac:dyDescent="0.15">
      <c r="C1103" s="255" t="s">
        <v>920</v>
      </c>
      <c r="D1103" s="59">
        <v>487.5</v>
      </c>
      <c r="E1103" s="59"/>
    </row>
    <row r="1104" spans="3:5" x14ac:dyDescent="0.15">
      <c r="C1104" s="255" t="s">
        <v>921</v>
      </c>
      <c r="D1104" s="59">
        <v>0</v>
      </c>
      <c r="E1104" s="59"/>
    </row>
    <row r="1105" spans="3:5" x14ac:dyDescent="0.15">
      <c r="C1105" s="255" t="s">
        <v>922</v>
      </c>
      <c r="D1105" s="59">
        <v>28550</v>
      </c>
      <c r="E1105" s="59"/>
    </row>
    <row r="1106" spans="3:5" x14ac:dyDescent="0.15">
      <c r="C1106" s="255" t="s">
        <v>923</v>
      </c>
      <c r="D1106" s="59">
        <v>8727.7000000000007</v>
      </c>
      <c r="E1106" s="59"/>
    </row>
    <row r="1107" spans="3:5" x14ac:dyDescent="0.15">
      <c r="C1107" s="255" t="s">
        <v>924</v>
      </c>
      <c r="D1107" s="59">
        <v>4079.6</v>
      </c>
      <c r="E1107" s="59"/>
    </row>
    <row r="1108" spans="3:5" x14ac:dyDescent="0.15">
      <c r="C1108" s="255" t="s">
        <v>925</v>
      </c>
      <c r="D1108" s="59">
        <v>20</v>
      </c>
      <c r="E1108" s="59"/>
    </row>
    <row r="1109" spans="3:5" x14ac:dyDescent="0.15">
      <c r="C1109" s="255" t="s">
        <v>926</v>
      </c>
      <c r="D1109" s="59">
        <v>554.4</v>
      </c>
      <c r="E1109" s="59"/>
    </row>
    <row r="1110" spans="3:5" x14ac:dyDescent="0.15">
      <c r="C1110" s="255" t="s">
        <v>927</v>
      </c>
      <c r="D1110" s="59">
        <v>412.1</v>
      </c>
      <c r="E1110" s="59"/>
    </row>
    <row r="1111" spans="3:5" x14ac:dyDescent="0.15">
      <c r="C1111" s="255" t="s">
        <v>928</v>
      </c>
      <c r="D1111" s="59">
        <v>747.6</v>
      </c>
      <c r="E1111" s="59"/>
    </row>
    <row r="1112" spans="3:5" x14ac:dyDescent="0.15">
      <c r="C1112" s="255" t="s">
        <v>929</v>
      </c>
      <c r="D1112" s="59">
        <v>54.3</v>
      </c>
      <c r="E1112" s="59"/>
    </row>
    <row r="1113" spans="3:5" x14ac:dyDescent="0.15">
      <c r="C1113" s="255" t="s">
        <v>930</v>
      </c>
      <c r="D1113" s="59">
        <v>220.2</v>
      </c>
      <c r="E1113" s="59"/>
    </row>
    <row r="1114" spans="3:5" x14ac:dyDescent="0.15">
      <c r="C1114" s="255" t="s">
        <v>931</v>
      </c>
      <c r="D1114" s="59">
        <v>5432.6</v>
      </c>
      <c r="E1114" s="59"/>
    </row>
    <row r="1115" spans="3:5" x14ac:dyDescent="0.15">
      <c r="C1115" s="255" t="s">
        <v>932</v>
      </c>
      <c r="D1115" s="59">
        <v>0</v>
      </c>
      <c r="E1115" s="59"/>
    </row>
    <row r="1116" spans="3:5" x14ac:dyDescent="0.15">
      <c r="C1116" s="255" t="s">
        <v>933</v>
      </c>
      <c r="D1116" s="59">
        <v>72.900000000000006</v>
      </c>
      <c r="E1116" s="59"/>
    </row>
    <row r="1117" spans="3:5" x14ac:dyDescent="0.15">
      <c r="C1117" s="255" t="s">
        <v>934</v>
      </c>
      <c r="D1117" s="59">
        <v>2334.6999999999998</v>
      </c>
      <c r="E1117" s="59"/>
    </row>
    <row r="1118" spans="3:5" x14ac:dyDescent="0.15">
      <c r="C1118" s="255" t="s">
        <v>935</v>
      </c>
      <c r="D1118" s="59">
        <v>472.4</v>
      </c>
      <c r="E1118" s="59"/>
    </row>
    <row r="1119" spans="3:5" x14ac:dyDescent="0.15">
      <c r="C1119" s="255" t="s">
        <v>936</v>
      </c>
      <c r="D1119" s="59">
        <v>2186</v>
      </c>
      <c r="E1119" s="59"/>
    </row>
    <row r="1120" spans="3:5" x14ac:dyDescent="0.15">
      <c r="C1120" s="255" t="s">
        <v>937</v>
      </c>
      <c r="D1120" s="59">
        <v>174.6</v>
      </c>
      <c r="E1120" s="59"/>
    </row>
    <row r="1121" spans="3:5" x14ac:dyDescent="0.15">
      <c r="C1121" s="255" t="s">
        <v>938</v>
      </c>
      <c r="D1121" s="59">
        <v>154.19999999999999</v>
      </c>
      <c r="E1121" s="59"/>
    </row>
    <row r="1122" spans="3:5" x14ac:dyDescent="0.15">
      <c r="C1122" s="255" t="s">
        <v>939</v>
      </c>
      <c r="D1122" s="59">
        <v>0</v>
      </c>
      <c r="E1122" s="59"/>
    </row>
    <row r="1123" spans="3:5" x14ac:dyDescent="0.15">
      <c r="C1123" s="255" t="s">
        <v>940</v>
      </c>
      <c r="D1123" s="59">
        <v>12.2</v>
      </c>
      <c r="E1123" s="59"/>
    </row>
    <row r="1124" spans="3:5" x14ac:dyDescent="0.15">
      <c r="C1124" s="255" t="s">
        <v>941</v>
      </c>
      <c r="D1124" s="59">
        <v>288.3</v>
      </c>
      <c r="E1124" s="59"/>
    </row>
    <row r="1125" spans="3:5" x14ac:dyDescent="0.15">
      <c r="C1125" s="255" t="s">
        <v>942</v>
      </c>
      <c r="D1125" s="59">
        <v>0</v>
      </c>
      <c r="E1125" s="59"/>
    </row>
    <row r="1126" spans="3:5" x14ac:dyDescent="0.15">
      <c r="C1126" s="255" t="s">
        <v>943</v>
      </c>
      <c r="D1126" s="59">
        <v>812.3</v>
      </c>
      <c r="E1126" s="59"/>
    </row>
    <row r="1127" spans="3:5" x14ac:dyDescent="0.15">
      <c r="C1127" s="255" t="s">
        <v>944</v>
      </c>
      <c r="D1127" s="59">
        <v>20.3</v>
      </c>
      <c r="E1127" s="59"/>
    </row>
    <row r="1128" spans="3:5" x14ac:dyDescent="0.15">
      <c r="C1128" s="255" t="s">
        <v>945</v>
      </c>
      <c r="D1128" s="59">
        <v>1723.3</v>
      </c>
      <c r="E1128" s="59"/>
    </row>
    <row r="1129" spans="3:5" x14ac:dyDescent="0.15">
      <c r="C1129" s="255" t="s">
        <v>946</v>
      </c>
      <c r="D1129" s="59">
        <v>42.6</v>
      </c>
      <c r="E1129" s="59"/>
    </row>
    <row r="1130" spans="3:5" x14ac:dyDescent="0.15">
      <c r="C1130" s="255" t="s">
        <v>947</v>
      </c>
      <c r="D1130" s="59">
        <v>7.8</v>
      </c>
      <c r="E1130" s="59"/>
    </row>
    <row r="1131" spans="3:5" x14ac:dyDescent="0.15">
      <c r="C1131" s="255" t="s">
        <v>948</v>
      </c>
      <c r="D1131" s="59">
        <v>8837.2000000000007</v>
      </c>
      <c r="E1131" s="59"/>
    </row>
    <row r="1132" spans="3:5" x14ac:dyDescent="0.15">
      <c r="C1132" s="255" t="s">
        <v>949</v>
      </c>
      <c r="D1132" s="59">
        <v>55.2</v>
      </c>
      <c r="E1132" s="59"/>
    </row>
    <row r="1133" spans="3:5" x14ac:dyDescent="0.15">
      <c r="C1133" s="255" t="s">
        <v>950</v>
      </c>
      <c r="D1133" s="59">
        <v>0</v>
      </c>
      <c r="E1133" s="59"/>
    </row>
    <row r="1134" spans="3:5" x14ac:dyDescent="0.15">
      <c r="C1134" s="255" t="s">
        <v>951</v>
      </c>
      <c r="D1134" s="59">
        <v>2232.9</v>
      </c>
      <c r="E1134" s="59"/>
    </row>
    <row r="1135" spans="3:5" x14ac:dyDescent="0.15">
      <c r="C1135" s="255" t="s">
        <v>952</v>
      </c>
      <c r="D1135" s="59">
        <v>0</v>
      </c>
      <c r="E1135" s="59"/>
    </row>
    <row r="1136" spans="3:5" x14ac:dyDescent="0.15">
      <c r="C1136" s="255" t="s">
        <v>953</v>
      </c>
      <c r="D1136" s="59">
        <v>74.5</v>
      </c>
      <c r="E1136" s="59"/>
    </row>
    <row r="1137" spans="3:5" x14ac:dyDescent="0.15">
      <c r="C1137" s="255" t="s">
        <v>954</v>
      </c>
      <c r="D1137" s="59">
        <v>2711.5</v>
      </c>
      <c r="E1137" s="59"/>
    </row>
    <row r="1138" spans="3:5" x14ac:dyDescent="0.15">
      <c r="C1138" s="255" t="s">
        <v>955</v>
      </c>
      <c r="D1138" s="59">
        <v>1381.9</v>
      </c>
      <c r="E1138" s="59"/>
    </row>
    <row r="1139" spans="3:5" x14ac:dyDescent="0.15">
      <c r="C1139" s="255" t="s">
        <v>956</v>
      </c>
      <c r="D1139" s="59">
        <v>2381.1999999999998</v>
      </c>
      <c r="E1139" s="59"/>
    </row>
    <row r="1140" spans="3:5" x14ac:dyDescent="0.15">
      <c r="C1140" s="255" t="s">
        <v>957</v>
      </c>
      <c r="D1140" s="59">
        <v>21078.3</v>
      </c>
      <c r="E1140" s="59"/>
    </row>
    <row r="1141" spans="3:5" x14ac:dyDescent="0.15">
      <c r="C1141" s="255" t="s">
        <v>958</v>
      </c>
      <c r="D1141" s="59">
        <v>0.1</v>
      </c>
      <c r="E1141" s="59"/>
    </row>
    <row r="1142" spans="3:5" x14ac:dyDescent="0.15">
      <c r="C1142" s="255" t="s">
        <v>959</v>
      </c>
      <c r="D1142" s="59">
        <v>529.20000000000005</v>
      </c>
      <c r="E1142" s="59"/>
    </row>
    <row r="1143" spans="3:5" x14ac:dyDescent="0.15">
      <c r="C1143" s="255" t="s">
        <v>960</v>
      </c>
      <c r="D1143" s="59">
        <v>116.4</v>
      </c>
      <c r="E1143" s="59"/>
    </row>
    <row r="1144" spans="3:5" x14ac:dyDescent="0.15">
      <c r="C1144" s="255" t="s">
        <v>961</v>
      </c>
      <c r="D1144" s="59">
        <v>364.5</v>
      </c>
      <c r="E1144" s="59"/>
    </row>
    <row r="1145" spans="3:5" x14ac:dyDescent="0.15">
      <c r="C1145" s="255" t="s">
        <v>962</v>
      </c>
      <c r="D1145" s="59">
        <v>0</v>
      </c>
      <c r="E1145" s="59"/>
    </row>
    <row r="1146" spans="3:5" x14ac:dyDescent="0.15">
      <c r="C1146" s="255" t="s">
        <v>963</v>
      </c>
      <c r="D1146" s="59">
        <v>1442.1</v>
      </c>
      <c r="E1146" s="59"/>
    </row>
    <row r="1147" spans="3:5" x14ac:dyDescent="0.15">
      <c r="C1147" s="255" t="s">
        <v>964</v>
      </c>
      <c r="D1147" s="59">
        <v>95.6</v>
      </c>
      <c r="E1147" s="59"/>
    </row>
    <row r="1148" spans="3:5" x14ac:dyDescent="0.15">
      <c r="C1148" s="255" t="s">
        <v>965</v>
      </c>
      <c r="D1148" s="59">
        <v>0.5</v>
      </c>
      <c r="E1148" s="59"/>
    </row>
    <row r="1149" spans="3:5" x14ac:dyDescent="0.15">
      <c r="C1149" s="255" t="s">
        <v>966</v>
      </c>
      <c r="D1149" s="59">
        <v>28.4</v>
      </c>
      <c r="E1149" s="59"/>
    </row>
    <row r="1150" spans="3:5" x14ac:dyDescent="0.15">
      <c r="C1150" s="255" t="s">
        <v>967</v>
      </c>
      <c r="D1150" s="59">
        <v>177.6</v>
      </c>
      <c r="E1150" s="59"/>
    </row>
    <row r="1151" spans="3:5" x14ac:dyDescent="0.15">
      <c r="C1151" s="255" t="s">
        <v>968</v>
      </c>
      <c r="D1151" s="59">
        <v>0</v>
      </c>
      <c r="E1151" s="59"/>
    </row>
    <row r="1152" spans="3:5" x14ac:dyDescent="0.15">
      <c r="C1152" s="255" t="s">
        <v>969</v>
      </c>
      <c r="D1152" s="59">
        <v>68.099999999999994</v>
      </c>
      <c r="E1152" s="59"/>
    </row>
    <row r="1153" spans="3:5" x14ac:dyDescent="0.15">
      <c r="C1153" s="255" t="s">
        <v>970</v>
      </c>
      <c r="D1153" s="59">
        <v>0</v>
      </c>
      <c r="E1153" s="59"/>
    </row>
    <row r="1154" spans="3:5" x14ac:dyDescent="0.15">
      <c r="C1154" s="255" t="s">
        <v>971</v>
      </c>
      <c r="D1154" s="59">
        <v>31</v>
      </c>
      <c r="E1154" s="59"/>
    </row>
    <row r="1155" spans="3:5" x14ac:dyDescent="0.15">
      <c r="C1155" s="255" t="s">
        <v>972</v>
      </c>
      <c r="D1155" s="59">
        <v>-439.4</v>
      </c>
      <c r="E1155" s="59"/>
    </row>
    <row r="1156" spans="3:5" x14ac:dyDescent="0.15">
      <c r="C1156" s="255" t="s">
        <v>973</v>
      </c>
      <c r="D1156" s="59">
        <v>0</v>
      </c>
      <c r="E1156" s="59"/>
    </row>
    <row r="1157" spans="3:5" x14ac:dyDescent="0.15">
      <c r="C1157" s="255" t="s">
        <v>974</v>
      </c>
      <c r="D1157" s="59">
        <v>0</v>
      </c>
      <c r="E1157" s="59"/>
    </row>
    <row r="1158" spans="3:5" x14ac:dyDescent="0.15">
      <c r="C1158" s="255" t="s">
        <v>975</v>
      </c>
      <c r="D1158" s="59">
        <v>0</v>
      </c>
      <c r="E1158" s="59"/>
    </row>
    <row r="1159" spans="3:5" x14ac:dyDescent="0.15">
      <c r="C1159" s="255" t="s">
        <v>976</v>
      </c>
      <c r="D1159" s="59">
        <v>0.8</v>
      </c>
      <c r="E1159" s="59"/>
    </row>
    <row r="1160" spans="3:5" x14ac:dyDescent="0.15">
      <c r="C1160" s="255" t="s">
        <v>977</v>
      </c>
      <c r="D1160" s="59">
        <v>535.5</v>
      </c>
      <c r="E1160" s="59"/>
    </row>
    <row r="1161" spans="3:5" x14ac:dyDescent="0.15">
      <c r="C1161" s="255" t="s">
        <v>978</v>
      </c>
      <c r="D1161" s="59">
        <v>500.3</v>
      </c>
      <c r="E1161" s="59"/>
    </row>
    <row r="1162" spans="3:5" x14ac:dyDescent="0.15">
      <c r="C1162" s="255" t="s">
        <v>979</v>
      </c>
      <c r="D1162" s="59">
        <v>31.6</v>
      </c>
      <c r="E1162" s="59"/>
    </row>
    <row r="1163" spans="3:5" x14ac:dyDescent="0.15">
      <c r="C1163" s="255" t="s">
        <v>980</v>
      </c>
      <c r="D1163" s="59">
        <v>424.9</v>
      </c>
      <c r="E1163" s="59"/>
    </row>
    <row r="1164" spans="3:5" x14ac:dyDescent="0.15">
      <c r="C1164" s="255" t="s">
        <v>981</v>
      </c>
      <c r="D1164" s="59">
        <v>0</v>
      </c>
      <c r="E1164" s="59"/>
    </row>
    <row r="1165" spans="3:5" x14ac:dyDescent="0.15">
      <c r="C1165" s="255" t="s">
        <v>982</v>
      </c>
      <c r="D1165" s="59">
        <v>323</v>
      </c>
      <c r="E1165" s="59"/>
    </row>
    <row r="1166" spans="3:5" x14ac:dyDescent="0.15">
      <c r="C1166" s="255" t="s">
        <v>983</v>
      </c>
      <c r="D1166" s="59">
        <v>749.1</v>
      </c>
      <c r="E1166" s="59"/>
    </row>
    <row r="1167" spans="3:5" x14ac:dyDescent="0.15">
      <c r="C1167" s="255" t="s">
        <v>984</v>
      </c>
      <c r="D1167" s="59">
        <v>0</v>
      </c>
      <c r="E1167" s="59"/>
    </row>
    <row r="1168" spans="3:5" x14ac:dyDescent="0.15">
      <c r="C1168" s="255" t="s">
        <v>985</v>
      </c>
      <c r="D1168" s="59">
        <v>748.5</v>
      </c>
      <c r="E1168" s="59"/>
    </row>
    <row r="1169" spans="3:5" x14ac:dyDescent="0.15">
      <c r="C1169" s="255" t="s">
        <v>986</v>
      </c>
      <c r="D1169" s="59">
        <v>626.20000000000005</v>
      </c>
      <c r="E1169" s="59"/>
    </row>
    <row r="1170" spans="3:5" x14ac:dyDescent="0.15">
      <c r="C1170" s="255" t="s">
        <v>987</v>
      </c>
      <c r="D1170" s="59">
        <v>1460.6</v>
      </c>
      <c r="E1170" s="59"/>
    </row>
    <row r="1171" spans="3:5" x14ac:dyDescent="0.15">
      <c r="C1171" s="255" t="s">
        <v>988</v>
      </c>
      <c r="D1171" s="59">
        <v>1148.7</v>
      </c>
      <c r="E1171" s="59"/>
    </row>
    <row r="1172" spans="3:5" x14ac:dyDescent="0.15">
      <c r="C1172" s="255" t="s">
        <v>989</v>
      </c>
      <c r="D1172" s="59">
        <v>1038.0999999999999</v>
      </c>
      <c r="E1172" s="59"/>
    </row>
    <row r="1173" spans="3:5" x14ac:dyDescent="0.15">
      <c r="C1173" s="255" t="s">
        <v>990</v>
      </c>
      <c r="D1173" s="59">
        <v>81.599999999999994</v>
      </c>
      <c r="E1173" s="59"/>
    </row>
    <row r="1174" spans="3:5" x14ac:dyDescent="0.15">
      <c r="C1174" s="255" t="s">
        <v>991</v>
      </c>
      <c r="D1174" s="59">
        <v>4852.8</v>
      </c>
      <c r="E1174" s="59"/>
    </row>
    <row r="1175" spans="3:5" x14ac:dyDescent="0.15">
      <c r="C1175" s="255" t="s">
        <v>992</v>
      </c>
      <c r="D1175" s="59">
        <v>0</v>
      </c>
      <c r="E1175" s="59"/>
    </row>
    <row r="1176" spans="3:5" x14ac:dyDescent="0.15">
      <c r="C1176" s="255" t="s">
        <v>993</v>
      </c>
      <c r="D1176" s="59">
        <v>360.6</v>
      </c>
      <c r="E1176" s="59"/>
    </row>
    <row r="1177" spans="3:5" x14ac:dyDescent="0.15">
      <c r="C1177" s="255" t="s">
        <v>994</v>
      </c>
      <c r="D1177" s="59">
        <v>0</v>
      </c>
      <c r="E1177" s="59"/>
    </row>
    <row r="1178" spans="3:5" x14ac:dyDescent="0.15">
      <c r="C1178" s="255" t="s">
        <v>995</v>
      </c>
      <c r="D1178" s="59">
        <v>105.9</v>
      </c>
      <c r="E1178" s="59"/>
    </row>
    <row r="1179" spans="3:5" x14ac:dyDescent="0.15">
      <c r="C1179" s="255" t="s">
        <v>996</v>
      </c>
      <c r="D1179" s="59">
        <v>120.9</v>
      </c>
      <c r="E1179" s="59"/>
    </row>
    <row r="1180" spans="3:5" x14ac:dyDescent="0.15">
      <c r="C1180" s="255" t="s">
        <v>997</v>
      </c>
      <c r="D1180" s="59">
        <v>402.1</v>
      </c>
      <c r="E1180" s="59"/>
    </row>
    <row r="1181" spans="3:5" x14ac:dyDescent="0.15">
      <c r="C1181" s="255" t="s">
        <v>998</v>
      </c>
      <c r="D1181" s="59">
        <v>46.5</v>
      </c>
      <c r="E1181" s="59"/>
    </row>
    <row r="1182" spans="3:5" x14ac:dyDescent="0.15">
      <c r="C1182" s="255" t="s">
        <v>999</v>
      </c>
      <c r="D1182" s="59">
        <v>0</v>
      </c>
      <c r="E1182" s="59"/>
    </row>
    <row r="1183" spans="3:5" x14ac:dyDescent="0.15">
      <c r="C1183" s="255" t="s">
        <v>1000</v>
      </c>
      <c r="D1183" s="59">
        <v>162.5</v>
      </c>
      <c r="E1183" s="59"/>
    </row>
    <row r="1184" spans="3:5" x14ac:dyDescent="0.15">
      <c r="C1184" s="255" t="s">
        <v>1001</v>
      </c>
      <c r="D1184" s="59">
        <v>229.2</v>
      </c>
      <c r="E1184" s="59"/>
    </row>
    <row r="1185" spans="3:5" x14ac:dyDescent="0.15">
      <c r="C1185" s="255" t="s">
        <v>1002</v>
      </c>
      <c r="D1185" s="59">
        <v>65.8</v>
      </c>
      <c r="E1185" s="59"/>
    </row>
    <row r="1186" spans="3:5" x14ac:dyDescent="0.15">
      <c r="C1186" s="255" t="s">
        <v>1003</v>
      </c>
      <c r="D1186" s="59">
        <v>271.5</v>
      </c>
      <c r="E1186" s="59"/>
    </row>
    <row r="1187" spans="3:5" x14ac:dyDescent="0.15">
      <c r="C1187" s="255" t="s">
        <v>1004</v>
      </c>
      <c r="D1187" s="59">
        <v>153.1</v>
      </c>
      <c r="E1187" s="59"/>
    </row>
    <row r="1188" spans="3:5" x14ac:dyDescent="0.15">
      <c r="C1188" s="255" t="s">
        <v>1005</v>
      </c>
      <c r="D1188" s="59">
        <v>83.5</v>
      </c>
      <c r="E1188" s="59"/>
    </row>
    <row r="1189" spans="3:5" x14ac:dyDescent="0.15">
      <c r="C1189" s="255" t="s">
        <v>1006</v>
      </c>
      <c r="D1189" s="59">
        <v>4140.8</v>
      </c>
      <c r="E1189" s="59"/>
    </row>
    <row r="1190" spans="3:5" x14ac:dyDescent="0.15">
      <c r="C1190" s="255" t="s">
        <v>1007</v>
      </c>
      <c r="D1190" s="59">
        <v>3711</v>
      </c>
      <c r="E1190" s="59"/>
    </row>
    <row r="1191" spans="3:5" x14ac:dyDescent="0.15">
      <c r="C1191" s="255" t="s">
        <v>1008</v>
      </c>
      <c r="D1191" s="59">
        <v>2736.1</v>
      </c>
      <c r="E1191" s="59"/>
    </row>
    <row r="1192" spans="3:5" x14ac:dyDescent="0.15">
      <c r="C1192" s="255" t="s">
        <v>1009</v>
      </c>
      <c r="D1192" s="59">
        <v>610.79999999999995</v>
      </c>
      <c r="E1192" s="59"/>
    </row>
    <row r="1193" spans="3:5" x14ac:dyDescent="0.15">
      <c r="C1193" s="255" t="s">
        <v>1010</v>
      </c>
      <c r="D1193" s="59">
        <v>50.7</v>
      </c>
      <c r="E1193" s="59"/>
    </row>
    <row r="1194" spans="3:5" x14ac:dyDescent="0.15">
      <c r="C1194" s="255" t="s">
        <v>1011</v>
      </c>
      <c r="D1194" s="59">
        <v>313.39999999999998</v>
      </c>
      <c r="E1194" s="59"/>
    </row>
    <row r="1195" spans="3:5" x14ac:dyDescent="0.15">
      <c r="C1195" s="255" t="s">
        <v>1012</v>
      </c>
      <c r="D1195" s="59">
        <v>10852.4</v>
      </c>
      <c r="E1195" s="59"/>
    </row>
    <row r="1196" spans="3:5" x14ac:dyDescent="0.15">
      <c r="C1196" s="255" t="s">
        <v>1013</v>
      </c>
      <c r="D1196" s="59">
        <v>6961.2</v>
      </c>
      <c r="E1196" s="59"/>
    </row>
    <row r="1197" spans="3:5" x14ac:dyDescent="0.15">
      <c r="C1197" s="255" t="s">
        <v>1014</v>
      </c>
      <c r="D1197" s="59">
        <v>2035.6</v>
      </c>
      <c r="E1197" s="59"/>
    </row>
    <row r="1198" spans="3:5" x14ac:dyDescent="0.15">
      <c r="C1198" s="255" t="s">
        <v>1015</v>
      </c>
      <c r="D1198" s="59">
        <v>662.3</v>
      </c>
      <c r="E1198" s="59"/>
    </row>
    <row r="1199" spans="3:5" x14ac:dyDescent="0.15">
      <c r="C1199" s="255" t="s">
        <v>1016</v>
      </c>
      <c r="D1199" s="59">
        <v>486.4</v>
      </c>
      <c r="E1199" s="59"/>
    </row>
    <row r="1200" spans="3:5" x14ac:dyDescent="0.15">
      <c r="C1200" s="255" t="s">
        <v>1017</v>
      </c>
      <c r="D1200" s="59">
        <v>707</v>
      </c>
      <c r="E1200" s="59"/>
    </row>
    <row r="1201" spans="3:5" x14ac:dyDescent="0.15">
      <c r="C1201" s="255" t="s">
        <v>1018</v>
      </c>
      <c r="D1201" s="59">
        <v>0</v>
      </c>
      <c r="E1201" s="59"/>
    </row>
    <row r="1202" spans="3:5" x14ac:dyDescent="0.15">
      <c r="C1202" s="255" t="s">
        <v>1019</v>
      </c>
      <c r="D1202" s="59">
        <v>22253.3</v>
      </c>
      <c r="E1202" s="59"/>
    </row>
    <row r="1203" spans="3:5" x14ac:dyDescent="0.15">
      <c r="C1203" s="255" t="s">
        <v>1020</v>
      </c>
      <c r="D1203" s="59">
        <v>266.5</v>
      </c>
      <c r="E1203" s="59"/>
    </row>
    <row r="1204" spans="3:5" x14ac:dyDescent="0.15">
      <c r="C1204" s="255" t="s">
        <v>1021</v>
      </c>
      <c r="D1204" s="59">
        <v>349.3</v>
      </c>
      <c r="E1204" s="59"/>
    </row>
    <row r="1205" spans="3:5" x14ac:dyDescent="0.15">
      <c r="C1205" s="255" t="s">
        <v>1022</v>
      </c>
      <c r="D1205" s="59">
        <v>809.7</v>
      </c>
      <c r="E1205" s="59"/>
    </row>
    <row r="1206" spans="3:5" x14ac:dyDescent="0.15">
      <c r="C1206" s="255" t="s">
        <v>1023</v>
      </c>
      <c r="D1206" s="59">
        <v>1.1000000000000001</v>
      </c>
      <c r="E1206" s="59"/>
    </row>
    <row r="1207" spans="3:5" x14ac:dyDescent="0.15">
      <c r="C1207" s="255" t="s">
        <v>1024</v>
      </c>
      <c r="D1207" s="59">
        <v>0</v>
      </c>
      <c r="E1207" s="59"/>
    </row>
    <row r="1208" spans="3:5" x14ac:dyDescent="0.15">
      <c r="C1208" s="255" t="s">
        <v>1025</v>
      </c>
      <c r="D1208" s="59">
        <v>228.5</v>
      </c>
      <c r="E1208" s="59"/>
    </row>
    <row r="1209" spans="3:5" x14ac:dyDescent="0.15">
      <c r="C1209" s="255" t="s">
        <v>1026</v>
      </c>
      <c r="D1209" s="59">
        <v>3504.2</v>
      </c>
      <c r="E1209" s="59"/>
    </row>
    <row r="1210" spans="3:5" x14ac:dyDescent="0.15">
      <c r="C1210" s="255" t="s">
        <v>1027</v>
      </c>
      <c r="D1210" s="59">
        <v>0</v>
      </c>
      <c r="E1210" s="59"/>
    </row>
    <row r="1211" spans="3:5" x14ac:dyDescent="0.15">
      <c r="C1211" s="255" t="s">
        <v>1028</v>
      </c>
      <c r="D1211" s="59">
        <v>157.30000000000001</v>
      </c>
      <c r="E1211" s="59"/>
    </row>
    <row r="1212" spans="3:5" x14ac:dyDescent="0.15">
      <c r="C1212" s="255" t="s">
        <v>1029</v>
      </c>
      <c r="D1212" s="59">
        <v>125.9</v>
      </c>
      <c r="E1212" s="59"/>
    </row>
    <row r="1213" spans="3:5" x14ac:dyDescent="0.15">
      <c r="C1213" s="255" t="s">
        <v>1030</v>
      </c>
      <c r="D1213" s="59">
        <v>0</v>
      </c>
      <c r="E1213" s="59"/>
    </row>
    <row r="1214" spans="3:5" x14ac:dyDescent="0.15">
      <c r="C1214" s="255" t="s">
        <v>1031</v>
      </c>
      <c r="D1214" s="59">
        <v>481.4</v>
      </c>
      <c r="E1214" s="59"/>
    </row>
    <row r="1215" spans="3:5" x14ac:dyDescent="0.15">
      <c r="C1215" s="255" t="s">
        <v>1032</v>
      </c>
      <c r="D1215" s="59">
        <v>268.89999999999998</v>
      </c>
      <c r="E1215" s="59"/>
    </row>
    <row r="1216" spans="3:5" x14ac:dyDescent="0.15">
      <c r="C1216" s="255" t="s">
        <v>1033</v>
      </c>
      <c r="D1216" s="59">
        <v>0</v>
      </c>
      <c r="E1216" s="59"/>
    </row>
    <row r="1217" spans="2:5" x14ac:dyDescent="0.15">
      <c r="C1217" s="255" t="s">
        <v>1034</v>
      </c>
      <c r="D1217" s="59">
        <v>260.2</v>
      </c>
      <c r="E1217" s="59"/>
    </row>
    <row r="1218" spans="2:5" x14ac:dyDescent="0.15">
      <c r="C1218" s="255" t="s">
        <v>1035</v>
      </c>
      <c r="D1218" s="59">
        <v>3792.3</v>
      </c>
      <c r="E1218" s="59"/>
    </row>
    <row r="1219" spans="2:5" x14ac:dyDescent="0.15">
      <c r="C1219" s="255" t="s">
        <v>1036</v>
      </c>
      <c r="D1219" s="59">
        <v>0</v>
      </c>
      <c r="E1219" s="59"/>
    </row>
    <row r="1220" spans="2:5" x14ac:dyDescent="0.15">
      <c r="C1220" s="255" t="s">
        <v>1037</v>
      </c>
      <c r="D1220" s="59">
        <v>669.8</v>
      </c>
      <c r="E1220" s="59"/>
    </row>
    <row r="1221" spans="2:5" x14ac:dyDescent="0.15">
      <c r="C1221" s="255" t="s">
        <v>1038</v>
      </c>
      <c r="D1221" s="59">
        <v>2755.9</v>
      </c>
      <c r="E1221" s="59"/>
    </row>
    <row r="1222" spans="2:5" x14ac:dyDescent="0.15">
      <c r="C1222" s="255" t="s">
        <v>1039</v>
      </c>
      <c r="D1222" s="59">
        <v>747.8</v>
      </c>
      <c r="E1222" s="59"/>
    </row>
    <row r="1223" spans="2:5" x14ac:dyDescent="0.15">
      <c r="C1223" s="255" t="s">
        <v>1040</v>
      </c>
      <c r="D1223" s="59">
        <v>3259.8</v>
      </c>
      <c r="E1223" s="59"/>
    </row>
    <row r="1224" spans="2:5" x14ac:dyDescent="0.15">
      <c r="C1224" s="255" t="s">
        <v>1041</v>
      </c>
      <c r="D1224" s="59">
        <v>325.3</v>
      </c>
      <c r="E1224" s="59"/>
    </row>
    <row r="1225" spans="2:5" x14ac:dyDescent="0.15">
      <c r="C1225" s="255" t="s">
        <v>1042</v>
      </c>
      <c r="D1225" s="59">
        <v>2549.8000000000002</v>
      </c>
      <c r="E1225" s="59"/>
    </row>
    <row r="1226" spans="2:5" x14ac:dyDescent="0.15">
      <c r="C1226" s="255" t="s">
        <v>1043</v>
      </c>
      <c r="D1226" s="59">
        <v>470.3</v>
      </c>
      <c r="E1226" s="59"/>
    </row>
    <row r="1227" spans="2:5" x14ac:dyDescent="0.15">
      <c r="C1227" s="255" t="s">
        <v>1044</v>
      </c>
      <c r="D1227" s="59">
        <v>66.599999999999994</v>
      </c>
      <c r="E1227" s="59"/>
    </row>
    <row r="1228" spans="2:5" x14ac:dyDescent="0.15">
      <c r="C1228" s="255" t="s">
        <v>1045</v>
      </c>
      <c r="D1228" s="59">
        <v>17.3</v>
      </c>
      <c r="E1228" s="59"/>
    </row>
    <row r="1229" spans="2:5" x14ac:dyDescent="0.15">
      <c r="C1229" s="255" t="s">
        <v>1046</v>
      </c>
      <c r="D1229" s="59">
        <v>466.3</v>
      </c>
      <c r="E1229" s="59"/>
    </row>
    <row r="1230" spans="2:5" x14ac:dyDescent="0.15">
      <c r="C1230" s="255" t="s">
        <v>1047</v>
      </c>
      <c r="D1230" s="59">
        <v>0</v>
      </c>
      <c r="E1230" s="59"/>
    </row>
    <row r="1231" spans="2:5" x14ac:dyDescent="0.15">
      <c r="C1231" s="255" t="s">
        <v>1048</v>
      </c>
      <c r="D1231" s="59">
        <v>678.9</v>
      </c>
      <c r="E1231" s="59"/>
    </row>
    <row r="1232" spans="2:5" x14ac:dyDescent="0.15">
      <c r="B1232" s="255" t="s">
        <v>190</v>
      </c>
      <c r="C1232" s="255" t="s">
        <v>743</v>
      </c>
      <c r="D1232" s="59">
        <v>368</v>
      </c>
      <c r="E1232" s="59"/>
    </row>
    <row r="1233" spans="3:5" x14ac:dyDescent="0.15">
      <c r="C1233" s="255" t="s">
        <v>744</v>
      </c>
      <c r="D1233" s="59">
        <v>394.8</v>
      </c>
      <c r="E1233" s="59"/>
    </row>
    <row r="1234" spans="3:5" x14ac:dyDescent="0.15">
      <c r="C1234" s="255" t="s">
        <v>745</v>
      </c>
      <c r="D1234" s="59">
        <v>789.7</v>
      </c>
      <c r="E1234" s="59"/>
    </row>
    <row r="1235" spans="3:5" x14ac:dyDescent="0.15">
      <c r="C1235" s="255" t="s">
        <v>746</v>
      </c>
      <c r="D1235" s="59">
        <v>2</v>
      </c>
      <c r="E1235" s="59"/>
    </row>
    <row r="1236" spans="3:5" x14ac:dyDescent="0.15">
      <c r="C1236" s="255" t="s">
        <v>747</v>
      </c>
      <c r="D1236" s="59">
        <v>2</v>
      </c>
      <c r="E1236" s="59"/>
    </row>
    <row r="1237" spans="3:5" x14ac:dyDescent="0.15">
      <c r="C1237" s="255" t="s">
        <v>748</v>
      </c>
      <c r="D1237" s="59">
        <v>0</v>
      </c>
      <c r="E1237" s="59"/>
    </row>
    <row r="1238" spans="3:5" x14ac:dyDescent="0.15">
      <c r="C1238" s="255" t="s">
        <v>749</v>
      </c>
      <c r="D1238" s="59">
        <v>0.5</v>
      </c>
      <c r="E1238" s="59"/>
    </row>
    <row r="1239" spans="3:5" x14ac:dyDescent="0.15">
      <c r="C1239" s="255" t="s">
        <v>750</v>
      </c>
      <c r="D1239" s="59">
        <v>0.4</v>
      </c>
      <c r="E1239" s="59"/>
    </row>
    <row r="1240" spans="3:5" x14ac:dyDescent="0.15">
      <c r="C1240" s="255" t="s">
        <v>751</v>
      </c>
      <c r="D1240" s="59">
        <v>42.1</v>
      </c>
      <c r="E1240" s="59"/>
    </row>
    <row r="1241" spans="3:5" x14ac:dyDescent="0.15">
      <c r="C1241" s="255" t="s">
        <v>752</v>
      </c>
      <c r="D1241" s="59">
        <v>1.5</v>
      </c>
      <c r="E1241" s="59"/>
    </row>
    <row r="1242" spans="3:5" x14ac:dyDescent="0.15">
      <c r="C1242" s="255" t="s">
        <v>753</v>
      </c>
      <c r="D1242" s="59">
        <v>113.9</v>
      </c>
      <c r="E1242" s="59"/>
    </row>
    <row r="1243" spans="3:5" x14ac:dyDescent="0.15">
      <c r="C1243" s="255" t="s">
        <v>754</v>
      </c>
      <c r="D1243" s="59">
        <v>1949.3</v>
      </c>
      <c r="E1243" s="59"/>
    </row>
    <row r="1244" spans="3:5" x14ac:dyDescent="0.15">
      <c r="C1244" s="255" t="s">
        <v>192</v>
      </c>
      <c r="D1244" s="59">
        <v>330719.8</v>
      </c>
      <c r="E1244" s="59"/>
    </row>
    <row r="1245" spans="3:5" x14ac:dyDescent="0.15">
      <c r="C1245" s="255" t="s">
        <v>755</v>
      </c>
      <c r="D1245" s="59">
        <v>39231</v>
      </c>
      <c r="E1245" s="59"/>
    </row>
    <row r="1246" spans="3:5" x14ac:dyDescent="0.15">
      <c r="C1246" s="255" t="s">
        <v>756</v>
      </c>
      <c r="D1246" s="59">
        <v>159.80000000000001</v>
      </c>
      <c r="E1246" s="59"/>
    </row>
    <row r="1247" spans="3:5" x14ac:dyDescent="0.15">
      <c r="C1247" s="255" t="s">
        <v>757</v>
      </c>
      <c r="D1247" s="59">
        <v>129.30000000000001</v>
      </c>
      <c r="E1247" s="59"/>
    </row>
    <row r="1248" spans="3:5" x14ac:dyDescent="0.15">
      <c r="C1248" s="255" t="s">
        <v>758</v>
      </c>
      <c r="D1248" s="59">
        <v>2309.4</v>
      </c>
      <c r="E1248" s="59"/>
    </row>
    <row r="1249" spans="3:5" x14ac:dyDescent="0.15">
      <c r="C1249" s="255" t="s">
        <v>759</v>
      </c>
      <c r="D1249" s="59">
        <v>1467.4</v>
      </c>
      <c r="E1249" s="59"/>
    </row>
    <row r="1250" spans="3:5" x14ac:dyDescent="0.15">
      <c r="C1250" s="255" t="s">
        <v>760</v>
      </c>
      <c r="D1250" s="59">
        <v>140.30000000000001</v>
      </c>
      <c r="E1250" s="59"/>
    </row>
    <row r="1251" spans="3:5" x14ac:dyDescent="0.15">
      <c r="C1251" s="255" t="s">
        <v>761</v>
      </c>
      <c r="D1251" s="59">
        <v>341.8</v>
      </c>
      <c r="E1251" s="59"/>
    </row>
    <row r="1252" spans="3:5" x14ac:dyDescent="0.15">
      <c r="C1252" s="255" t="s">
        <v>762</v>
      </c>
      <c r="D1252" s="59">
        <v>326.5</v>
      </c>
      <c r="E1252" s="59"/>
    </row>
    <row r="1253" spans="3:5" x14ac:dyDescent="0.15">
      <c r="C1253" s="255" t="s">
        <v>763</v>
      </c>
      <c r="D1253" s="59">
        <v>198.6</v>
      </c>
      <c r="E1253" s="59"/>
    </row>
    <row r="1254" spans="3:5" x14ac:dyDescent="0.15">
      <c r="C1254" s="255" t="s">
        <v>764</v>
      </c>
      <c r="D1254" s="59">
        <v>2721.5</v>
      </c>
      <c r="E1254" s="59"/>
    </row>
    <row r="1255" spans="3:5" x14ac:dyDescent="0.15">
      <c r="C1255" s="255" t="s">
        <v>765</v>
      </c>
      <c r="D1255" s="59">
        <v>1168.7</v>
      </c>
      <c r="E1255" s="59"/>
    </row>
    <row r="1256" spans="3:5" x14ac:dyDescent="0.15">
      <c r="C1256" s="255" t="s">
        <v>766</v>
      </c>
      <c r="D1256" s="59">
        <v>211</v>
      </c>
      <c r="E1256" s="59"/>
    </row>
    <row r="1257" spans="3:5" x14ac:dyDescent="0.15">
      <c r="C1257" s="255" t="s">
        <v>767</v>
      </c>
      <c r="D1257" s="59">
        <v>1214.9000000000001</v>
      </c>
      <c r="E1257" s="59"/>
    </row>
    <row r="1258" spans="3:5" x14ac:dyDescent="0.15">
      <c r="C1258" s="255" t="s">
        <v>768</v>
      </c>
      <c r="D1258" s="59">
        <v>80.400000000000006</v>
      </c>
      <c r="E1258" s="59"/>
    </row>
    <row r="1259" spans="3:5" x14ac:dyDescent="0.15">
      <c r="C1259" s="255" t="s">
        <v>769</v>
      </c>
      <c r="D1259" s="59">
        <v>22.7</v>
      </c>
      <c r="E1259" s="59"/>
    </row>
    <row r="1260" spans="3:5" x14ac:dyDescent="0.15">
      <c r="C1260" s="255" t="s">
        <v>770</v>
      </c>
      <c r="D1260" s="59">
        <v>1630.5</v>
      </c>
      <c r="E1260" s="59"/>
    </row>
    <row r="1261" spans="3:5" x14ac:dyDescent="0.15">
      <c r="C1261" s="255" t="s">
        <v>771</v>
      </c>
      <c r="D1261" s="59">
        <v>1650.1</v>
      </c>
      <c r="E1261" s="59"/>
    </row>
    <row r="1262" spans="3:5" x14ac:dyDescent="0.15">
      <c r="C1262" s="255" t="s">
        <v>772</v>
      </c>
      <c r="D1262" s="59">
        <v>575.6</v>
      </c>
      <c r="E1262" s="59"/>
    </row>
    <row r="1263" spans="3:5" x14ac:dyDescent="0.15">
      <c r="C1263" s="255" t="s">
        <v>773</v>
      </c>
      <c r="D1263" s="59">
        <v>87.2</v>
      </c>
      <c r="E1263" s="59"/>
    </row>
    <row r="1264" spans="3:5" x14ac:dyDescent="0.15">
      <c r="C1264" s="255" t="s">
        <v>774</v>
      </c>
      <c r="D1264" s="59">
        <v>120.5</v>
      </c>
      <c r="E1264" s="59"/>
    </row>
    <row r="1265" spans="3:5" x14ac:dyDescent="0.15">
      <c r="C1265" s="255" t="s">
        <v>775</v>
      </c>
      <c r="D1265" s="59">
        <v>115.5</v>
      </c>
      <c r="E1265" s="59"/>
    </row>
    <row r="1266" spans="3:5" x14ac:dyDescent="0.15">
      <c r="C1266" s="255" t="s">
        <v>776</v>
      </c>
      <c r="D1266" s="59">
        <v>321.10000000000002</v>
      </c>
      <c r="E1266" s="59"/>
    </row>
    <row r="1267" spans="3:5" x14ac:dyDescent="0.15">
      <c r="C1267" s="255" t="s">
        <v>777</v>
      </c>
      <c r="D1267" s="59">
        <v>799.7</v>
      </c>
      <c r="E1267" s="59"/>
    </row>
    <row r="1268" spans="3:5" x14ac:dyDescent="0.15">
      <c r="C1268" s="255" t="s">
        <v>778</v>
      </c>
      <c r="D1268" s="59">
        <v>358.7</v>
      </c>
      <c r="E1268" s="59"/>
    </row>
    <row r="1269" spans="3:5" x14ac:dyDescent="0.15">
      <c r="C1269" s="255" t="s">
        <v>779</v>
      </c>
      <c r="D1269" s="59">
        <v>488.3</v>
      </c>
      <c r="E1269" s="59"/>
    </row>
    <row r="1270" spans="3:5" x14ac:dyDescent="0.15">
      <c r="C1270" s="255" t="s">
        <v>780</v>
      </c>
      <c r="D1270" s="59">
        <v>10.1</v>
      </c>
      <c r="E1270" s="59"/>
    </row>
    <row r="1271" spans="3:5" x14ac:dyDescent="0.15">
      <c r="C1271" s="255" t="s">
        <v>781</v>
      </c>
      <c r="D1271" s="59">
        <v>876</v>
      </c>
      <c r="E1271" s="59"/>
    </row>
    <row r="1272" spans="3:5" x14ac:dyDescent="0.15">
      <c r="C1272" s="255" t="s">
        <v>782</v>
      </c>
      <c r="D1272" s="59">
        <v>2186.4</v>
      </c>
      <c r="E1272" s="59"/>
    </row>
    <row r="1273" spans="3:5" x14ac:dyDescent="0.15">
      <c r="C1273" s="255" t="s">
        <v>783</v>
      </c>
      <c r="D1273" s="59">
        <v>732.7</v>
      </c>
      <c r="E1273" s="59"/>
    </row>
    <row r="1274" spans="3:5" x14ac:dyDescent="0.15">
      <c r="C1274" s="255" t="s">
        <v>784</v>
      </c>
      <c r="D1274" s="59">
        <v>692.3</v>
      </c>
      <c r="E1274" s="59"/>
    </row>
    <row r="1275" spans="3:5" x14ac:dyDescent="0.15">
      <c r="C1275" s="255" t="s">
        <v>785</v>
      </c>
      <c r="D1275" s="59">
        <v>535.70000000000005</v>
      </c>
      <c r="E1275" s="59"/>
    </row>
    <row r="1276" spans="3:5" x14ac:dyDescent="0.15">
      <c r="C1276" s="255" t="s">
        <v>786</v>
      </c>
      <c r="D1276" s="59">
        <v>110.7</v>
      </c>
      <c r="E1276" s="59"/>
    </row>
    <row r="1277" spans="3:5" x14ac:dyDescent="0.15">
      <c r="C1277" s="255" t="s">
        <v>787</v>
      </c>
      <c r="D1277" s="59">
        <v>125.9</v>
      </c>
      <c r="E1277" s="59"/>
    </row>
    <row r="1278" spans="3:5" x14ac:dyDescent="0.15">
      <c r="C1278" s="255" t="s">
        <v>788</v>
      </c>
      <c r="D1278" s="59">
        <v>76</v>
      </c>
      <c r="E1278" s="59"/>
    </row>
    <row r="1279" spans="3:5" x14ac:dyDescent="0.15">
      <c r="C1279" s="255" t="s">
        <v>789</v>
      </c>
      <c r="D1279" s="59">
        <v>7.7</v>
      </c>
      <c r="E1279" s="59"/>
    </row>
    <row r="1280" spans="3:5" x14ac:dyDescent="0.15">
      <c r="C1280" s="255" t="s">
        <v>790</v>
      </c>
      <c r="D1280" s="59">
        <v>2334</v>
      </c>
      <c r="E1280" s="59"/>
    </row>
    <row r="1281" spans="3:5" x14ac:dyDescent="0.15">
      <c r="C1281" s="255" t="s">
        <v>791</v>
      </c>
      <c r="D1281" s="59">
        <v>46.7</v>
      </c>
      <c r="E1281" s="59"/>
    </row>
    <row r="1282" spans="3:5" x14ac:dyDescent="0.15">
      <c r="C1282" s="255" t="s">
        <v>792</v>
      </c>
      <c r="D1282" s="59">
        <v>891.6</v>
      </c>
      <c r="E1282" s="59"/>
    </row>
    <row r="1283" spans="3:5" x14ac:dyDescent="0.15">
      <c r="C1283" s="255" t="s">
        <v>793</v>
      </c>
      <c r="D1283" s="59">
        <v>166.2</v>
      </c>
      <c r="E1283" s="59"/>
    </row>
    <row r="1284" spans="3:5" x14ac:dyDescent="0.15">
      <c r="C1284" s="255" t="s">
        <v>794</v>
      </c>
      <c r="D1284" s="59">
        <v>2727.7</v>
      </c>
      <c r="E1284" s="59"/>
    </row>
    <row r="1285" spans="3:5" x14ac:dyDescent="0.15">
      <c r="C1285" s="255" t="s">
        <v>795</v>
      </c>
      <c r="D1285" s="59">
        <v>223</v>
      </c>
      <c r="E1285" s="59"/>
    </row>
    <row r="1286" spans="3:5" x14ac:dyDescent="0.15">
      <c r="C1286" s="255" t="s">
        <v>796</v>
      </c>
      <c r="D1286" s="59">
        <v>671.6</v>
      </c>
      <c r="E1286" s="59"/>
    </row>
    <row r="1287" spans="3:5" x14ac:dyDescent="0.15">
      <c r="C1287" s="255" t="s">
        <v>797</v>
      </c>
      <c r="D1287" s="59">
        <v>661.3</v>
      </c>
      <c r="E1287" s="59"/>
    </row>
    <row r="1288" spans="3:5" x14ac:dyDescent="0.15">
      <c r="C1288" s="255" t="s">
        <v>798</v>
      </c>
      <c r="D1288" s="59">
        <v>333.6</v>
      </c>
      <c r="E1288" s="59"/>
    </row>
    <row r="1289" spans="3:5" x14ac:dyDescent="0.15">
      <c r="C1289" s="255" t="s">
        <v>799</v>
      </c>
      <c r="D1289" s="59">
        <v>109.9</v>
      </c>
      <c r="E1289" s="59"/>
    </row>
    <row r="1290" spans="3:5" x14ac:dyDescent="0.15">
      <c r="C1290" s="255" t="s">
        <v>800</v>
      </c>
      <c r="D1290" s="59">
        <v>108.6</v>
      </c>
      <c r="E1290" s="59"/>
    </row>
    <row r="1291" spans="3:5" x14ac:dyDescent="0.15">
      <c r="C1291" s="255" t="s">
        <v>801</v>
      </c>
      <c r="D1291" s="59">
        <v>237.4</v>
      </c>
      <c r="E1291" s="59"/>
    </row>
    <row r="1292" spans="3:5" x14ac:dyDescent="0.15">
      <c r="C1292" s="255" t="s">
        <v>802</v>
      </c>
      <c r="D1292" s="59">
        <v>1086.5999999999999</v>
      </c>
      <c r="E1292" s="59"/>
    </row>
    <row r="1293" spans="3:5" x14ac:dyDescent="0.15">
      <c r="C1293" s="255" t="s">
        <v>803</v>
      </c>
      <c r="D1293" s="59">
        <v>1300.0999999999999</v>
      </c>
      <c r="E1293" s="59"/>
    </row>
    <row r="1294" spans="3:5" x14ac:dyDescent="0.15">
      <c r="C1294" s="255" t="s">
        <v>804</v>
      </c>
      <c r="D1294" s="59">
        <v>878.7</v>
      </c>
      <c r="E1294" s="59"/>
    </row>
    <row r="1295" spans="3:5" x14ac:dyDescent="0.15">
      <c r="C1295" s="255" t="s">
        <v>805</v>
      </c>
      <c r="D1295" s="59">
        <v>25</v>
      </c>
      <c r="E1295" s="59"/>
    </row>
    <row r="1296" spans="3:5" x14ac:dyDescent="0.15">
      <c r="C1296" s="255" t="s">
        <v>806</v>
      </c>
      <c r="D1296" s="59">
        <v>881</v>
      </c>
      <c r="E1296" s="59"/>
    </row>
    <row r="1297" spans="3:5" x14ac:dyDescent="0.15">
      <c r="C1297" s="255" t="s">
        <v>807</v>
      </c>
      <c r="D1297" s="59">
        <v>494.2</v>
      </c>
      <c r="E1297" s="59"/>
    </row>
    <row r="1298" spans="3:5" x14ac:dyDescent="0.15">
      <c r="C1298" s="255" t="s">
        <v>808</v>
      </c>
      <c r="D1298" s="59">
        <v>10.5</v>
      </c>
      <c r="E1298" s="59"/>
    </row>
    <row r="1299" spans="3:5" x14ac:dyDescent="0.15">
      <c r="C1299" s="255" t="s">
        <v>809</v>
      </c>
      <c r="D1299" s="59">
        <v>255.8</v>
      </c>
      <c r="E1299" s="59"/>
    </row>
    <row r="1300" spans="3:5" x14ac:dyDescent="0.15">
      <c r="C1300" s="255" t="s">
        <v>810</v>
      </c>
      <c r="D1300" s="59">
        <v>205.3</v>
      </c>
      <c r="E1300" s="59"/>
    </row>
    <row r="1301" spans="3:5" x14ac:dyDescent="0.15">
      <c r="C1301" s="255" t="s">
        <v>811</v>
      </c>
      <c r="D1301" s="59">
        <v>1061.9000000000001</v>
      </c>
      <c r="E1301" s="59"/>
    </row>
    <row r="1302" spans="3:5" x14ac:dyDescent="0.15">
      <c r="C1302" s="255" t="s">
        <v>812</v>
      </c>
      <c r="D1302" s="59">
        <v>190.4</v>
      </c>
      <c r="E1302" s="59"/>
    </row>
    <row r="1303" spans="3:5" x14ac:dyDescent="0.15">
      <c r="C1303" s="255" t="s">
        <v>813</v>
      </c>
      <c r="D1303" s="59">
        <v>28.8</v>
      </c>
      <c r="E1303" s="59"/>
    </row>
    <row r="1304" spans="3:5" x14ac:dyDescent="0.15">
      <c r="C1304" s="255" t="s">
        <v>814</v>
      </c>
      <c r="D1304" s="59">
        <v>250</v>
      </c>
      <c r="E1304" s="59"/>
    </row>
    <row r="1305" spans="3:5" x14ac:dyDescent="0.15">
      <c r="C1305" s="255" t="s">
        <v>815</v>
      </c>
      <c r="D1305" s="59">
        <v>1440.1</v>
      </c>
      <c r="E1305" s="59"/>
    </row>
    <row r="1306" spans="3:5" x14ac:dyDescent="0.15">
      <c r="C1306" s="255" t="s">
        <v>816</v>
      </c>
      <c r="D1306" s="59">
        <v>618.29999999999995</v>
      </c>
      <c r="E1306" s="59"/>
    </row>
    <row r="1307" spans="3:5" x14ac:dyDescent="0.15">
      <c r="C1307" s="255" t="s">
        <v>817</v>
      </c>
      <c r="D1307" s="59">
        <v>8032.3</v>
      </c>
      <c r="E1307" s="59"/>
    </row>
    <row r="1308" spans="3:5" x14ac:dyDescent="0.15">
      <c r="C1308" s="255" t="s">
        <v>818</v>
      </c>
      <c r="D1308" s="59">
        <v>645.4</v>
      </c>
      <c r="E1308" s="59"/>
    </row>
    <row r="1309" spans="3:5" x14ac:dyDescent="0.15">
      <c r="C1309" s="255" t="s">
        <v>819</v>
      </c>
      <c r="D1309" s="59">
        <v>9.6999999999999993</v>
      </c>
      <c r="E1309" s="59"/>
    </row>
    <row r="1310" spans="3:5" x14ac:dyDescent="0.15">
      <c r="C1310" s="255" t="s">
        <v>820</v>
      </c>
      <c r="D1310" s="59">
        <v>2522.1</v>
      </c>
      <c r="E1310" s="59"/>
    </row>
    <row r="1311" spans="3:5" x14ac:dyDescent="0.15">
      <c r="C1311" s="255" t="s">
        <v>821</v>
      </c>
      <c r="D1311" s="59">
        <v>69.599999999999994</v>
      </c>
      <c r="E1311" s="59"/>
    </row>
    <row r="1312" spans="3:5" x14ac:dyDescent="0.15">
      <c r="C1312" s="255" t="s">
        <v>822</v>
      </c>
      <c r="D1312" s="59">
        <v>181.8</v>
      </c>
      <c r="E1312" s="59"/>
    </row>
    <row r="1313" spans="3:5" x14ac:dyDescent="0.15">
      <c r="C1313" s="255" t="s">
        <v>823</v>
      </c>
      <c r="D1313" s="59">
        <v>2.4</v>
      </c>
      <c r="E1313" s="59"/>
    </row>
    <row r="1314" spans="3:5" x14ac:dyDescent="0.15">
      <c r="C1314" s="255" t="s">
        <v>824</v>
      </c>
      <c r="D1314" s="59">
        <v>776.6</v>
      </c>
      <c r="E1314" s="59"/>
    </row>
    <row r="1315" spans="3:5" x14ac:dyDescent="0.15">
      <c r="C1315" s="255" t="s">
        <v>825</v>
      </c>
      <c r="D1315" s="59">
        <v>702.4</v>
      </c>
      <c r="E1315" s="59"/>
    </row>
    <row r="1316" spans="3:5" x14ac:dyDescent="0.15">
      <c r="C1316" s="255" t="s">
        <v>826</v>
      </c>
      <c r="D1316" s="59">
        <v>6.7</v>
      </c>
      <c r="E1316" s="59"/>
    </row>
    <row r="1317" spans="3:5" x14ac:dyDescent="0.15">
      <c r="C1317" s="255" t="s">
        <v>827</v>
      </c>
      <c r="D1317" s="59">
        <v>10.7</v>
      </c>
      <c r="E1317" s="59"/>
    </row>
    <row r="1318" spans="3:5" x14ac:dyDescent="0.15">
      <c r="C1318" s="255" t="s">
        <v>828</v>
      </c>
      <c r="D1318" s="59">
        <v>2465.5</v>
      </c>
      <c r="E1318" s="59"/>
    </row>
    <row r="1319" spans="3:5" x14ac:dyDescent="0.15">
      <c r="C1319" s="255" t="s">
        <v>829</v>
      </c>
      <c r="D1319" s="59">
        <v>11.4</v>
      </c>
      <c r="E1319" s="59"/>
    </row>
    <row r="1320" spans="3:5" x14ac:dyDescent="0.15">
      <c r="C1320" s="255" t="s">
        <v>830</v>
      </c>
      <c r="D1320" s="59">
        <v>627.79999999999995</v>
      </c>
      <c r="E1320" s="59"/>
    </row>
    <row r="1321" spans="3:5" x14ac:dyDescent="0.15">
      <c r="C1321" s="255" t="s">
        <v>831</v>
      </c>
      <c r="D1321" s="59">
        <v>0</v>
      </c>
      <c r="E1321" s="59"/>
    </row>
    <row r="1322" spans="3:5" x14ac:dyDescent="0.15">
      <c r="C1322" s="255" t="s">
        <v>832</v>
      </c>
      <c r="D1322" s="59">
        <v>15252</v>
      </c>
      <c r="E1322" s="59"/>
    </row>
    <row r="1323" spans="3:5" x14ac:dyDescent="0.15">
      <c r="C1323" s="255" t="s">
        <v>833</v>
      </c>
      <c r="D1323" s="59">
        <v>115.7</v>
      </c>
      <c r="E1323" s="59"/>
    </row>
    <row r="1324" spans="3:5" x14ac:dyDescent="0.15">
      <c r="C1324" s="255" t="s">
        <v>834</v>
      </c>
      <c r="D1324" s="59">
        <v>4094.8</v>
      </c>
      <c r="E1324" s="59"/>
    </row>
    <row r="1325" spans="3:5" x14ac:dyDescent="0.15">
      <c r="C1325" s="255" t="s">
        <v>835</v>
      </c>
      <c r="D1325" s="59">
        <v>7564.1</v>
      </c>
      <c r="E1325" s="59"/>
    </row>
    <row r="1326" spans="3:5" x14ac:dyDescent="0.15">
      <c r="C1326" s="255" t="s">
        <v>836</v>
      </c>
      <c r="D1326" s="59">
        <v>346.1</v>
      </c>
      <c r="E1326" s="59"/>
    </row>
    <row r="1327" spans="3:5" x14ac:dyDescent="0.15">
      <c r="C1327" s="255" t="s">
        <v>837</v>
      </c>
      <c r="D1327" s="59">
        <v>288.89999999999998</v>
      </c>
      <c r="E1327" s="59"/>
    </row>
    <row r="1328" spans="3:5" x14ac:dyDescent="0.15">
      <c r="C1328" s="255" t="s">
        <v>838</v>
      </c>
      <c r="D1328" s="59">
        <v>234.1</v>
      </c>
      <c r="E1328" s="59"/>
    </row>
    <row r="1329" spans="3:5" x14ac:dyDescent="0.15">
      <c r="C1329" s="255" t="s">
        <v>839</v>
      </c>
      <c r="D1329" s="59">
        <v>306.39999999999998</v>
      </c>
      <c r="E1329" s="59"/>
    </row>
    <row r="1330" spans="3:5" x14ac:dyDescent="0.15">
      <c r="C1330" s="255" t="s">
        <v>840</v>
      </c>
      <c r="D1330" s="59">
        <v>10.9</v>
      </c>
      <c r="E1330" s="59"/>
    </row>
    <row r="1331" spans="3:5" x14ac:dyDescent="0.15">
      <c r="C1331" s="255" t="s">
        <v>841</v>
      </c>
      <c r="D1331" s="59">
        <v>696</v>
      </c>
      <c r="E1331" s="59"/>
    </row>
    <row r="1332" spans="3:5" x14ac:dyDescent="0.15">
      <c r="C1332" s="255" t="s">
        <v>842</v>
      </c>
      <c r="D1332" s="59">
        <v>1462.1</v>
      </c>
      <c r="E1332" s="59"/>
    </row>
    <row r="1333" spans="3:5" x14ac:dyDescent="0.15">
      <c r="C1333" s="255" t="s">
        <v>843</v>
      </c>
      <c r="D1333" s="59">
        <v>107.5</v>
      </c>
      <c r="E1333" s="59"/>
    </row>
    <row r="1334" spans="3:5" x14ac:dyDescent="0.15">
      <c r="C1334" s="255" t="s">
        <v>844</v>
      </c>
      <c r="D1334" s="59">
        <v>25.5</v>
      </c>
      <c r="E1334" s="59"/>
    </row>
    <row r="1335" spans="3:5" x14ac:dyDescent="0.15">
      <c r="C1335" s="255" t="s">
        <v>845</v>
      </c>
      <c r="D1335" s="59">
        <v>95942.7</v>
      </c>
      <c r="E1335" s="59"/>
    </row>
    <row r="1336" spans="3:5" x14ac:dyDescent="0.15">
      <c r="C1336" s="255" t="s">
        <v>846</v>
      </c>
      <c r="D1336" s="59">
        <v>28102.3</v>
      </c>
      <c r="E1336" s="59"/>
    </row>
    <row r="1337" spans="3:5" x14ac:dyDescent="0.15">
      <c r="C1337" s="255" t="s">
        <v>847</v>
      </c>
      <c r="D1337" s="59">
        <v>93.9</v>
      </c>
      <c r="E1337" s="59"/>
    </row>
    <row r="1338" spans="3:5" x14ac:dyDescent="0.15">
      <c r="C1338" s="255" t="s">
        <v>848</v>
      </c>
      <c r="D1338" s="59">
        <v>29304.9</v>
      </c>
      <c r="E1338" s="59"/>
    </row>
    <row r="1339" spans="3:5" x14ac:dyDescent="0.15">
      <c r="C1339" s="255" t="s">
        <v>849</v>
      </c>
      <c r="D1339" s="59">
        <v>2327.3000000000002</v>
      </c>
      <c r="E1339" s="59"/>
    </row>
    <row r="1340" spans="3:5" x14ac:dyDescent="0.15">
      <c r="C1340" s="255" t="s">
        <v>850</v>
      </c>
      <c r="D1340" s="59">
        <v>2014.6</v>
      </c>
      <c r="E1340" s="59"/>
    </row>
    <row r="1341" spans="3:5" x14ac:dyDescent="0.15">
      <c r="C1341" s="255" t="s">
        <v>851</v>
      </c>
      <c r="D1341" s="59">
        <v>0</v>
      </c>
      <c r="E1341" s="59"/>
    </row>
    <row r="1342" spans="3:5" x14ac:dyDescent="0.15">
      <c r="C1342" s="255" t="s">
        <v>852</v>
      </c>
      <c r="D1342" s="59">
        <v>0</v>
      </c>
      <c r="E1342" s="59"/>
    </row>
    <row r="1343" spans="3:5" x14ac:dyDescent="0.15">
      <c r="C1343" s="255" t="s">
        <v>853</v>
      </c>
      <c r="D1343" s="59">
        <v>138.30000000000001</v>
      </c>
      <c r="E1343" s="59"/>
    </row>
    <row r="1344" spans="3:5" x14ac:dyDescent="0.15">
      <c r="C1344" s="255" t="s">
        <v>854</v>
      </c>
      <c r="D1344" s="59">
        <v>0</v>
      </c>
      <c r="E1344" s="59"/>
    </row>
    <row r="1345" spans="3:5" x14ac:dyDescent="0.15">
      <c r="C1345" s="255" t="s">
        <v>855</v>
      </c>
      <c r="D1345" s="59">
        <v>242.3</v>
      </c>
      <c r="E1345" s="59"/>
    </row>
    <row r="1346" spans="3:5" x14ac:dyDescent="0.15">
      <c r="C1346" s="255" t="s">
        <v>856</v>
      </c>
      <c r="D1346" s="59">
        <v>2104</v>
      </c>
      <c r="E1346" s="59"/>
    </row>
    <row r="1347" spans="3:5" x14ac:dyDescent="0.15">
      <c r="C1347" s="255" t="s">
        <v>857</v>
      </c>
      <c r="D1347" s="59">
        <v>2393.5</v>
      </c>
      <c r="E1347" s="59"/>
    </row>
    <row r="1348" spans="3:5" x14ac:dyDescent="0.15">
      <c r="C1348" s="255" t="s">
        <v>858</v>
      </c>
      <c r="D1348" s="59">
        <v>2578.9</v>
      </c>
      <c r="E1348" s="59"/>
    </row>
    <row r="1349" spans="3:5" x14ac:dyDescent="0.15">
      <c r="C1349" s="255" t="s">
        <v>859</v>
      </c>
      <c r="D1349" s="59">
        <v>2394.6999999999998</v>
      </c>
      <c r="E1349" s="59"/>
    </row>
    <row r="1350" spans="3:5" x14ac:dyDescent="0.15">
      <c r="C1350" s="255" t="s">
        <v>860</v>
      </c>
      <c r="D1350" s="59">
        <v>140.6</v>
      </c>
      <c r="E1350" s="59"/>
    </row>
    <row r="1351" spans="3:5" x14ac:dyDescent="0.15">
      <c r="C1351" s="255" t="s">
        <v>861</v>
      </c>
      <c r="D1351" s="59">
        <v>2851</v>
      </c>
      <c r="E1351" s="59"/>
    </row>
    <row r="1352" spans="3:5" x14ac:dyDescent="0.15">
      <c r="C1352" s="255" t="s">
        <v>862</v>
      </c>
      <c r="D1352" s="59">
        <v>7213.4</v>
      </c>
      <c r="E1352" s="59"/>
    </row>
    <row r="1353" spans="3:5" x14ac:dyDescent="0.15">
      <c r="C1353" s="255" t="s">
        <v>863</v>
      </c>
      <c r="D1353" s="59">
        <v>1462.4</v>
      </c>
      <c r="E1353" s="59"/>
    </row>
    <row r="1354" spans="3:5" x14ac:dyDescent="0.15">
      <c r="C1354" s="255" t="s">
        <v>864</v>
      </c>
      <c r="D1354" s="59">
        <v>139.6</v>
      </c>
      <c r="E1354" s="59"/>
    </row>
    <row r="1355" spans="3:5" x14ac:dyDescent="0.15">
      <c r="C1355" s="255" t="s">
        <v>865</v>
      </c>
      <c r="D1355" s="59">
        <v>521.4</v>
      </c>
      <c r="E1355" s="59"/>
    </row>
    <row r="1356" spans="3:5" x14ac:dyDescent="0.15">
      <c r="C1356" s="255" t="s">
        <v>866</v>
      </c>
      <c r="D1356" s="59">
        <v>1.8</v>
      </c>
      <c r="E1356" s="59"/>
    </row>
    <row r="1357" spans="3:5" x14ac:dyDescent="0.15">
      <c r="C1357" s="255" t="s">
        <v>867</v>
      </c>
      <c r="D1357" s="59">
        <v>1029.0999999999999</v>
      </c>
      <c r="E1357" s="59"/>
    </row>
    <row r="1358" spans="3:5" x14ac:dyDescent="0.15">
      <c r="C1358" s="255" t="s">
        <v>868</v>
      </c>
      <c r="D1358" s="59">
        <v>10888.5</v>
      </c>
      <c r="E1358" s="59"/>
    </row>
    <row r="1359" spans="3:5" x14ac:dyDescent="0.15">
      <c r="C1359" s="255" t="s">
        <v>869</v>
      </c>
      <c r="D1359" s="59">
        <v>19707.5</v>
      </c>
      <c r="E1359" s="59"/>
    </row>
    <row r="1360" spans="3:5" x14ac:dyDescent="0.15">
      <c r="C1360" s="255" t="s">
        <v>870</v>
      </c>
      <c r="D1360" s="59">
        <v>4422.3999999999996</v>
      </c>
      <c r="E1360" s="59"/>
    </row>
    <row r="1361" spans="3:5" x14ac:dyDescent="0.15">
      <c r="C1361" s="255" t="s">
        <v>871</v>
      </c>
      <c r="D1361" s="59">
        <v>986.6</v>
      </c>
      <c r="E1361" s="59"/>
    </row>
    <row r="1362" spans="3:5" x14ac:dyDescent="0.15">
      <c r="C1362" s="255" t="s">
        <v>872</v>
      </c>
      <c r="D1362" s="59">
        <v>1188.5</v>
      </c>
      <c r="E1362" s="59"/>
    </row>
    <row r="1363" spans="3:5" x14ac:dyDescent="0.15">
      <c r="C1363" s="255" t="s">
        <v>873</v>
      </c>
      <c r="D1363" s="59">
        <v>886.8</v>
      </c>
      <c r="E1363" s="59"/>
    </row>
    <row r="1364" spans="3:5" x14ac:dyDescent="0.15">
      <c r="C1364" s="255" t="s">
        <v>874</v>
      </c>
      <c r="D1364" s="59">
        <v>100.2</v>
      </c>
      <c r="E1364" s="59"/>
    </row>
    <row r="1365" spans="3:5" x14ac:dyDescent="0.15">
      <c r="C1365" s="255" t="s">
        <v>875</v>
      </c>
      <c r="D1365" s="59">
        <v>55.7</v>
      </c>
      <c r="E1365" s="59"/>
    </row>
    <row r="1366" spans="3:5" x14ac:dyDescent="0.15">
      <c r="C1366" s="255" t="s">
        <v>876</v>
      </c>
      <c r="D1366" s="59">
        <v>0</v>
      </c>
      <c r="E1366" s="59"/>
    </row>
    <row r="1367" spans="3:5" x14ac:dyDescent="0.15">
      <c r="C1367" s="255" t="s">
        <v>877</v>
      </c>
      <c r="D1367" s="59">
        <v>38.4</v>
      </c>
      <c r="E1367" s="59"/>
    </row>
    <row r="1368" spans="3:5" x14ac:dyDescent="0.15">
      <c r="C1368" s="255" t="s">
        <v>878</v>
      </c>
      <c r="D1368" s="59">
        <v>30.1</v>
      </c>
      <c r="E1368" s="59"/>
    </row>
    <row r="1369" spans="3:5" x14ac:dyDescent="0.15">
      <c r="C1369" s="255" t="s">
        <v>879</v>
      </c>
      <c r="D1369" s="59">
        <v>1437.4</v>
      </c>
      <c r="E1369" s="59"/>
    </row>
    <row r="1370" spans="3:5" x14ac:dyDescent="0.15">
      <c r="C1370" s="255" t="s">
        <v>880</v>
      </c>
      <c r="D1370" s="59">
        <v>118.8</v>
      </c>
      <c r="E1370" s="59"/>
    </row>
    <row r="1371" spans="3:5" x14ac:dyDescent="0.15">
      <c r="C1371" s="255" t="s">
        <v>881</v>
      </c>
      <c r="D1371" s="59">
        <v>2.7</v>
      </c>
      <c r="E1371" s="59"/>
    </row>
    <row r="1372" spans="3:5" x14ac:dyDescent="0.15">
      <c r="C1372" s="255" t="s">
        <v>882</v>
      </c>
      <c r="D1372" s="59">
        <v>253.6</v>
      </c>
      <c r="E1372" s="59"/>
    </row>
    <row r="1373" spans="3:5" x14ac:dyDescent="0.15">
      <c r="C1373" s="255" t="s">
        <v>883</v>
      </c>
      <c r="D1373" s="59">
        <v>529.9</v>
      </c>
      <c r="E1373" s="59"/>
    </row>
    <row r="1374" spans="3:5" x14ac:dyDescent="0.15">
      <c r="C1374" s="255" t="s">
        <v>884</v>
      </c>
      <c r="D1374" s="59">
        <v>993.2</v>
      </c>
      <c r="E1374" s="59"/>
    </row>
    <row r="1375" spans="3:5" x14ac:dyDescent="0.15">
      <c r="C1375" s="255" t="s">
        <v>885</v>
      </c>
      <c r="D1375" s="59">
        <v>343</v>
      </c>
      <c r="E1375" s="59"/>
    </row>
    <row r="1376" spans="3:5" x14ac:dyDescent="0.15">
      <c r="C1376" s="255" t="s">
        <v>886</v>
      </c>
      <c r="D1376" s="59">
        <v>13.1</v>
      </c>
      <c r="E1376" s="59"/>
    </row>
    <row r="1377" spans="3:5" x14ac:dyDescent="0.15">
      <c r="C1377" s="255" t="s">
        <v>887</v>
      </c>
      <c r="D1377" s="59">
        <v>10.3</v>
      </c>
      <c r="E1377" s="59"/>
    </row>
    <row r="1378" spans="3:5" x14ac:dyDescent="0.15">
      <c r="C1378" s="255" t="s">
        <v>888</v>
      </c>
      <c r="D1378" s="59">
        <v>170</v>
      </c>
      <c r="E1378" s="59"/>
    </row>
    <row r="1379" spans="3:5" x14ac:dyDescent="0.15">
      <c r="C1379" s="255" t="s">
        <v>889</v>
      </c>
      <c r="D1379" s="59">
        <v>219.5</v>
      </c>
      <c r="E1379" s="59"/>
    </row>
    <row r="1380" spans="3:5" x14ac:dyDescent="0.15">
      <c r="C1380" s="255" t="s">
        <v>890</v>
      </c>
      <c r="D1380" s="59">
        <v>32.1</v>
      </c>
      <c r="E1380" s="59"/>
    </row>
    <row r="1381" spans="3:5" x14ac:dyDescent="0.15">
      <c r="C1381" s="255" t="s">
        <v>891</v>
      </c>
      <c r="D1381" s="59">
        <v>32.1</v>
      </c>
      <c r="E1381" s="59"/>
    </row>
    <row r="1382" spans="3:5" x14ac:dyDescent="0.15">
      <c r="C1382" s="255" t="s">
        <v>892</v>
      </c>
      <c r="D1382" s="59">
        <v>14</v>
      </c>
      <c r="E1382" s="59"/>
    </row>
    <row r="1383" spans="3:5" x14ac:dyDescent="0.15">
      <c r="C1383" s="255" t="s">
        <v>893</v>
      </c>
      <c r="D1383" s="59">
        <v>159.4</v>
      </c>
      <c r="E1383" s="59"/>
    </row>
    <row r="1384" spans="3:5" x14ac:dyDescent="0.15">
      <c r="C1384" s="255" t="s">
        <v>894</v>
      </c>
      <c r="D1384" s="59">
        <v>0</v>
      </c>
      <c r="E1384" s="59"/>
    </row>
    <row r="1385" spans="3:5" x14ac:dyDescent="0.15">
      <c r="C1385" s="255" t="s">
        <v>895</v>
      </c>
      <c r="D1385" s="59">
        <v>932.3</v>
      </c>
      <c r="E1385" s="59"/>
    </row>
    <row r="1386" spans="3:5" x14ac:dyDescent="0.15">
      <c r="C1386" s="255" t="s">
        <v>896</v>
      </c>
      <c r="D1386" s="59">
        <v>49.8</v>
      </c>
      <c r="E1386" s="59"/>
    </row>
    <row r="1387" spans="3:5" x14ac:dyDescent="0.15">
      <c r="C1387" s="255" t="s">
        <v>897</v>
      </c>
      <c r="D1387" s="59">
        <v>1435.7</v>
      </c>
      <c r="E1387" s="59"/>
    </row>
    <row r="1388" spans="3:5" x14ac:dyDescent="0.15">
      <c r="C1388" s="255" t="s">
        <v>898</v>
      </c>
      <c r="D1388" s="59">
        <v>679.2</v>
      </c>
      <c r="E1388" s="59"/>
    </row>
    <row r="1389" spans="3:5" x14ac:dyDescent="0.15">
      <c r="C1389" s="255" t="s">
        <v>899</v>
      </c>
      <c r="D1389" s="59">
        <v>115.6</v>
      </c>
      <c r="E1389" s="59"/>
    </row>
    <row r="1390" spans="3:5" x14ac:dyDescent="0.15">
      <c r="C1390" s="255" t="s">
        <v>900</v>
      </c>
      <c r="D1390" s="59">
        <v>395.6</v>
      </c>
      <c r="E1390" s="59"/>
    </row>
    <row r="1391" spans="3:5" x14ac:dyDescent="0.15">
      <c r="C1391" s="255" t="s">
        <v>901</v>
      </c>
      <c r="D1391" s="59">
        <v>945.5</v>
      </c>
      <c r="E1391" s="59"/>
    </row>
    <row r="1392" spans="3:5" x14ac:dyDescent="0.15">
      <c r="C1392" s="255" t="s">
        <v>902</v>
      </c>
      <c r="D1392" s="59">
        <v>72.900000000000006</v>
      </c>
      <c r="E1392" s="59"/>
    </row>
    <row r="1393" spans="3:5" x14ac:dyDescent="0.15">
      <c r="C1393" s="255" t="s">
        <v>903</v>
      </c>
      <c r="D1393" s="59">
        <v>871.1</v>
      </c>
      <c r="E1393" s="59"/>
    </row>
    <row r="1394" spans="3:5" x14ac:dyDescent="0.15">
      <c r="C1394" s="255" t="s">
        <v>904</v>
      </c>
      <c r="D1394" s="59">
        <v>1406.7</v>
      </c>
      <c r="E1394" s="59"/>
    </row>
    <row r="1395" spans="3:5" x14ac:dyDescent="0.15">
      <c r="C1395" s="255" t="s">
        <v>905</v>
      </c>
      <c r="D1395" s="59">
        <v>193</v>
      </c>
      <c r="E1395" s="59"/>
    </row>
    <row r="1396" spans="3:5" x14ac:dyDescent="0.15">
      <c r="C1396" s="255" t="s">
        <v>906</v>
      </c>
      <c r="D1396" s="59">
        <v>171.1</v>
      </c>
      <c r="E1396" s="59"/>
    </row>
    <row r="1397" spans="3:5" x14ac:dyDescent="0.15">
      <c r="C1397" s="255" t="s">
        <v>907</v>
      </c>
      <c r="D1397" s="59">
        <v>401.4</v>
      </c>
      <c r="E1397" s="59"/>
    </row>
    <row r="1398" spans="3:5" x14ac:dyDescent="0.15">
      <c r="C1398" s="255" t="s">
        <v>908</v>
      </c>
      <c r="D1398" s="59">
        <v>8316.2999999999993</v>
      </c>
      <c r="E1398" s="59"/>
    </row>
    <row r="1399" spans="3:5" x14ac:dyDescent="0.15">
      <c r="C1399" s="255" t="s">
        <v>909</v>
      </c>
      <c r="D1399" s="59">
        <v>1827.5</v>
      </c>
      <c r="E1399" s="59"/>
    </row>
    <row r="1400" spans="3:5" x14ac:dyDescent="0.15">
      <c r="C1400" s="255" t="s">
        <v>910</v>
      </c>
      <c r="D1400" s="59">
        <v>5.7</v>
      </c>
      <c r="E1400" s="59"/>
    </row>
    <row r="1401" spans="3:5" x14ac:dyDescent="0.15">
      <c r="C1401" s="255" t="s">
        <v>911</v>
      </c>
      <c r="D1401" s="59">
        <v>180.1</v>
      </c>
      <c r="E1401" s="59"/>
    </row>
    <row r="1402" spans="3:5" x14ac:dyDescent="0.15">
      <c r="C1402" s="255" t="s">
        <v>912</v>
      </c>
      <c r="D1402" s="59">
        <v>877.1</v>
      </c>
      <c r="E1402" s="59"/>
    </row>
    <row r="1403" spans="3:5" x14ac:dyDescent="0.15">
      <c r="C1403" s="255" t="s">
        <v>913</v>
      </c>
      <c r="D1403" s="59">
        <v>0</v>
      </c>
      <c r="E1403" s="59"/>
    </row>
    <row r="1404" spans="3:5" x14ac:dyDescent="0.15">
      <c r="C1404" s="255" t="s">
        <v>914</v>
      </c>
      <c r="D1404" s="59">
        <v>0.5</v>
      </c>
      <c r="E1404" s="59"/>
    </row>
    <row r="1405" spans="3:5" x14ac:dyDescent="0.15">
      <c r="C1405" s="255" t="s">
        <v>915</v>
      </c>
      <c r="D1405" s="59">
        <v>12.8</v>
      </c>
      <c r="E1405" s="59"/>
    </row>
    <row r="1406" spans="3:5" x14ac:dyDescent="0.15">
      <c r="C1406" s="255" t="s">
        <v>916</v>
      </c>
      <c r="D1406" s="59">
        <v>311.5</v>
      </c>
      <c r="E1406" s="59"/>
    </row>
    <row r="1407" spans="3:5" x14ac:dyDescent="0.15">
      <c r="C1407" s="255" t="s">
        <v>917</v>
      </c>
      <c r="D1407" s="59">
        <v>536.5</v>
      </c>
      <c r="E1407" s="59"/>
    </row>
    <row r="1408" spans="3:5" x14ac:dyDescent="0.15">
      <c r="C1408" s="255" t="s">
        <v>918</v>
      </c>
      <c r="D1408" s="59">
        <v>3038.2</v>
      </c>
      <c r="E1408" s="59"/>
    </row>
    <row r="1409" spans="3:5" x14ac:dyDescent="0.15">
      <c r="C1409" s="255" t="s">
        <v>919</v>
      </c>
      <c r="D1409" s="59">
        <v>0</v>
      </c>
      <c r="E1409" s="59"/>
    </row>
    <row r="1410" spans="3:5" x14ac:dyDescent="0.15">
      <c r="C1410" s="255" t="s">
        <v>920</v>
      </c>
      <c r="D1410" s="59">
        <v>1526.4</v>
      </c>
      <c r="E1410" s="59"/>
    </row>
    <row r="1411" spans="3:5" x14ac:dyDescent="0.15">
      <c r="C1411" s="255" t="s">
        <v>921</v>
      </c>
      <c r="D1411" s="59">
        <v>0</v>
      </c>
      <c r="E1411" s="59"/>
    </row>
    <row r="1412" spans="3:5" x14ac:dyDescent="0.15">
      <c r="C1412" s="255" t="s">
        <v>922</v>
      </c>
      <c r="D1412" s="59">
        <v>49888.4</v>
      </c>
      <c r="E1412" s="59"/>
    </row>
    <row r="1413" spans="3:5" x14ac:dyDescent="0.15">
      <c r="C1413" s="255" t="s">
        <v>923</v>
      </c>
      <c r="D1413" s="59">
        <v>16214.3</v>
      </c>
      <c r="E1413" s="59"/>
    </row>
    <row r="1414" spans="3:5" x14ac:dyDescent="0.15">
      <c r="C1414" s="255" t="s">
        <v>924</v>
      </c>
      <c r="D1414" s="59">
        <v>2818.9</v>
      </c>
      <c r="E1414" s="59"/>
    </row>
    <row r="1415" spans="3:5" x14ac:dyDescent="0.15">
      <c r="C1415" s="255" t="s">
        <v>925</v>
      </c>
      <c r="D1415" s="59">
        <v>158.5</v>
      </c>
      <c r="E1415" s="59"/>
    </row>
    <row r="1416" spans="3:5" x14ac:dyDescent="0.15">
      <c r="C1416" s="255" t="s">
        <v>926</v>
      </c>
      <c r="D1416" s="59">
        <v>1228.2</v>
      </c>
      <c r="E1416" s="59"/>
    </row>
    <row r="1417" spans="3:5" x14ac:dyDescent="0.15">
      <c r="C1417" s="255" t="s">
        <v>927</v>
      </c>
      <c r="D1417" s="59">
        <v>614.9</v>
      </c>
      <c r="E1417" s="59"/>
    </row>
    <row r="1418" spans="3:5" x14ac:dyDescent="0.15">
      <c r="C1418" s="255" t="s">
        <v>928</v>
      </c>
      <c r="D1418" s="59">
        <v>1320.1</v>
      </c>
      <c r="E1418" s="59"/>
    </row>
    <row r="1419" spans="3:5" x14ac:dyDescent="0.15">
      <c r="C1419" s="255" t="s">
        <v>929</v>
      </c>
      <c r="D1419" s="59">
        <v>415.5</v>
      </c>
      <c r="E1419" s="59"/>
    </row>
    <row r="1420" spans="3:5" x14ac:dyDescent="0.15">
      <c r="C1420" s="255" t="s">
        <v>930</v>
      </c>
      <c r="D1420" s="59">
        <v>2905.1</v>
      </c>
      <c r="E1420" s="59"/>
    </row>
    <row r="1421" spans="3:5" x14ac:dyDescent="0.15">
      <c r="C1421" s="255" t="s">
        <v>931</v>
      </c>
      <c r="D1421" s="59">
        <v>6185.7</v>
      </c>
      <c r="E1421" s="59"/>
    </row>
    <row r="1422" spans="3:5" x14ac:dyDescent="0.15">
      <c r="C1422" s="255" t="s">
        <v>932</v>
      </c>
      <c r="D1422" s="59">
        <v>0</v>
      </c>
      <c r="E1422" s="59"/>
    </row>
    <row r="1423" spans="3:5" x14ac:dyDescent="0.15">
      <c r="C1423" s="255" t="s">
        <v>933</v>
      </c>
      <c r="D1423" s="59">
        <v>150.5</v>
      </c>
      <c r="E1423" s="59"/>
    </row>
    <row r="1424" spans="3:5" x14ac:dyDescent="0.15">
      <c r="C1424" s="255" t="s">
        <v>934</v>
      </c>
      <c r="D1424" s="59">
        <v>4791.5</v>
      </c>
      <c r="E1424" s="59"/>
    </row>
    <row r="1425" spans="3:5" x14ac:dyDescent="0.15">
      <c r="C1425" s="255" t="s">
        <v>935</v>
      </c>
      <c r="D1425" s="59">
        <v>2312.4</v>
      </c>
      <c r="E1425" s="59"/>
    </row>
    <row r="1426" spans="3:5" x14ac:dyDescent="0.15">
      <c r="C1426" s="255" t="s">
        <v>936</v>
      </c>
      <c r="D1426" s="59">
        <v>4033</v>
      </c>
      <c r="E1426" s="59"/>
    </row>
    <row r="1427" spans="3:5" x14ac:dyDescent="0.15">
      <c r="C1427" s="255" t="s">
        <v>937</v>
      </c>
      <c r="D1427" s="59">
        <v>509</v>
      </c>
      <c r="E1427" s="59"/>
    </row>
    <row r="1428" spans="3:5" x14ac:dyDescent="0.15">
      <c r="C1428" s="255" t="s">
        <v>938</v>
      </c>
      <c r="D1428" s="59">
        <v>354.2</v>
      </c>
      <c r="E1428" s="59"/>
    </row>
    <row r="1429" spans="3:5" x14ac:dyDescent="0.15">
      <c r="C1429" s="255" t="s">
        <v>939</v>
      </c>
      <c r="D1429" s="59">
        <v>4.7</v>
      </c>
      <c r="E1429" s="59"/>
    </row>
    <row r="1430" spans="3:5" x14ac:dyDescent="0.15">
      <c r="C1430" s="255" t="s">
        <v>940</v>
      </c>
      <c r="D1430" s="59">
        <v>175</v>
      </c>
      <c r="E1430" s="59"/>
    </row>
    <row r="1431" spans="3:5" x14ac:dyDescent="0.15">
      <c r="C1431" s="255" t="s">
        <v>941</v>
      </c>
      <c r="D1431" s="59">
        <v>328.1</v>
      </c>
      <c r="E1431" s="59"/>
    </row>
    <row r="1432" spans="3:5" x14ac:dyDescent="0.15">
      <c r="C1432" s="255" t="s">
        <v>942</v>
      </c>
      <c r="D1432" s="59">
        <v>0</v>
      </c>
      <c r="E1432" s="59"/>
    </row>
    <row r="1433" spans="3:5" x14ac:dyDescent="0.15">
      <c r="C1433" s="255" t="s">
        <v>943</v>
      </c>
      <c r="D1433" s="59">
        <v>2106.8000000000002</v>
      </c>
      <c r="E1433" s="59"/>
    </row>
    <row r="1434" spans="3:5" x14ac:dyDescent="0.15">
      <c r="C1434" s="255" t="s">
        <v>944</v>
      </c>
      <c r="D1434" s="59">
        <v>494.8</v>
      </c>
      <c r="E1434" s="59"/>
    </row>
    <row r="1435" spans="3:5" x14ac:dyDescent="0.15">
      <c r="C1435" s="255" t="s">
        <v>945</v>
      </c>
      <c r="D1435" s="59">
        <v>2672.7</v>
      </c>
      <c r="E1435" s="59"/>
    </row>
    <row r="1436" spans="3:5" x14ac:dyDescent="0.15">
      <c r="C1436" s="255" t="s">
        <v>946</v>
      </c>
      <c r="D1436" s="59">
        <v>75.7</v>
      </c>
      <c r="E1436" s="59"/>
    </row>
    <row r="1437" spans="3:5" x14ac:dyDescent="0.15">
      <c r="C1437" s="255" t="s">
        <v>947</v>
      </c>
      <c r="D1437" s="59">
        <v>18.899999999999999</v>
      </c>
      <c r="E1437" s="59"/>
    </row>
    <row r="1438" spans="3:5" x14ac:dyDescent="0.15">
      <c r="C1438" s="255" t="s">
        <v>948</v>
      </c>
      <c r="D1438" s="59">
        <v>9172.1</v>
      </c>
      <c r="E1438" s="59"/>
    </row>
    <row r="1439" spans="3:5" x14ac:dyDescent="0.15">
      <c r="C1439" s="255" t="s">
        <v>949</v>
      </c>
      <c r="D1439" s="59">
        <v>106.6</v>
      </c>
      <c r="E1439" s="59"/>
    </row>
    <row r="1440" spans="3:5" x14ac:dyDescent="0.15">
      <c r="C1440" s="255" t="s">
        <v>950</v>
      </c>
      <c r="D1440" s="59">
        <v>3.3</v>
      </c>
      <c r="E1440" s="59"/>
    </row>
    <row r="1441" spans="3:5" x14ac:dyDescent="0.15">
      <c r="C1441" s="255" t="s">
        <v>951</v>
      </c>
      <c r="D1441" s="59">
        <v>1480.6</v>
      </c>
      <c r="E1441" s="59"/>
    </row>
    <row r="1442" spans="3:5" x14ac:dyDescent="0.15">
      <c r="C1442" s="255" t="s">
        <v>952</v>
      </c>
      <c r="D1442" s="59">
        <v>0</v>
      </c>
      <c r="E1442" s="59"/>
    </row>
    <row r="1443" spans="3:5" x14ac:dyDescent="0.15">
      <c r="C1443" s="255" t="s">
        <v>953</v>
      </c>
      <c r="D1443" s="59">
        <v>84</v>
      </c>
      <c r="E1443" s="59"/>
    </row>
    <row r="1444" spans="3:5" x14ac:dyDescent="0.15">
      <c r="C1444" s="255" t="s">
        <v>954</v>
      </c>
      <c r="D1444" s="59">
        <v>3244.2</v>
      </c>
      <c r="E1444" s="59"/>
    </row>
    <row r="1445" spans="3:5" x14ac:dyDescent="0.15">
      <c r="C1445" s="255" t="s">
        <v>955</v>
      </c>
      <c r="D1445" s="59">
        <v>2042.3</v>
      </c>
      <c r="E1445" s="59"/>
    </row>
    <row r="1446" spans="3:5" x14ac:dyDescent="0.15">
      <c r="C1446" s="255" t="s">
        <v>956</v>
      </c>
      <c r="D1446" s="59">
        <v>2211.1</v>
      </c>
      <c r="E1446" s="59"/>
    </row>
    <row r="1447" spans="3:5" x14ac:dyDescent="0.15">
      <c r="C1447" s="255" t="s">
        <v>957</v>
      </c>
      <c r="D1447" s="59">
        <v>34003.300000000003</v>
      </c>
      <c r="E1447" s="59"/>
    </row>
    <row r="1448" spans="3:5" x14ac:dyDescent="0.15">
      <c r="C1448" s="255" t="s">
        <v>958</v>
      </c>
      <c r="D1448" s="59">
        <v>53.5</v>
      </c>
      <c r="E1448" s="59"/>
    </row>
    <row r="1449" spans="3:5" x14ac:dyDescent="0.15">
      <c r="C1449" s="255" t="s">
        <v>959</v>
      </c>
      <c r="D1449" s="59">
        <v>1134.3</v>
      </c>
      <c r="E1449" s="59"/>
    </row>
    <row r="1450" spans="3:5" x14ac:dyDescent="0.15">
      <c r="C1450" s="255" t="s">
        <v>960</v>
      </c>
      <c r="D1450" s="59">
        <v>352.6</v>
      </c>
      <c r="E1450" s="59"/>
    </row>
    <row r="1451" spans="3:5" x14ac:dyDescent="0.15">
      <c r="C1451" s="255" t="s">
        <v>961</v>
      </c>
      <c r="D1451" s="59">
        <v>107.9</v>
      </c>
      <c r="E1451" s="59"/>
    </row>
    <row r="1452" spans="3:5" x14ac:dyDescent="0.15">
      <c r="C1452" s="255" t="s">
        <v>962</v>
      </c>
      <c r="D1452" s="59">
        <v>12.6</v>
      </c>
      <c r="E1452" s="59"/>
    </row>
    <row r="1453" spans="3:5" x14ac:dyDescent="0.15">
      <c r="C1453" s="255" t="s">
        <v>963</v>
      </c>
      <c r="D1453" s="59">
        <v>1122.4000000000001</v>
      </c>
      <c r="E1453" s="59"/>
    </row>
    <row r="1454" spans="3:5" x14ac:dyDescent="0.15">
      <c r="C1454" s="255" t="s">
        <v>964</v>
      </c>
      <c r="D1454" s="59">
        <v>566</v>
      </c>
      <c r="E1454" s="59"/>
    </row>
    <row r="1455" spans="3:5" x14ac:dyDescent="0.15">
      <c r="C1455" s="255" t="s">
        <v>965</v>
      </c>
      <c r="D1455" s="59">
        <v>184.9</v>
      </c>
      <c r="E1455" s="59"/>
    </row>
    <row r="1456" spans="3:5" x14ac:dyDescent="0.15">
      <c r="C1456" s="255" t="s">
        <v>966</v>
      </c>
      <c r="D1456" s="59">
        <v>22.9</v>
      </c>
      <c r="E1456" s="59"/>
    </row>
    <row r="1457" spans="3:5" x14ac:dyDescent="0.15">
      <c r="C1457" s="255" t="s">
        <v>967</v>
      </c>
      <c r="D1457" s="59">
        <v>222.1</v>
      </c>
      <c r="E1457" s="59"/>
    </row>
    <row r="1458" spans="3:5" x14ac:dyDescent="0.15">
      <c r="C1458" s="255" t="s">
        <v>968</v>
      </c>
      <c r="D1458" s="59">
        <v>9</v>
      </c>
      <c r="E1458" s="59"/>
    </row>
    <row r="1459" spans="3:5" x14ac:dyDescent="0.15">
      <c r="C1459" s="255" t="s">
        <v>969</v>
      </c>
      <c r="D1459" s="59">
        <v>15.7</v>
      </c>
      <c r="E1459" s="59"/>
    </row>
    <row r="1460" spans="3:5" x14ac:dyDescent="0.15">
      <c r="C1460" s="255" t="s">
        <v>970</v>
      </c>
      <c r="D1460" s="59">
        <v>7.8</v>
      </c>
      <c r="E1460" s="59"/>
    </row>
    <row r="1461" spans="3:5" x14ac:dyDescent="0.15">
      <c r="C1461" s="255" t="s">
        <v>971</v>
      </c>
      <c r="D1461" s="59">
        <v>211.9</v>
      </c>
      <c r="E1461" s="59"/>
    </row>
    <row r="1462" spans="3:5" x14ac:dyDescent="0.15">
      <c r="C1462" s="255" t="s">
        <v>972</v>
      </c>
      <c r="D1462" s="59">
        <v>1614.6</v>
      </c>
      <c r="E1462" s="59"/>
    </row>
    <row r="1463" spans="3:5" x14ac:dyDescent="0.15">
      <c r="C1463" s="255" t="s">
        <v>973</v>
      </c>
      <c r="D1463" s="59">
        <v>4.5999999999999996</v>
      </c>
      <c r="E1463" s="59"/>
    </row>
    <row r="1464" spans="3:5" x14ac:dyDescent="0.15">
      <c r="C1464" s="255" t="s">
        <v>974</v>
      </c>
      <c r="D1464" s="59">
        <v>143.6</v>
      </c>
      <c r="E1464" s="59"/>
    </row>
    <row r="1465" spans="3:5" x14ac:dyDescent="0.15">
      <c r="C1465" s="255" t="s">
        <v>975</v>
      </c>
      <c r="D1465" s="59">
        <v>212.6</v>
      </c>
      <c r="E1465" s="59"/>
    </row>
    <row r="1466" spans="3:5" x14ac:dyDescent="0.15">
      <c r="C1466" s="255" t="s">
        <v>976</v>
      </c>
      <c r="D1466" s="59">
        <v>12</v>
      </c>
      <c r="E1466" s="59"/>
    </row>
    <row r="1467" spans="3:5" x14ac:dyDescent="0.15">
      <c r="C1467" s="255" t="s">
        <v>977</v>
      </c>
      <c r="D1467" s="59">
        <v>255.9</v>
      </c>
      <c r="E1467" s="59"/>
    </row>
    <row r="1468" spans="3:5" x14ac:dyDescent="0.15">
      <c r="C1468" s="255" t="s">
        <v>978</v>
      </c>
      <c r="D1468" s="59">
        <v>1251.5</v>
      </c>
      <c r="E1468" s="59"/>
    </row>
    <row r="1469" spans="3:5" x14ac:dyDescent="0.15">
      <c r="C1469" s="255" t="s">
        <v>979</v>
      </c>
      <c r="D1469" s="59">
        <v>1047.9000000000001</v>
      </c>
      <c r="E1469" s="59"/>
    </row>
    <row r="1470" spans="3:5" x14ac:dyDescent="0.15">
      <c r="C1470" s="255" t="s">
        <v>980</v>
      </c>
      <c r="D1470" s="59">
        <v>335.8</v>
      </c>
      <c r="E1470" s="59"/>
    </row>
    <row r="1471" spans="3:5" x14ac:dyDescent="0.15">
      <c r="C1471" s="255" t="s">
        <v>981</v>
      </c>
      <c r="D1471" s="59">
        <v>0</v>
      </c>
      <c r="E1471" s="59"/>
    </row>
    <row r="1472" spans="3:5" x14ac:dyDescent="0.15">
      <c r="C1472" s="255" t="s">
        <v>982</v>
      </c>
      <c r="D1472" s="59">
        <v>606.9</v>
      </c>
      <c r="E1472" s="59"/>
    </row>
    <row r="1473" spans="3:5" x14ac:dyDescent="0.15">
      <c r="C1473" s="255" t="s">
        <v>983</v>
      </c>
      <c r="D1473" s="59">
        <v>1927.7</v>
      </c>
      <c r="E1473" s="59"/>
    </row>
    <row r="1474" spans="3:5" x14ac:dyDescent="0.15">
      <c r="C1474" s="255" t="s">
        <v>984</v>
      </c>
      <c r="D1474" s="59">
        <v>60</v>
      </c>
      <c r="E1474" s="59"/>
    </row>
    <row r="1475" spans="3:5" x14ac:dyDescent="0.15">
      <c r="C1475" s="255" t="s">
        <v>985</v>
      </c>
      <c r="D1475" s="59">
        <v>1289.9000000000001</v>
      </c>
      <c r="E1475" s="59"/>
    </row>
    <row r="1476" spans="3:5" x14ac:dyDescent="0.15">
      <c r="C1476" s="255" t="s">
        <v>986</v>
      </c>
      <c r="D1476" s="59">
        <v>614.70000000000005</v>
      </c>
      <c r="E1476" s="59"/>
    </row>
    <row r="1477" spans="3:5" x14ac:dyDescent="0.15">
      <c r="C1477" s="255" t="s">
        <v>987</v>
      </c>
      <c r="D1477" s="59">
        <v>339.5</v>
      </c>
      <c r="E1477" s="59"/>
    </row>
    <row r="1478" spans="3:5" x14ac:dyDescent="0.15">
      <c r="C1478" s="255" t="s">
        <v>988</v>
      </c>
      <c r="D1478" s="59">
        <v>2026.4</v>
      </c>
      <c r="E1478" s="59"/>
    </row>
    <row r="1479" spans="3:5" x14ac:dyDescent="0.15">
      <c r="C1479" s="255" t="s">
        <v>989</v>
      </c>
      <c r="D1479" s="59">
        <v>1165.0999999999999</v>
      </c>
      <c r="E1479" s="59"/>
    </row>
    <row r="1480" spans="3:5" x14ac:dyDescent="0.15">
      <c r="C1480" s="255" t="s">
        <v>990</v>
      </c>
      <c r="D1480" s="59">
        <v>344</v>
      </c>
      <c r="E1480" s="59"/>
    </row>
    <row r="1481" spans="3:5" x14ac:dyDescent="0.15">
      <c r="C1481" s="255" t="s">
        <v>991</v>
      </c>
      <c r="D1481" s="59">
        <v>5999.4</v>
      </c>
      <c r="E1481" s="59"/>
    </row>
    <row r="1482" spans="3:5" x14ac:dyDescent="0.15">
      <c r="C1482" s="255" t="s">
        <v>992</v>
      </c>
      <c r="D1482" s="59">
        <v>20.8</v>
      </c>
      <c r="E1482" s="59"/>
    </row>
    <row r="1483" spans="3:5" x14ac:dyDescent="0.15">
      <c r="C1483" s="255" t="s">
        <v>993</v>
      </c>
      <c r="D1483" s="59">
        <v>107.6</v>
      </c>
      <c r="E1483" s="59"/>
    </row>
    <row r="1484" spans="3:5" x14ac:dyDescent="0.15">
      <c r="C1484" s="255" t="s">
        <v>994</v>
      </c>
      <c r="D1484" s="59">
        <v>0</v>
      </c>
      <c r="E1484" s="59"/>
    </row>
    <row r="1485" spans="3:5" x14ac:dyDescent="0.15">
      <c r="C1485" s="255" t="s">
        <v>995</v>
      </c>
      <c r="D1485" s="59">
        <v>1066.4000000000001</v>
      </c>
      <c r="E1485" s="59"/>
    </row>
    <row r="1486" spans="3:5" x14ac:dyDescent="0.15">
      <c r="C1486" s="255" t="s">
        <v>996</v>
      </c>
      <c r="D1486" s="59">
        <v>617.1</v>
      </c>
      <c r="E1486" s="59"/>
    </row>
    <row r="1487" spans="3:5" x14ac:dyDescent="0.15">
      <c r="C1487" s="255" t="s">
        <v>997</v>
      </c>
      <c r="D1487" s="59">
        <v>305.3</v>
      </c>
      <c r="E1487" s="59"/>
    </row>
    <row r="1488" spans="3:5" x14ac:dyDescent="0.15">
      <c r="C1488" s="255" t="s">
        <v>998</v>
      </c>
      <c r="D1488" s="59">
        <v>142.69999999999999</v>
      </c>
      <c r="E1488" s="59"/>
    </row>
    <row r="1489" spans="3:5" x14ac:dyDescent="0.15">
      <c r="C1489" s="255" t="s">
        <v>999</v>
      </c>
      <c r="D1489" s="59">
        <v>0</v>
      </c>
      <c r="E1489" s="59"/>
    </row>
    <row r="1490" spans="3:5" x14ac:dyDescent="0.15">
      <c r="C1490" s="255" t="s">
        <v>1000</v>
      </c>
      <c r="D1490" s="59">
        <v>555.6</v>
      </c>
      <c r="E1490" s="59"/>
    </row>
    <row r="1491" spans="3:5" x14ac:dyDescent="0.15">
      <c r="C1491" s="255" t="s">
        <v>1001</v>
      </c>
      <c r="D1491" s="59">
        <v>336.2</v>
      </c>
      <c r="E1491" s="59"/>
    </row>
    <row r="1492" spans="3:5" x14ac:dyDescent="0.15">
      <c r="C1492" s="255" t="s">
        <v>1002</v>
      </c>
      <c r="D1492" s="59">
        <v>238.4</v>
      </c>
      <c r="E1492" s="59"/>
    </row>
    <row r="1493" spans="3:5" x14ac:dyDescent="0.15">
      <c r="C1493" s="255" t="s">
        <v>1003</v>
      </c>
      <c r="D1493" s="59">
        <v>118.1</v>
      </c>
      <c r="E1493" s="59"/>
    </row>
    <row r="1494" spans="3:5" x14ac:dyDescent="0.15">
      <c r="C1494" s="255" t="s">
        <v>1004</v>
      </c>
      <c r="D1494" s="59">
        <v>89.8</v>
      </c>
      <c r="E1494" s="59"/>
    </row>
    <row r="1495" spans="3:5" x14ac:dyDescent="0.15">
      <c r="C1495" s="255" t="s">
        <v>1005</v>
      </c>
      <c r="D1495" s="59">
        <v>90.4</v>
      </c>
      <c r="E1495" s="59"/>
    </row>
    <row r="1496" spans="3:5" x14ac:dyDescent="0.15">
      <c r="C1496" s="255" t="s">
        <v>1006</v>
      </c>
      <c r="D1496" s="59">
        <v>7038.8</v>
      </c>
      <c r="E1496" s="59"/>
    </row>
    <row r="1497" spans="3:5" x14ac:dyDescent="0.15">
      <c r="C1497" s="255" t="s">
        <v>1007</v>
      </c>
      <c r="D1497" s="59">
        <v>315</v>
      </c>
      <c r="E1497" s="59"/>
    </row>
    <row r="1498" spans="3:5" x14ac:dyDescent="0.15">
      <c r="C1498" s="255" t="s">
        <v>1008</v>
      </c>
      <c r="D1498" s="59">
        <v>0</v>
      </c>
      <c r="E1498" s="59"/>
    </row>
    <row r="1499" spans="3:5" x14ac:dyDescent="0.15">
      <c r="C1499" s="255" t="s">
        <v>1009</v>
      </c>
      <c r="D1499" s="59">
        <v>125.7</v>
      </c>
      <c r="E1499" s="59"/>
    </row>
    <row r="1500" spans="3:5" x14ac:dyDescent="0.15">
      <c r="C1500" s="255" t="s">
        <v>1010</v>
      </c>
      <c r="D1500" s="59">
        <v>160.30000000000001</v>
      </c>
      <c r="E1500" s="59"/>
    </row>
    <row r="1501" spans="3:5" x14ac:dyDescent="0.15">
      <c r="C1501" s="255" t="s">
        <v>1011</v>
      </c>
      <c r="D1501" s="59">
        <v>28.9</v>
      </c>
      <c r="E1501" s="59"/>
    </row>
    <row r="1502" spans="3:5" x14ac:dyDescent="0.15">
      <c r="C1502" s="255" t="s">
        <v>1012</v>
      </c>
      <c r="D1502" s="59">
        <v>22644.9</v>
      </c>
      <c r="E1502" s="59"/>
    </row>
    <row r="1503" spans="3:5" x14ac:dyDescent="0.15">
      <c r="C1503" s="255" t="s">
        <v>1013</v>
      </c>
      <c r="D1503" s="59">
        <v>12683.3</v>
      </c>
      <c r="E1503" s="59"/>
    </row>
    <row r="1504" spans="3:5" x14ac:dyDescent="0.15">
      <c r="C1504" s="255" t="s">
        <v>1014</v>
      </c>
      <c r="D1504" s="59">
        <v>4465</v>
      </c>
      <c r="E1504" s="59"/>
    </row>
    <row r="1505" spans="3:5" x14ac:dyDescent="0.15">
      <c r="C1505" s="255" t="s">
        <v>1015</v>
      </c>
      <c r="D1505" s="59">
        <v>976.9</v>
      </c>
      <c r="E1505" s="59"/>
    </row>
    <row r="1506" spans="3:5" x14ac:dyDescent="0.15">
      <c r="C1506" s="255" t="s">
        <v>1016</v>
      </c>
      <c r="D1506" s="59">
        <v>2350</v>
      </c>
      <c r="E1506" s="59"/>
    </row>
    <row r="1507" spans="3:5" x14ac:dyDescent="0.15">
      <c r="C1507" s="255" t="s">
        <v>1017</v>
      </c>
      <c r="D1507" s="59">
        <v>2169.6</v>
      </c>
      <c r="E1507" s="59"/>
    </row>
    <row r="1508" spans="3:5" x14ac:dyDescent="0.15">
      <c r="C1508" s="255" t="s">
        <v>1018</v>
      </c>
      <c r="D1508" s="59">
        <v>0</v>
      </c>
      <c r="E1508" s="59"/>
    </row>
    <row r="1509" spans="3:5" x14ac:dyDescent="0.15">
      <c r="C1509" s="255" t="s">
        <v>1019</v>
      </c>
      <c r="D1509" s="59">
        <v>28214.400000000001</v>
      </c>
      <c r="E1509" s="59"/>
    </row>
    <row r="1510" spans="3:5" x14ac:dyDescent="0.15">
      <c r="C1510" s="255" t="s">
        <v>1020</v>
      </c>
      <c r="D1510" s="59">
        <v>543.6</v>
      </c>
      <c r="E1510" s="59"/>
    </row>
    <row r="1511" spans="3:5" x14ac:dyDescent="0.15">
      <c r="C1511" s="255" t="s">
        <v>1021</v>
      </c>
      <c r="D1511" s="59">
        <v>1300.0999999999999</v>
      </c>
      <c r="E1511" s="59"/>
    </row>
    <row r="1512" spans="3:5" x14ac:dyDescent="0.15">
      <c r="C1512" s="255" t="s">
        <v>1022</v>
      </c>
      <c r="D1512" s="59">
        <v>420.5</v>
      </c>
      <c r="E1512" s="59"/>
    </row>
    <row r="1513" spans="3:5" x14ac:dyDescent="0.15">
      <c r="C1513" s="255" t="s">
        <v>1023</v>
      </c>
      <c r="D1513" s="59">
        <v>177.1</v>
      </c>
      <c r="E1513" s="59"/>
    </row>
    <row r="1514" spans="3:5" x14ac:dyDescent="0.15">
      <c r="C1514" s="255" t="s">
        <v>1024</v>
      </c>
      <c r="D1514" s="59">
        <v>13.3</v>
      </c>
      <c r="E1514" s="59"/>
    </row>
    <row r="1515" spans="3:5" x14ac:dyDescent="0.15">
      <c r="C1515" s="255" t="s">
        <v>1025</v>
      </c>
      <c r="D1515" s="59">
        <v>210.5</v>
      </c>
      <c r="E1515" s="59"/>
    </row>
    <row r="1516" spans="3:5" x14ac:dyDescent="0.15">
      <c r="C1516" s="255" t="s">
        <v>1026</v>
      </c>
      <c r="D1516" s="59">
        <v>4018.5</v>
      </c>
      <c r="E1516" s="59"/>
    </row>
    <row r="1517" spans="3:5" x14ac:dyDescent="0.15">
      <c r="C1517" s="255" t="s">
        <v>1027</v>
      </c>
      <c r="D1517" s="59">
        <v>0</v>
      </c>
      <c r="E1517" s="59"/>
    </row>
    <row r="1518" spans="3:5" x14ac:dyDescent="0.15">
      <c r="C1518" s="255" t="s">
        <v>1028</v>
      </c>
      <c r="D1518" s="59">
        <v>355.6</v>
      </c>
      <c r="E1518" s="59"/>
    </row>
    <row r="1519" spans="3:5" x14ac:dyDescent="0.15">
      <c r="C1519" s="255" t="s">
        <v>1029</v>
      </c>
      <c r="D1519" s="59">
        <v>766.2</v>
      </c>
      <c r="E1519" s="59"/>
    </row>
    <row r="1520" spans="3:5" x14ac:dyDescent="0.15">
      <c r="C1520" s="255" t="s">
        <v>1030</v>
      </c>
      <c r="D1520" s="59">
        <v>52.2</v>
      </c>
      <c r="E1520" s="59"/>
    </row>
    <row r="1521" spans="3:5" x14ac:dyDescent="0.15">
      <c r="C1521" s="255" t="s">
        <v>1031</v>
      </c>
      <c r="D1521" s="59">
        <v>447.9</v>
      </c>
      <c r="E1521" s="59"/>
    </row>
    <row r="1522" spans="3:5" x14ac:dyDescent="0.15">
      <c r="C1522" s="255" t="s">
        <v>1032</v>
      </c>
      <c r="D1522" s="59">
        <v>1158</v>
      </c>
      <c r="E1522" s="59"/>
    </row>
    <row r="1523" spans="3:5" x14ac:dyDescent="0.15">
      <c r="C1523" s="255" t="s">
        <v>1033</v>
      </c>
      <c r="D1523" s="59">
        <v>4.8</v>
      </c>
      <c r="E1523" s="59"/>
    </row>
    <row r="1524" spans="3:5" x14ac:dyDescent="0.15">
      <c r="C1524" s="255" t="s">
        <v>1034</v>
      </c>
      <c r="D1524" s="59">
        <v>76.099999999999994</v>
      </c>
      <c r="E1524" s="59"/>
    </row>
    <row r="1525" spans="3:5" x14ac:dyDescent="0.15">
      <c r="C1525" s="255" t="s">
        <v>1035</v>
      </c>
      <c r="D1525" s="59">
        <v>0</v>
      </c>
      <c r="E1525" s="59"/>
    </row>
    <row r="1526" spans="3:5" x14ac:dyDescent="0.15">
      <c r="C1526" s="255" t="s">
        <v>1036</v>
      </c>
      <c r="D1526" s="59">
        <v>0</v>
      </c>
      <c r="E1526" s="59"/>
    </row>
    <row r="1527" spans="3:5" x14ac:dyDescent="0.15">
      <c r="C1527" s="255" t="s">
        <v>1037</v>
      </c>
      <c r="D1527" s="59">
        <v>1259.7</v>
      </c>
      <c r="E1527" s="59"/>
    </row>
    <row r="1528" spans="3:5" x14ac:dyDescent="0.15">
      <c r="C1528" s="255" t="s">
        <v>1038</v>
      </c>
      <c r="D1528" s="59">
        <v>5322.9</v>
      </c>
      <c r="E1528" s="59"/>
    </row>
    <row r="1529" spans="3:5" x14ac:dyDescent="0.15">
      <c r="C1529" s="255" t="s">
        <v>1039</v>
      </c>
      <c r="D1529" s="59">
        <v>1323.4</v>
      </c>
      <c r="E1529" s="59"/>
    </row>
    <row r="1530" spans="3:5" x14ac:dyDescent="0.15">
      <c r="C1530" s="255" t="s">
        <v>1040</v>
      </c>
      <c r="D1530" s="59">
        <v>5736</v>
      </c>
      <c r="E1530" s="59"/>
    </row>
    <row r="1531" spans="3:5" x14ac:dyDescent="0.15">
      <c r="C1531" s="255" t="s">
        <v>1041</v>
      </c>
      <c r="D1531" s="59">
        <v>412.8</v>
      </c>
      <c r="E1531" s="59"/>
    </row>
    <row r="1532" spans="3:5" x14ac:dyDescent="0.15">
      <c r="C1532" s="255" t="s">
        <v>1042</v>
      </c>
      <c r="D1532" s="59">
        <v>3365.5</v>
      </c>
      <c r="E1532" s="59"/>
    </row>
    <row r="1533" spans="3:5" x14ac:dyDescent="0.15">
      <c r="C1533" s="255" t="s">
        <v>1043</v>
      </c>
      <c r="D1533" s="59">
        <v>568.79999999999995</v>
      </c>
      <c r="E1533" s="59"/>
    </row>
    <row r="1534" spans="3:5" x14ac:dyDescent="0.15">
      <c r="C1534" s="255" t="s">
        <v>1044</v>
      </c>
      <c r="D1534" s="59">
        <v>184.5</v>
      </c>
      <c r="E1534" s="59"/>
    </row>
    <row r="1535" spans="3:5" x14ac:dyDescent="0.15">
      <c r="C1535" s="255" t="s">
        <v>1045</v>
      </c>
      <c r="D1535" s="59">
        <v>60.6</v>
      </c>
      <c r="E1535" s="59"/>
    </row>
    <row r="1536" spans="3:5" x14ac:dyDescent="0.15">
      <c r="C1536" s="255" t="s">
        <v>1046</v>
      </c>
      <c r="D1536" s="59">
        <v>320.3</v>
      </c>
      <c r="E1536" s="59"/>
    </row>
    <row r="1537" spans="2:5" x14ac:dyDescent="0.15">
      <c r="C1537" s="255" t="s">
        <v>1047</v>
      </c>
      <c r="D1537" s="59">
        <v>76</v>
      </c>
      <c r="E1537" s="59"/>
    </row>
    <row r="1538" spans="2:5" x14ac:dyDescent="0.15">
      <c r="C1538" s="255" t="s">
        <v>1048</v>
      </c>
      <c r="D1538" s="59">
        <v>39.4</v>
      </c>
      <c r="E1538" s="59"/>
    </row>
    <row r="1539" spans="2:5" x14ac:dyDescent="0.15">
      <c r="B1539" s="255" t="s">
        <v>1050</v>
      </c>
      <c r="C1539" s="255" t="s">
        <v>743</v>
      </c>
      <c r="D1539" s="59">
        <v>465</v>
      </c>
      <c r="E1539" s="59"/>
    </row>
    <row r="1540" spans="2:5" x14ac:dyDescent="0.15">
      <c r="C1540" s="255" t="s">
        <v>744</v>
      </c>
      <c r="D1540" s="59">
        <v>433.6</v>
      </c>
      <c r="E1540" s="59"/>
    </row>
    <row r="1541" spans="2:5" x14ac:dyDescent="0.15">
      <c r="C1541" s="255" t="s">
        <v>745</v>
      </c>
      <c r="D1541" s="59">
        <v>867.3</v>
      </c>
      <c r="E1541" s="59"/>
    </row>
    <row r="1542" spans="2:5" x14ac:dyDescent="0.15">
      <c r="C1542" s="255" t="s">
        <v>746</v>
      </c>
      <c r="D1542" s="59">
        <v>2</v>
      </c>
      <c r="E1542" s="59"/>
    </row>
    <row r="1543" spans="2:5" x14ac:dyDescent="0.15">
      <c r="C1543" s="255" t="s">
        <v>747</v>
      </c>
      <c r="D1543" s="59">
        <v>2</v>
      </c>
      <c r="E1543" s="59"/>
    </row>
    <row r="1544" spans="2:5" x14ac:dyDescent="0.15">
      <c r="C1544" s="255" t="s">
        <v>748</v>
      </c>
      <c r="D1544" s="59">
        <v>0</v>
      </c>
      <c r="E1544" s="59"/>
    </row>
    <row r="1545" spans="2:5" x14ac:dyDescent="0.15">
      <c r="C1545" s="255" t="s">
        <v>749</v>
      </c>
      <c r="D1545" s="59">
        <v>0.8</v>
      </c>
      <c r="E1545" s="59"/>
    </row>
    <row r="1546" spans="2:5" x14ac:dyDescent="0.15">
      <c r="C1546" s="255" t="s">
        <v>750</v>
      </c>
      <c r="D1546" s="59">
        <v>0.3</v>
      </c>
      <c r="E1546" s="59"/>
    </row>
    <row r="1547" spans="2:5" x14ac:dyDescent="0.15">
      <c r="C1547" s="255" t="s">
        <v>751</v>
      </c>
      <c r="D1547" s="59">
        <v>70.599999999999994</v>
      </c>
      <c r="E1547" s="59"/>
    </row>
    <row r="1548" spans="2:5" x14ac:dyDescent="0.15">
      <c r="C1548" s="255" t="s">
        <v>752</v>
      </c>
      <c r="D1548" s="59">
        <v>1.5</v>
      </c>
      <c r="E1548" s="59"/>
    </row>
    <row r="1549" spans="2:5" x14ac:dyDescent="0.15">
      <c r="C1549" s="255" t="s">
        <v>753</v>
      </c>
      <c r="D1549" s="59">
        <v>135.19999999999999</v>
      </c>
      <c r="E1549" s="59"/>
    </row>
    <row r="1550" spans="2:5" x14ac:dyDescent="0.15">
      <c r="C1550" s="255" t="s">
        <v>754</v>
      </c>
      <c r="D1550" s="59">
        <v>1957.8</v>
      </c>
      <c r="E1550" s="59"/>
    </row>
    <row r="1551" spans="2:5" x14ac:dyDescent="0.15">
      <c r="C1551" s="255" t="s">
        <v>192</v>
      </c>
      <c r="D1551" s="59">
        <v>350331</v>
      </c>
      <c r="E1551" s="59"/>
    </row>
    <row r="1552" spans="2:5" x14ac:dyDescent="0.15">
      <c r="C1552" s="255" t="s">
        <v>755</v>
      </c>
      <c r="D1552" s="59">
        <v>39022.9</v>
      </c>
      <c r="E1552" s="59"/>
    </row>
    <row r="1553" spans="3:5" x14ac:dyDescent="0.15">
      <c r="C1553" s="255" t="s">
        <v>756</v>
      </c>
      <c r="D1553" s="59">
        <v>103.1</v>
      </c>
      <c r="E1553" s="59"/>
    </row>
    <row r="1554" spans="3:5" x14ac:dyDescent="0.15">
      <c r="C1554" s="255" t="s">
        <v>757</v>
      </c>
      <c r="D1554" s="59">
        <v>117.2</v>
      </c>
      <c r="E1554" s="59"/>
    </row>
    <row r="1555" spans="3:5" x14ac:dyDescent="0.15">
      <c r="C1555" s="255" t="s">
        <v>758</v>
      </c>
      <c r="D1555" s="59">
        <v>2522.8000000000002</v>
      </c>
      <c r="E1555" s="59"/>
    </row>
    <row r="1556" spans="3:5" x14ac:dyDescent="0.15">
      <c r="C1556" s="255" t="s">
        <v>759</v>
      </c>
      <c r="D1556" s="59">
        <v>1744.9</v>
      </c>
      <c r="E1556" s="59"/>
    </row>
    <row r="1557" spans="3:5" x14ac:dyDescent="0.15">
      <c r="C1557" s="255" t="s">
        <v>760</v>
      </c>
      <c r="D1557" s="59">
        <v>107.6</v>
      </c>
      <c r="E1557" s="59"/>
    </row>
    <row r="1558" spans="3:5" x14ac:dyDescent="0.15">
      <c r="C1558" s="255" t="s">
        <v>761</v>
      </c>
      <c r="D1558" s="59">
        <v>202.7</v>
      </c>
      <c r="E1558" s="59"/>
    </row>
    <row r="1559" spans="3:5" x14ac:dyDescent="0.15">
      <c r="C1559" s="255" t="s">
        <v>762</v>
      </c>
      <c r="D1559" s="59">
        <v>264.7</v>
      </c>
      <c r="E1559" s="59"/>
    </row>
    <row r="1560" spans="3:5" x14ac:dyDescent="0.15">
      <c r="C1560" s="255" t="s">
        <v>763</v>
      </c>
      <c r="D1560" s="59">
        <v>205.3</v>
      </c>
      <c r="E1560" s="59"/>
    </row>
    <row r="1561" spans="3:5" x14ac:dyDescent="0.15">
      <c r="C1561" s="255" t="s">
        <v>764</v>
      </c>
      <c r="D1561" s="59">
        <v>2419.8000000000002</v>
      </c>
      <c r="E1561" s="59"/>
    </row>
    <row r="1562" spans="3:5" x14ac:dyDescent="0.15">
      <c r="C1562" s="255" t="s">
        <v>765</v>
      </c>
      <c r="D1562" s="59">
        <v>1690.6</v>
      </c>
      <c r="E1562" s="59"/>
    </row>
    <row r="1563" spans="3:5" x14ac:dyDescent="0.15">
      <c r="C1563" s="255" t="s">
        <v>766</v>
      </c>
      <c r="D1563" s="59">
        <v>207</v>
      </c>
      <c r="E1563" s="59"/>
    </row>
    <row r="1564" spans="3:5" x14ac:dyDescent="0.15">
      <c r="C1564" s="255" t="s">
        <v>767</v>
      </c>
      <c r="D1564" s="59">
        <v>880.2</v>
      </c>
      <c r="E1564" s="59"/>
    </row>
    <row r="1565" spans="3:5" x14ac:dyDescent="0.15">
      <c r="C1565" s="255" t="s">
        <v>768</v>
      </c>
      <c r="D1565" s="59">
        <v>65.900000000000006</v>
      </c>
      <c r="E1565" s="59"/>
    </row>
    <row r="1566" spans="3:5" x14ac:dyDescent="0.15">
      <c r="C1566" s="255" t="s">
        <v>769</v>
      </c>
      <c r="D1566" s="59">
        <v>50.7</v>
      </c>
      <c r="E1566" s="59"/>
    </row>
    <row r="1567" spans="3:5" x14ac:dyDescent="0.15">
      <c r="C1567" s="255" t="s">
        <v>770</v>
      </c>
      <c r="D1567" s="59">
        <v>1774.6</v>
      </c>
      <c r="E1567" s="59"/>
    </row>
    <row r="1568" spans="3:5" x14ac:dyDescent="0.15">
      <c r="C1568" s="255" t="s">
        <v>771</v>
      </c>
      <c r="D1568" s="59">
        <v>1892.5</v>
      </c>
      <c r="E1568" s="59"/>
    </row>
    <row r="1569" spans="3:5" x14ac:dyDescent="0.15">
      <c r="C1569" s="255" t="s">
        <v>772</v>
      </c>
      <c r="D1569" s="59">
        <v>955</v>
      </c>
      <c r="E1569" s="59"/>
    </row>
    <row r="1570" spans="3:5" x14ac:dyDescent="0.15">
      <c r="C1570" s="255" t="s">
        <v>773</v>
      </c>
      <c r="D1570" s="59">
        <v>122.5</v>
      </c>
      <c r="E1570" s="59"/>
    </row>
    <row r="1571" spans="3:5" x14ac:dyDescent="0.15">
      <c r="C1571" s="255" t="s">
        <v>774</v>
      </c>
      <c r="D1571" s="59">
        <v>175.9</v>
      </c>
      <c r="E1571" s="59"/>
    </row>
    <row r="1572" spans="3:5" x14ac:dyDescent="0.15">
      <c r="C1572" s="255" t="s">
        <v>775</v>
      </c>
      <c r="D1572" s="59">
        <v>186.4</v>
      </c>
      <c r="E1572" s="59"/>
    </row>
    <row r="1573" spans="3:5" x14ac:dyDescent="0.15">
      <c r="C1573" s="255" t="s">
        <v>776</v>
      </c>
      <c r="D1573" s="59">
        <v>409.7</v>
      </c>
      <c r="E1573" s="59"/>
    </row>
    <row r="1574" spans="3:5" x14ac:dyDescent="0.15">
      <c r="C1574" s="255" t="s">
        <v>777</v>
      </c>
      <c r="D1574" s="59">
        <v>1120.3</v>
      </c>
      <c r="E1574" s="59"/>
    </row>
    <row r="1575" spans="3:5" x14ac:dyDescent="0.15">
      <c r="C1575" s="255" t="s">
        <v>778</v>
      </c>
      <c r="D1575" s="59">
        <v>412.2</v>
      </c>
      <c r="E1575" s="59"/>
    </row>
    <row r="1576" spans="3:5" x14ac:dyDescent="0.15">
      <c r="C1576" s="255" t="s">
        <v>779</v>
      </c>
      <c r="D1576" s="59">
        <v>459.5</v>
      </c>
      <c r="E1576" s="59"/>
    </row>
    <row r="1577" spans="3:5" x14ac:dyDescent="0.15">
      <c r="C1577" s="255" t="s">
        <v>780</v>
      </c>
      <c r="D1577" s="59">
        <v>5.7</v>
      </c>
      <c r="E1577" s="59"/>
    </row>
    <row r="1578" spans="3:5" x14ac:dyDescent="0.15">
      <c r="C1578" s="255" t="s">
        <v>781</v>
      </c>
      <c r="D1578" s="59">
        <v>784.6</v>
      </c>
      <c r="E1578" s="59"/>
    </row>
    <row r="1579" spans="3:5" x14ac:dyDescent="0.15">
      <c r="C1579" s="255" t="s">
        <v>782</v>
      </c>
      <c r="D1579" s="59">
        <v>2359.9</v>
      </c>
      <c r="E1579" s="59"/>
    </row>
    <row r="1580" spans="3:5" x14ac:dyDescent="0.15">
      <c r="C1580" s="255" t="s">
        <v>783</v>
      </c>
      <c r="D1580" s="59">
        <v>769.5</v>
      </c>
      <c r="E1580" s="59"/>
    </row>
    <row r="1581" spans="3:5" x14ac:dyDescent="0.15">
      <c r="C1581" s="255" t="s">
        <v>784</v>
      </c>
      <c r="D1581" s="59">
        <v>682.3</v>
      </c>
      <c r="E1581" s="59"/>
    </row>
    <row r="1582" spans="3:5" x14ac:dyDescent="0.15">
      <c r="C1582" s="255" t="s">
        <v>785</v>
      </c>
      <c r="D1582" s="59">
        <v>658.1</v>
      </c>
      <c r="E1582" s="59"/>
    </row>
    <row r="1583" spans="3:5" x14ac:dyDescent="0.15">
      <c r="C1583" s="255" t="s">
        <v>786</v>
      </c>
      <c r="D1583" s="59">
        <v>200.1</v>
      </c>
      <c r="E1583" s="59"/>
    </row>
    <row r="1584" spans="3:5" x14ac:dyDescent="0.15">
      <c r="C1584" s="255" t="s">
        <v>787</v>
      </c>
      <c r="D1584" s="59">
        <v>88.7</v>
      </c>
      <c r="E1584" s="59"/>
    </row>
    <row r="1585" spans="3:5" x14ac:dyDescent="0.15">
      <c r="C1585" s="255" t="s">
        <v>788</v>
      </c>
      <c r="D1585" s="59">
        <v>106.8</v>
      </c>
      <c r="E1585" s="59"/>
    </row>
    <row r="1586" spans="3:5" x14ac:dyDescent="0.15">
      <c r="C1586" s="255" t="s">
        <v>789</v>
      </c>
      <c r="D1586" s="59">
        <v>19.100000000000001</v>
      </c>
      <c r="E1586" s="59"/>
    </row>
    <row r="1587" spans="3:5" x14ac:dyDescent="0.15">
      <c r="C1587" s="255" t="s">
        <v>790</v>
      </c>
      <c r="D1587" s="59">
        <v>2425.3000000000002</v>
      </c>
      <c r="E1587" s="59"/>
    </row>
    <row r="1588" spans="3:5" x14ac:dyDescent="0.15">
      <c r="C1588" s="255" t="s">
        <v>791</v>
      </c>
      <c r="D1588" s="59">
        <v>41</v>
      </c>
      <c r="E1588" s="59"/>
    </row>
    <row r="1589" spans="3:5" x14ac:dyDescent="0.15">
      <c r="C1589" s="255" t="s">
        <v>792</v>
      </c>
      <c r="D1589" s="59">
        <v>749.2</v>
      </c>
      <c r="E1589" s="59"/>
    </row>
    <row r="1590" spans="3:5" x14ac:dyDescent="0.15">
      <c r="C1590" s="255" t="s">
        <v>793</v>
      </c>
      <c r="D1590" s="59">
        <v>138.4</v>
      </c>
      <c r="E1590" s="59"/>
    </row>
    <row r="1591" spans="3:5" x14ac:dyDescent="0.15">
      <c r="C1591" s="255" t="s">
        <v>794</v>
      </c>
      <c r="D1591" s="59">
        <v>2327.6</v>
      </c>
      <c r="E1591" s="59"/>
    </row>
    <row r="1592" spans="3:5" x14ac:dyDescent="0.15">
      <c r="C1592" s="255" t="s">
        <v>795</v>
      </c>
      <c r="D1592" s="59">
        <v>236</v>
      </c>
      <c r="E1592" s="59"/>
    </row>
    <row r="1593" spans="3:5" x14ac:dyDescent="0.15">
      <c r="C1593" s="255" t="s">
        <v>796</v>
      </c>
      <c r="D1593" s="59">
        <v>659.1</v>
      </c>
      <c r="E1593" s="59"/>
    </row>
    <row r="1594" spans="3:5" x14ac:dyDescent="0.15">
      <c r="C1594" s="255" t="s">
        <v>797</v>
      </c>
      <c r="D1594" s="59">
        <v>823.8</v>
      </c>
      <c r="E1594" s="59"/>
    </row>
    <row r="1595" spans="3:5" x14ac:dyDescent="0.15">
      <c r="C1595" s="255" t="s">
        <v>798</v>
      </c>
      <c r="D1595" s="59">
        <v>141.6</v>
      </c>
      <c r="E1595" s="59"/>
    </row>
    <row r="1596" spans="3:5" x14ac:dyDescent="0.15">
      <c r="C1596" s="255" t="s">
        <v>799</v>
      </c>
      <c r="D1596" s="59">
        <v>104.3</v>
      </c>
      <c r="E1596" s="59"/>
    </row>
    <row r="1597" spans="3:5" x14ac:dyDescent="0.15">
      <c r="C1597" s="255" t="s">
        <v>800</v>
      </c>
      <c r="D1597" s="59">
        <v>148.9</v>
      </c>
      <c r="E1597" s="59"/>
    </row>
    <row r="1598" spans="3:5" x14ac:dyDescent="0.15">
      <c r="C1598" s="255" t="s">
        <v>801</v>
      </c>
      <c r="D1598" s="59">
        <v>301.2</v>
      </c>
      <c r="E1598" s="59"/>
    </row>
    <row r="1599" spans="3:5" x14ac:dyDescent="0.15">
      <c r="C1599" s="255" t="s">
        <v>802</v>
      </c>
      <c r="D1599" s="59">
        <v>934.2</v>
      </c>
      <c r="E1599" s="59"/>
    </row>
    <row r="1600" spans="3:5" x14ac:dyDescent="0.15">
      <c r="C1600" s="255" t="s">
        <v>803</v>
      </c>
      <c r="D1600" s="59">
        <v>1159.7</v>
      </c>
      <c r="E1600" s="59"/>
    </row>
    <row r="1601" spans="3:5" x14ac:dyDescent="0.15">
      <c r="C1601" s="255" t="s">
        <v>804</v>
      </c>
      <c r="D1601" s="59">
        <v>712.3</v>
      </c>
      <c r="E1601" s="59"/>
    </row>
    <row r="1602" spans="3:5" x14ac:dyDescent="0.15">
      <c r="C1602" s="255" t="s">
        <v>805</v>
      </c>
      <c r="D1602" s="59">
        <v>8.1</v>
      </c>
      <c r="E1602" s="59"/>
    </row>
    <row r="1603" spans="3:5" x14ac:dyDescent="0.15">
      <c r="C1603" s="255" t="s">
        <v>806</v>
      </c>
      <c r="D1603" s="59">
        <v>689.5</v>
      </c>
      <c r="E1603" s="59"/>
    </row>
    <row r="1604" spans="3:5" x14ac:dyDescent="0.15">
      <c r="C1604" s="255" t="s">
        <v>807</v>
      </c>
      <c r="D1604" s="59">
        <v>417.8</v>
      </c>
      <c r="E1604" s="59"/>
    </row>
    <row r="1605" spans="3:5" x14ac:dyDescent="0.15">
      <c r="C1605" s="255" t="s">
        <v>808</v>
      </c>
      <c r="D1605" s="59">
        <v>10.1</v>
      </c>
      <c r="E1605" s="59"/>
    </row>
    <row r="1606" spans="3:5" x14ac:dyDescent="0.15">
      <c r="C1606" s="255" t="s">
        <v>809</v>
      </c>
      <c r="D1606" s="59">
        <v>206.6</v>
      </c>
      <c r="E1606" s="59"/>
    </row>
    <row r="1607" spans="3:5" x14ac:dyDescent="0.15">
      <c r="C1607" s="255" t="s">
        <v>810</v>
      </c>
      <c r="D1607" s="59">
        <v>223.7</v>
      </c>
      <c r="E1607" s="59"/>
    </row>
    <row r="1608" spans="3:5" x14ac:dyDescent="0.15">
      <c r="C1608" s="255" t="s">
        <v>811</v>
      </c>
      <c r="D1608" s="59">
        <v>1316.2</v>
      </c>
      <c r="E1608" s="59"/>
    </row>
    <row r="1609" spans="3:5" x14ac:dyDescent="0.15">
      <c r="C1609" s="255" t="s">
        <v>812</v>
      </c>
      <c r="D1609" s="59">
        <v>219.6</v>
      </c>
      <c r="E1609" s="59"/>
    </row>
    <row r="1610" spans="3:5" x14ac:dyDescent="0.15">
      <c r="C1610" s="255" t="s">
        <v>813</v>
      </c>
      <c r="D1610" s="59">
        <v>18.899999999999999</v>
      </c>
      <c r="E1610" s="59"/>
    </row>
    <row r="1611" spans="3:5" x14ac:dyDescent="0.15">
      <c r="C1611" s="255" t="s">
        <v>814</v>
      </c>
      <c r="D1611" s="59">
        <v>134.69999999999999</v>
      </c>
      <c r="E1611" s="59"/>
    </row>
    <row r="1612" spans="3:5" x14ac:dyDescent="0.15">
      <c r="C1612" s="255" t="s">
        <v>815</v>
      </c>
      <c r="D1612" s="59">
        <v>516.70000000000005</v>
      </c>
      <c r="E1612" s="59"/>
    </row>
    <row r="1613" spans="3:5" x14ac:dyDescent="0.15">
      <c r="C1613" s="255" t="s">
        <v>816</v>
      </c>
      <c r="D1613" s="59">
        <v>592.20000000000005</v>
      </c>
      <c r="E1613" s="59"/>
    </row>
    <row r="1614" spans="3:5" x14ac:dyDescent="0.15">
      <c r="C1614" s="255" t="s">
        <v>817</v>
      </c>
      <c r="D1614" s="59">
        <v>8874.7999999999993</v>
      </c>
      <c r="E1614" s="59"/>
    </row>
    <row r="1615" spans="3:5" x14ac:dyDescent="0.15">
      <c r="C1615" s="255" t="s">
        <v>818</v>
      </c>
      <c r="D1615" s="59">
        <v>818</v>
      </c>
      <c r="E1615" s="59"/>
    </row>
    <row r="1616" spans="3:5" x14ac:dyDescent="0.15">
      <c r="C1616" s="255" t="s">
        <v>819</v>
      </c>
      <c r="D1616" s="59">
        <v>8.6</v>
      </c>
      <c r="E1616" s="59"/>
    </row>
    <row r="1617" spans="3:5" x14ac:dyDescent="0.15">
      <c r="C1617" s="255" t="s">
        <v>820</v>
      </c>
      <c r="D1617" s="59">
        <v>4843.8999999999996</v>
      </c>
      <c r="E1617" s="59"/>
    </row>
    <row r="1618" spans="3:5" x14ac:dyDescent="0.15">
      <c r="C1618" s="255" t="s">
        <v>821</v>
      </c>
      <c r="D1618" s="59">
        <v>22.5</v>
      </c>
      <c r="E1618" s="59"/>
    </row>
    <row r="1619" spans="3:5" x14ac:dyDescent="0.15">
      <c r="C1619" s="255" t="s">
        <v>822</v>
      </c>
      <c r="D1619" s="59">
        <v>95.2</v>
      </c>
      <c r="E1619" s="59"/>
    </row>
    <row r="1620" spans="3:5" x14ac:dyDescent="0.15">
      <c r="C1620" s="255" t="s">
        <v>823</v>
      </c>
      <c r="D1620" s="59">
        <v>3</v>
      </c>
      <c r="E1620" s="59"/>
    </row>
    <row r="1621" spans="3:5" x14ac:dyDescent="0.15">
      <c r="C1621" s="255" t="s">
        <v>824</v>
      </c>
      <c r="D1621" s="59">
        <v>810</v>
      </c>
      <c r="E1621" s="59"/>
    </row>
    <row r="1622" spans="3:5" x14ac:dyDescent="0.15">
      <c r="C1622" s="255" t="s">
        <v>825</v>
      </c>
      <c r="D1622" s="59">
        <v>610.5</v>
      </c>
      <c r="E1622" s="59"/>
    </row>
    <row r="1623" spans="3:5" x14ac:dyDescent="0.15">
      <c r="C1623" s="255" t="s">
        <v>826</v>
      </c>
      <c r="D1623" s="59">
        <v>5.6</v>
      </c>
      <c r="E1623" s="59"/>
    </row>
    <row r="1624" spans="3:5" x14ac:dyDescent="0.15">
      <c r="C1624" s="255" t="s">
        <v>827</v>
      </c>
      <c r="D1624" s="59">
        <v>0</v>
      </c>
      <c r="E1624" s="59"/>
    </row>
    <row r="1625" spans="3:5" x14ac:dyDescent="0.15">
      <c r="C1625" s="255" t="s">
        <v>828</v>
      </c>
      <c r="D1625" s="59">
        <v>1204.9000000000001</v>
      </c>
      <c r="E1625" s="59"/>
    </row>
    <row r="1626" spans="3:5" x14ac:dyDescent="0.15">
      <c r="C1626" s="255" t="s">
        <v>829</v>
      </c>
      <c r="D1626" s="59">
        <v>29.2</v>
      </c>
      <c r="E1626" s="59"/>
    </row>
    <row r="1627" spans="3:5" x14ac:dyDescent="0.15">
      <c r="C1627" s="255" t="s">
        <v>830</v>
      </c>
      <c r="D1627" s="59">
        <v>423.4</v>
      </c>
      <c r="E1627" s="59"/>
    </row>
    <row r="1628" spans="3:5" x14ac:dyDescent="0.15">
      <c r="C1628" s="255" t="s">
        <v>831</v>
      </c>
      <c r="D1628" s="59">
        <v>0</v>
      </c>
      <c r="E1628" s="59"/>
    </row>
    <row r="1629" spans="3:5" x14ac:dyDescent="0.15">
      <c r="C1629" s="255" t="s">
        <v>832</v>
      </c>
      <c r="D1629" s="59">
        <v>10467.1</v>
      </c>
      <c r="E1629" s="59"/>
    </row>
    <row r="1630" spans="3:5" x14ac:dyDescent="0.15">
      <c r="C1630" s="255" t="s">
        <v>833</v>
      </c>
      <c r="D1630" s="59">
        <v>62.9</v>
      </c>
      <c r="E1630" s="59"/>
    </row>
    <row r="1631" spans="3:5" x14ac:dyDescent="0.15">
      <c r="C1631" s="255" t="s">
        <v>834</v>
      </c>
      <c r="D1631" s="59">
        <v>2611.5</v>
      </c>
      <c r="E1631" s="59"/>
    </row>
    <row r="1632" spans="3:5" x14ac:dyDescent="0.15">
      <c r="C1632" s="255" t="s">
        <v>835</v>
      </c>
      <c r="D1632" s="59">
        <v>4449.8</v>
      </c>
      <c r="E1632" s="59"/>
    </row>
    <row r="1633" spans="3:5" x14ac:dyDescent="0.15">
      <c r="C1633" s="255" t="s">
        <v>836</v>
      </c>
      <c r="D1633" s="59">
        <v>759.5</v>
      </c>
      <c r="E1633" s="59"/>
    </row>
    <row r="1634" spans="3:5" x14ac:dyDescent="0.15">
      <c r="C1634" s="255" t="s">
        <v>837</v>
      </c>
      <c r="D1634" s="59">
        <v>354.4</v>
      </c>
      <c r="E1634" s="59"/>
    </row>
    <row r="1635" spans="3:5" x14ac:dyDescent="0.15">
      <c r="C1635" s="255" t="s">
        <v>838</v>
      </c>
      <c r="D1635" s="59">
        <v>174.5</v>
      </c>
      <c r="E1635" s="59"/>
    </row>
    <row r="1636" spans="3:5" x14ac:dyDescent="0.15">
      <c r="C1636" s="255" t="s">
        <v>839</v>
      </c>
      <c r="D1636" s="59">
        <v>117.2</v>
      </c>
      <c r="E1636" s="59"/>
    </row>
    <row r="1637" spans="3:5" x14ac:dyDescent="0.15">
      <c r="C1637" s="255" t="s">
        <v>840</v>
      </c>
      <c r="D1637" s="59">
        <v>27.4</v>
      </c>
      <c r="E1637" s="59"/>
    </row>
    <row r="1638" spans="3:5" x14ac:dyDescent="0.15">
      <c r="C1638" s="255" t="s">
        <v>841</v>
      </c>
      <c r="D1638" s="59">
        <v>652</v>
      </c>
      <c r="E1638" s="59"/>
    </row>
    <row r="1639" spans="3:5" x14ac:dyDescent="0.15">
      <c r="C1639" s="255" t="s">
        <v>842</v>
      </c>
      <c r="D1639" s="59">
        <v>1229.2</v>
      </c>
      <c r="E1639" s="59"/>
    </row>
    <row r="1640" spans="3:5" x14ac:dyDescent="0.15">
      <c r="C1640" s="255" t="s">
        <v>843</v>
      </c>
      <c r="D1640" s="59">
        <v>28.7</v>
      </c>
      <c r="E1640" s="59"/>
    </row>
    <row r="1641" spans="3:5" x14ac:dyDescent="0.15">
      <c r="C1641" s="255" t="s">
        <v>844</v>
      </c>
      <c r="D1641" s="59">
        <v>0</v>
      </c>
      <c r="E1641" s="59"/>
    </row>
    <row r="1642" spans="3:5" x14ac:dyDescent="0.15">
      <c r="C1642" s="255" t="s">
        <v>845</v>
      </c>
      <c r="D1642" s="59">
        <v>117411.8</v>
      </c>
      <c r="E1642" s="59"/>
    </row>
    <row r="1643" spans="3:5" x14ac:dyDescent="0.15">
      <c r="C1643" s="255" t="s">
        <v>846</v>
      </c>
      <c r="D1643" s="59">
        <v>13588</v>
      </c>
      <c r="E1643" s="59"/>
    </row>
    <row r="1644" spans="3:5" x14ac:dyDescent="0.15">
      <c r="C1644" s="255" t="s">
        <v>847</v>
      </c>
      <c r="D1644" s="59">
        <v>112.3</v>
      </c>
      <c r="E1644" s="59"/>
    </row>
    <row r="1645" spans="3:5" x14ac:dyDescent="0.15">
      <c r="C1645" s="255" t="s">
        <v>848</v>
      </c>
      <c r="D1645" s="59">
        <v>55768.1</v>
      </c>
      <c r="E1645" s="59"/>
    </row>
    <row r="1646" spans="3:5" x14ac:dyDescent="0.15">
      <c r="C1646" s="255" t="s">
        <v>849</v>
      </c>
      <c r="D1646" s="59">
        <v>5018.6000000000004</v>
      </c>
      <c r="E1646" s="59"/>
    </row>
    <row r="1647" spans="3:5" x14ac:dyDescent="0.15">
      <c r="C1647" s="255" t="s">
        <v>850</v>
      </c>
      <c r="D1647" s="59">
        <v>2440</v>
      </c>
      <c r="E1647" s="59"/>
    </row>
    <row r="1648" spans="3:5" x14ac:dyDescent="0.15">
      <c r="C1648" s="255" t="s">
        <v>851</v>
      </c>
      <c r="D1648" s="59">
        <v>0</v>
      </c>
      <c r="E1648" s="59"/>
    </row>
    <row r="1649" spans="3:5" x14ac:dyDescent="0.15">
      <c r="C1649" s="255" t="s">
        <v>852</v>
      </c>
      <c r="D1649" s="59">
        <v>0</v>
      </c>
      <c r="E1649" s="59"/>
    </row>
    <row r="1650" spans="3:5" x14ac:dyDescent="0.15">
      <c r="C1650" s="255" t="s">
        <v>853</v>
      </c>
      <c r="D1650" s="59">
        <v>347.7</v>
      </c>
      <c r="E1650" s="59"/>
    </row>
    <row r="1651" spans="3:5" x14ac:dyDescent="0.15">
      <c r="C1651" s="255" t="s">
        <v>854</v>
      </c>
      <c r="D1651" s="59">
        <v>0</v>
      </c>
      <c r="E1651" s="59"/>
    </row>
    <row r="1652" spans="3:5" x14ac:dyDescent="0.15">
      <c r="C1652" s="255" t="s">
        <v>855</v>
      </c>
      <c r="D1652" s="59">
        <v>921.9</v>
      </c>
      <c r="E1652" s="59"/>
    </row>
    <row r="1653" spans="3:5" x14ac:dyDescent="0.15">
      <c r="C1653" s="255" t="s">
        <v>856</v>
      </c>
      <c r="D1653" s="59">
        <v>4313.6000000000004</v>
      </c>
      <c r="E1653" s="59"/>
    </row>
    <row r="1654" spans="3:5" x14ac:dyDescent="0.15">
      <c r="C1654" s="255" t="s">
        <v>857</v>
      </c>
      <c r="D1654" s="59">
        <v>2329.6</v>
      </c>
      <c r="E1654" s="59"/>
    </row>
    <row r="1655" spans="3:5" x14ac:dyDescent="0.15">
      <c r="C1655" s="255" t="s">
        <v>858</v>
      </c>
      <c r="D1655" s="59">
        <v>2890.2</v>
      </c>
      <c r="E1655" s="59"/>
    </row>
    <row r="1656" spans="3:5" x14ac:dyDescent="0.15">
      <c r="C1656" s="255" t="s">
        <v>859</v>
      </c>
      <c r="D1656" s="59">
        <v>3081.2</v>
      </c>
      <c r="E1656" s="59"/>
    </row>
    <row r="1657" spans="3:5" x14ac:dyDescent="0.15">
      <c r="C1657" s="255" t="s">
        <v>860</v>
      </c>
      <c r="D1657" s="59">
        <v>490.3</v>
      </c>
      <c r="E1657" s="59"/>
    </row>
    <row r="1658" spans="3:5" x14ac:dyDescent="0.15">
      <c r="C1658" s="255" t="s">
        <v>861</v>
      </c>
      <c r="D1658" s="59">
        <v>2013.7</v>
      </c>
      <c r="E1658" s="59"/>
    </row>
    <row r="1659" spans="3:5" x14ac:dyDescent="0.15">
      <c r="C1659" s="255" t="s">
        <v>862</v>
      </c>
      <c r="D1659" s="59">
        <v>9142.6</v>
      </c>
      <c r="E1659" s="59"/>
    </row>
    <row r="1660" spans="3:5" x14ac:dyDescent="0.15">
      <c r="C1660" s="255" t="s">
        <v>863</v>
      </c>
      <c r="D1660" s="59">
        <v>2214</v>
      </c>
      <c r="E1660" s="59"/>
    </row>
    <row r="1661" spans="3:5" x14ac:dyDescent="0.15">
      <c r="C1661" s="255" t="s">
        <v>864</v>
      </c>
      <c r="D1661" s="59">
        <v>273.7</v>
      </c>
      <c r="E1661" s="59"/>
    </row>
    <row r="1662" spans="3:5" x14ac:dyDescent="0.15">
      <c r="C1662" s="255" t="s">
        <v>865</v>
      </c>
      <c r="D1662" s="59">
        <v>1594.3</v>
      </c>
      <c r="E1662" s="59"/>
    </row>
    <row r="1663" spans="3:5" x14ac:dyDescent="0.15">
      <c r="C1663" s="255" t="s">
        <v>866</v>
      </c>
      <c r="D1663" s="59">
        <v>93.5</v>
      </c>
      <c r="E1663" s="59"/>
    </row>
    <row r="1664" spans="3:5" x14ac:dyDescent="0.15">
      <c r="C1664" s="255" t="s">
        <v>867</v>
      </c>
      <c r="D1664" s="59">
        <v>1242.8</v>
      </c>
      <c r="E1664" s="59"/>
    </row>
    <row r="1665" spans="3:5" x14ac:dyDescent="0.15">
      <c r="C1665" s="255" t="s">
        <v>868</v>
      </c>
      <c r="D1665" s="59">
        <v>9535.7000000000007</v>
      </c>
      <c r="E1665" s="59"/>
    </row>
    <row r="1666" spans="3:5" x14ac:dyDescent="0.15">
      <c r="C1666" s="255" t="s">
        <v>869</v>
      </c>
      <c r="D1666" s="59">
        <v>19525.8</v>
      </c>
      <c r="E1666" s="59"/>
    </row>
    <row r="1667" spans="3:5" x14ac:dyDescent="0.15">
      <c r="C1667" s="255" t="s">
        <v>870</v>
      </c>
      <c r="D1667" s="59">
        <v>3676.3</v>
      </c>
      <c r="E1667" s="59"/>
    </row>
    <row r="1668" spans="3:5" x14ac:dyDescent="0.15">
      <c r="C1668" s="255" t="s">
        <v>871</v>
      </c>
      <c r="D1668" s="59">
        <v>1384.7</v>
      </c>
      <c r="E1668" s="59"/>
    </row>
    <row r="1669" spans="3:5" x14ac:dyDescent="0.15">
      <c r="C1669" s="255" t="s">
        <v>872</v>
      </c>
      <c r="D1669" s="59">
        <v>428.7</v>
      </c>
      <c r="E1669" s="59"/>
    </row>
    <row r="1670" spans="3:5" x14ac:dyDescent="0.15">
      <c r="C1670" s="255" t="s">
        <v>873</v>
      </c>
      <c r="D1670" s="59">
        <v>717.7</v>
      </c>
      <c r="E1670" s="59"/>
    </row>
    <row r="1671" spans="3:5" x14ac:dyDescent="0.15">
      <c r="C1671" s="255" t="s">
        <v>874</v>
      </c>
      <c r="D1671" s="59">
        <v>138.4</v>
      </c>
      <c r="E1671" s="59"/>
    </row>
    <row r="1672" spans="3:5" x14ac:dyDescent="0.15">
      <c r="C1672" s="255" t="s">
        <v>875</v>
      </c>
      <c r="D1672" s="59">
        <v>36.799999999999997</v>
      </c>
      <c r="E1672" s="59"/>
    </row>
    <row r="1673" spans="3:5" x14ac:dyDescent="0.15">
      <c r="C1673" s="255" t="s">
        <v>876</v>
      </c>
      <c r="D1673" s="59">
        <v>22.9</v>
      </c>
      <c r="E1673" s="59"/>
    </row>
    <row r="1674" spans="3:5" x14ac:dyDescent="0.15">
      <c r="C1674" s="255" t="s">
        <v>877</v>
      </c>
      <c r="D1674" s="59">
        <v>7.3</v>
      </c>
      <c r="E1674" s="59"/>
    </row>
    <row r="1675" spans="3:5" x14ac:dyDescent="0.15">
      <c r="C1675" s="255" t="s">
        <v>878</v>
      </c>
      <c r="D1675" s="59">
        <v>751.4</v>
      </c>
      <c r="E1675" s="59"/>
    </row>
    <row r="1676" spans="3:5" x14ac:dyDescent="0.15">
      <c r="C1676" s="255" t="s">
        <v>879</v>
      </c>
      <c r="D1676" s="59">
        <v>1219.8</v>
      </c>
      <c r="E1676" s="59"/>
    </row>
    <row r="1677" spans="3:5" x14ac:dyDescent="0.15">
      <c r="C1677" s="255" t="s">
        <v>880</v>
      </c>
      <c r="D1677" s="59">
        <v>124.6</v>
      </c>
      <c r="E1677" s="59"/>
    </row>
    <row r="1678" spans="3:5" x14ac:dyDescent="0.15">
      <c r="C1678" s="255" t="s">
        <v>881</v>
      </c>
      <c r="D1678" s="59">
        <v>0</v>
      </c>
      <c r="E1678" s="59"/>
    </row>
    <row r="1679" spans="3:5" x14ac:dyDescent="0.15">
      <c r="C1679" s="255" t="s">
        <v>882</v>
      </c>
      <c r="D1679" s="59">
        <v>266.60000000000002</v>
      </c>
      <c r="E1679" s="59"/>
    </row>
    <row r="1680" spans="3:5" x14ac:dyDescent="0.15">
      <c r="C1680" s="255" t="s">
        <v>883</v>
      </c>
      <c r="D1680" s="59">
        <v>459.3</v>
      </c>
      <c r="E1680" s="59"/>
    </row>
    <row r="1681" spans="3:5" x14ac:dyDescent="0.15">
      <c r="C1681" s="255" t="s">
        <v>884</v>
      </c>
      <c r="D1681" s="59">
        <v>840.3</v>
      </c>
      <c r="E1681" s="59"/>
    </row>
    <row r="1682" spans="3:5" x14ac:dyDescent="0.15">
      <c r="C1682" s="255" t="s">
        <v>885</v>
      </c>
      <c r="D1682" s="59">
        <v>421.1</v>
      </c>
      <c r="E1682" s="59"/>
    </row>
    <row r="1683" spans="3:5" x14ac:dyDescent="0.15">
      <c r="C1683" s="255" t="s">
        <v>886</v>
      </c>
      <c r="D1683" s="59">
        <v>292.60000000000002</v>
      </c>
      <c r="E1683" s="59"/>
    </row>
    <row r="1684" spans="3:5" x14ac:dyDescent="0.15">
      <c r="C1684" s="255" t="s">
        <v>887</v>
      </c>
      <c r="D1684" s="59">
        <v>526</v>
      </c>
      <c r="E1684" s="59"/>
    </row>
    <row r="1685" spans="3:5" x14ac:dyDescent="0.15">
      <c r="C1685" s="255" t="s">
        <v>888</v>
      </c>
      <c r="D1685" s="59">
        <v>0.5</v>
      </c>
      <c r="E1685" s="59"/>
    </row>
    <row r="1686" spans="3:5" x14ac:dyDescent="0.15">
      <c r="C1686" s="255" t="s">
        <v>889</v>
      </c>
      <c r="D1686" s="59">
        <v>278</v>
      </c>
      <c r="E1686" s="59"/>
    </row>
    <row r="1687" spans="3:5" x14ac:dyDescent="0.15">
      <c r="C1687" s="255" t="s">
        <v>890</v>
      </c>
      <c r="D1687" s="59">
        <v>106.8</v>
      </c>
      <c r="E1687" s="59"/>
    </row>
    <row r="1688" spans="3:5" x14ac:dyDescent="0.15">
      <c r="C1688" s="255" t="s">
        <v>891</v>
      </c>
      <c r="D1688" s="59">
        <v>27.1</v>
      </c>
      <c r="E1688" s="59"/>
    </row>
    <row r="1689" spans="3:5" x14ac:dyDescent="0.15">
      <c r="C1689" s="255" t="s">
        <v>892</v>
      </c>
      <c r="D1689" s="59">
        <v>9.9</v>
      </c>
      <c r="E1689" s="59"/>
    </row>
    <row r="1690" spans="3:5" x14ac:dyDescent="0.15">
      <c r="C1690" s="255" t="s">
        <v>893</v>
      </c>
      <c r="D1690" s="59">
        <v>50.3</v>
      </c>
      <c r="E1690" s="59"/>
    </row>
    <row r="1691" spans="3:5" x14ac:dyDescent="0.15">
      <c r="C1691" s="255" t="s">
        <v>894</v>
      </c>
      <c r="D1691" s="59">
        <v>0</v>
      </c>
      <c r="E1691" s="59"/>
    </row>
    <row r="1692" spans="3:5" x14ac:dyDescent="0.15">
      <c r="C1692" s="255" t="s">
        <v>895</v>
      </c>
      <c r="D1692" s="59">
        <v>426</v>
      </c>
      <c r="E1692" s="59"/>
    </row>
    <row r="1693" spans="3:5" x14ac:dyDescent="0.15">
      <c r="C1693" s="255" t="s">
        <v>896</v>
      </c>
      <c r="D1693" s="59">
        <v>64.400000000000006</v>
      </c>
      <c r="E1693" s="59"/>
    </row>
    <row r="1694" spans="3:5" x14ac:dyDescent="0.15">
      <c r="C1694" s="255" t="s">
        <v>897</v>
      </c>
      <c r="D1694" s="59">
        <v>1373.2</v>
      </c>
      <c r="E1694" s="59"/>
    </row>
    <row r="1695" spans="3:5" x14ac:dyDescent="0.15">
      <c r="C1695" s="255" t="s">
        <v>898</v>
      </c>
      <c r="D1695" s="59">
        <v>497.9</v>
      </c>
      <c r="E1695" s="59"/>
    </row>
    <row r="1696" spans="3:5" x14ac:dyDescent="0.15">
      <c r="C1696" s="255" t="s">
        <v>899</v>
      </c>
      <c r="D1696" s="59">
        <v>74</v>
      </c>
      <c r="E1696" s="59"/>
    </row>
    <row r="1697" spans="3:5" x14ac:dyDescent="0.15">
      <c r="C1697" s="255" t="s">
        <v>900</v>
      </c>
      <c r="D1697" s="59">
        <v>547.79999999999995</v>
      </c>
      <c r="E1697" s="59"/>
    </row>
    <row r="1698" spans="3:5" x14ac:dyDescent="0.15">
      <c r="C1698" s="255" t="s">
        <v>901</v>
      </c>
      <c r="D1698" s="59">
        <v>897.2</v>
      </c>
      <c r="E1698" s="59"/>
    </row>
    <row r="1699" spans="3:5" x14ac:dyDescent="0.15">
      <c r="C1699" s="255" t="s">
        <v>902</v>
      </c>
      <c r="D1699" s="59">
        <v>30.1</v>
      </c>
      <c r="E1699" s="59"/>
    </row>
    <row r="1700" spans="3:5" x14ac:dyDescent="0.15">
      <c r="C1700" s="255" t="s">
        <v>903</v>
      </c>
      <c r="D1700" s="59">
        <v>1007.3</v>
      </c>
      <c r="E1700" s="59"/>
    </row>
    <row r="1701" spans="3:5" x14ac:dyDescent="0.15">
      <c r="C1701" s="255" t="s">
        <v>904</v>
      </c>
      <c r="D1701" s="59">
        <v>1233.0999999999999</v>
      </c>
      <c r="E1701" s="59"/>
    </row>
    <row r="1702" spans="3:5" x14ac:dyDescent="0.15">
      <c r="C1702" s="255" t="s">
        <v>905</v>
      </c>
      <c r="D1702" s="59">
        <v>670</v>
      </c>
      <c r="E1702" s="59"/>
    </row>
    <row r="1703" spans="3:5" x14ac:dyDescent="0.15">
      <c r="C1703" s="255" t="s">
        <v>906</v>
      </c>
      <c r="D1703" s="59">
        <v>67</v>
      </c>
      <c r="E1703" s="59"/>
    </row>
    <row r="1704" spans="3:5" x14ac:dyDescent="0.15">
      <c r="C1704" s="255" t="s">
        <v>907</v>
      </c>
      <c r="D1704" s="59">
        <v>850.9</v>
      </c>
      <c r="E1704" s="59"/>
    </row>
    <row r="1705" spans="3:5" x14ac:dyDescent="0.15">
      <c r="C1705" s="255" t="s">
        <v>908</v>
      </c>
      <c r="D1705" s="59">
        <v>13158.1</v>
      </c>
      <c r="E1705" s="59"/>
    </row>
    <row r="1706" spans="3:5" x14ac:dyDescent="0.15">
      <c r="C1706" s="255" t="s">
        <v>909</v>
      </c>
      <c r="D1706" s="59">
        <v>3853.3</v>
      </c>
      <c r="E1706" s="59"/>
    </row>
    <row r="1707" spans="3:5" x14ac:dyDescent="0.15">
      <c r="C1707" s="255" t="s">
        <v>910</v>
      </c>
      <c r="D1707" s="59">
        <v>6.2</v>
      </c>
      <c r="E1707" s="59"/>
    </row>
    <row r="1708" spans="3:5" x14ac:dyDescent="0.15">
      <c r="C1708" s="255" t="s">
        <v>911</v>
      </c>
      <c r="D1708" s="59">
        <v>711.4</v>
      </c>
      <c r="E1708" s="59"/>
    </row>
    <row r="1709" spans="3:5" x14ac:dyDescent="0.15">
      <c r="C1709" s="255" t="s">
        <v>912</v>
      </c>
      <c r="D1709" s="59">
        <v>1918.2</v>
      </c>
      <c r="E1709" s="59"/>
    </row>
    <row r="1710" spans="3:5" x14ac:dyDescent="0.15">
      <c r="C1710" s="255" t="s">
        <v>913</v>
      </c>
      <c r="D1710" s="59">
        <v>0</v>
      </c>
      <c r="E1710" s="59"/>
    </row>
    <row r="1711" spans="3:5" x14ac:dyDescent="0.15">
      <c r="C1711" s="255" t="s">
        <v>914</v>
      </c>
      <c r="D1711" s="59">
        <v>2.4</v>
      </c>
      <c r="E1711" s="59"/>
    </row>
    <row r="1712" spans="3:5" x14ac:dyDescent="0.15">
      <c r="C1712" s="255" t="s">
        <v>915</v>
      </c>
      <c r="D1712" s="59">
        <v>39.200000000000003</v>
      </c>
      <c r="E1712" s="59"/>
    </row>
    <row r="1713" spans="3:5" x14ac:dyDescent="0.15">
      <c r="C1713" s="255" t="s">
        <v>916</v>
      </c>
      <c r="D1713" s="59">
        <v>280.5</v>
      </c>
      <c r="E1713" s="59"/>
    </row>
    <row r="1714" spans="3:5" x14ac:dyDescent="0.15">
      <c r="C1714" s="255" t="s">
        <v>917</v>
      </c>
      <c r="D1714" s="59">
        <v>55.1</v>
      </c>
      <c r="E1714" s="59"/>
    </row>
    <row r="1715" spans="3:5" x14ac:dyDescent="0.15">
      <c r="C1715" s="255" t="s">
        <v>918</v>
      </c>
      <c r="D1715" s="59">
        <v>4628.6000000000004</v>
      </c>
      <c r="E1715" s="59"/>
    </row>
    <row r="1716" spans="3:5" x14ac:dyDescent="0.15">
      <c r="C1716" s="255" t="s">
        <v>919</v>
      </c>
      <c r="D1716" s="59">
        <v>5.3</v>
      </c>
      <c r="E1716" s="59"/>
    </row>
    <row r="1717" spans="3:5" x14ac:dyDescent="0.15">
      <c r="C1717" s="255" t="s">
        <v>920</v>
      </c>
      <c r="D1717" s="59">
        <v>1657.8</v>
      </c>
      <c r="E1717" s="59"/>
    </row>
    <row r="1718" spans="3:5" x14ac:dyDescent="0.15">
      <c r="C1718" s="255" t="s">
        <v>921</v>
      </c>
      <c r="D1718" s="59">
        <v>0</v>
      </c>
      <c r="E1718" s="59"/>
    </row>
    <row r="1719" spans="3:5" x14ac:dyDescent="0.15">
      <c r="C1719" s="255" t="s">
        <v>922</v>
      </c>
      <c r="D1719" s="59">
        <v>48445.7</v>
      </c>
      <c r="E1719" s="59"/>
    </row>
    <row r="1720" spans="3:5" x14ac:dyDescent="0.15">
      <c r="C1720" s="255" t="s">
        <v>923</v>
      </c>
      <c r="D1720" s="59">
        <v>18268.5</v>
      </c>
      <c r="E1720" s="59"/>
    </row>
    <row r="1721" spans="3:5" x14ac:dyDescent="0.15">
      <c r="C1721" s="255" t="s">
        <v>924</v>
      </c>
      <c r="D1721" s="59">
        <v>1343.5</v>
      </c>
      <c r="E1721" s="59"/>
    </row>
    <row r="1722" spans="3:5" x14ac:dyDescent="0.15">
      <c r="C1722" s="255" t="s">
        <v>925</v>
      </c>
      <c r="D1722" s="59">
        <v>259</v>
      </c>
      <c r="E1722" s="59"/>
    </row>
    <row r="1723" spans="3:5" x14ac:dyDescent="0.15">
      <c r="C1723" s="255" t="s">
        <v>926</v>
      </c>
      <c r="D1723" s="59">
        <v>682.9</v>
      </c>
      <c r="E1723" s="59"/>
    </row>
    <row r="1724" spans="3:5" x14ac:dyDescent="0.15">
      <c r="C1724" s="255" t="s">
        <v>927</v>
      </c>
      <c r="D1724" s="59">
        <v>769.7</v>
      </c>
      <c r="E1724" s="59"/>
    </row>
    <row r="1725" spans="3:5" x14ac:dyDescent="0.15">
      <c r="C1725" s="255" t="s">
        <v>928</v>
      </c>
      <c r="D1725" s="59">
        <v>959.5</v>
      </c>
      <c r="E1725" s="59"/>
    </row>
    <row r="1726" spans="3:5" x14ac:dyDescent="0.15">
      <c r="C1726" s="255" t="s">
        <v>929</v>
      </c>
      <c r="D1726" s="59">
        <v>229.5</v>
      </c>
      <c r="E1726" s="59"/>
    </row>
    <row r="1727" spans="3:5" x14ac:dyDescent="0.15">
      <c r="C1727" s="255" t="s">
        <v>930</v>
      </c>
      <c r="D1727" s="59">
        <v>1856.3</v>
      </c>
      <c r="E1727" s="59"/>
    </row>
    <row r="1728" spans="3:5" x14ac:dyDescent="0.15">
      <c r="C1728" s="255" t="s">
        <v>931</v>
      </c>
      <c r="D1728" s="59">
        <v>6379.2</v>
      </c>
      <c r="E1728" s="59"/>
    </row>
    <row r="1729" spans="3:5" x14ac:dyDescent="0.15">
      <c r="C1729" s="255" t="s">
        <v>932</v>
      </c>
      <c r="D1729" s="59">
        <v>0</v>
      </c>
      <c r="E1729" s="59"/>
    </row>
    <row r="1730" spans="3:5" x14ac:dyDescent="0.15">
      <c r="C1730" s="255" t="s">
        <v>933</v>
      </c>
      <c r="D1730" s="59">
        <v>32.299999999999997</v>
      </c>
      <c r="E1730" s="59"/>
    </row>
    <row r="1731" spans="3:5" x14ac:dyDescent="0.15">
      <c r="C1731" s="255" t="s">
        <v>934</v>
      </c>
      <c r="D1731" s="59">
        <v>5953</v>
      </c>
      <c r="E1731" s="59"/>
    </row>
    <row r="1732" spans="3:5" x14ac:dyDescent="0.15">
      <c r="C1732" s="255" t="s">
        <v>935</v>
      </c>
      <c r="D1732" s="59">
        <v>3352.5</v>
      </c>
      <c r="E1732" s="59"/>
    </row>
    <row r="1733" spans="3:5" x14ac:dyDescent="0.15">
      <c r="C1733" s="255" t="s">
        <v>936</v>
      </c>
      <c r="D1733" s="59">
        <v>4691.1000000000004</v>
      </c>
      <c r="E1733" s="59"/>
    </row>
    <row r="1734" spans="3:5" x14ac:dyDescent="0.15">
      <c r="C1734" s="255" t="s">
        <v>937</v>
      </c>
      <c r="D1734" s="59">
        <v>181.3</v>
      </c>
      <c r="E1734" s="59"/>
    </row>
    <row r="1735" spans="3:5" x14ac:dyDescent="0.15">
      <c r="C1735" s="255" t="s">
        <v>938</v>
      </c>
      <c r="D1735" s="59">
        <v>281.39999999999998</v>
      </c>
      <c r="E1735" s="59"/>
    </row>
    <row r="1736" spans="3:5" x14ac:dyDescent="0.15">
      <c r="C1736" s="255" t="s">
        <v>939</v>
      </c>
      <c r="D1736" s="59">
        <v>1.5</v>
      </c>
      <c r="E1736" s="59"/>
    </row>
    <row r="1737" spans="3:5" x14ac:dyDescent="0.15">
      <c r="C1737" s="255" t="s">
        <v>940</v>
      </c>
      <c r="D1737" s="59">
        <v>75.7</v>
      </c>
      <c r="E1737" s="59"/>
    </row>
    <row r="1738" spans="3:5" x14ac:dyDescent="0.15">
      <c r="C1738" s="255" t="s">
        <v>941</v>
      </c>
      <c r="D1738" s="59">
        <v>111</v>
      </c>
      <c r="E1738" s="59"/>
    </row>
    <row r="1739" spans="3:5" x14ac:dyDescent="0.15">
      <c r="C1739" s="255" t="s">
        <v>942</v>
      </c>
      <c r="D1739" s="59">
        <v>107.2</v>
      </c>
      <c r="E1739" s="59"/>
    </row>
    <row r="1740" spans="3:5" x14ac:dyDescent="0.15">
      <c r="C1740" s="255" t="s">
        <v>943</v>
      </c>
      <c r="D1740" s="59">
        <v>1422.1</v>
      </c>
      <c r="E1740" s="59"/>
    </row>
    <row r="1741" spans="3:5" x14ac:dyDescent="0.15">
      <c r="C1741" s="255" t="s">
        <v>944</v>
      </c>
      <c r="D1741" s="59">
        <v>679.8</v>
      </c>
      <c r="E1741" s="59"/>
    </row>
    <row r="1742" spans="3:5" x14ac:dyDescent="0.15">
      <c r="C1742" s="255" t="s">
        <v>945</v>
      </c>
      <c r="D1742" s="59">
        <v>705.7</v>
      </c>
      <c r="E1742" s="59"/>
    </row>
    <row r="1743" spans="3:5" x14ac:dyDescent="0.15">
      <c r="C1743" s="255" t="s">
        <v>946</v>
      </c>
      <c r="D1743" s="59">
        <v>51</v>
      </c>
      <c r="E1743" s="59"/>
    </row>
    <row r="1744" spans="3:5" x14ac:dyDescent="0.15">
      <c r="C1744" s="255" t="s">
        <v>947</v>
      </c>
      <c r="D1744" s="59">
        <v>51.9</v>
      </c>
      <c r="E1744" s="59"/>
    </row>
    <row r="1745" spans="3:5" x14ac:dyDescent="0.15">
      <c r="C1745" s="255" t="s">
        <v>948</v>
      </c>
      <c r="D1745" s="59">
        <v>8164.6</v>
      </c>
      <c r="E1745" s="59"/>
    </row>
    <row r="1746" spans="3:5" x14ac:dyDescent="0.15">
      <c r="C1746" s="255" t="s">
        <v>949</v>
      </c>
      <c r="D1746" s="59">
        <v>260.7</v>
      </c>
      <c r="E1746" s="59"/>
    </row>
    <row r="1747" spans="3:5" x14ac:dyDescent="0.15">
      <c r="C1747" s="255" t="s">
        <v>950</v>
      </c>
      <c r="D1747" s="59">
        <v>2.2999999999999998</v>
      </c>
      <c r="E1747" s="59"/>
    </row>
    <row r="1748" spans="3:5" x14ac:dyDescent="0.15">
      <c r="C1748" s="255" t="s">
        <v>951</v>
      </c>
      <c r="D1748" s="59">
        <v>643</v>
      </c>
      <c r="E1748" s="59"/>
    </row>
    <row r="1749" spans="3:5" x14ac:dyDescent="0.15">
      <c r="C1749" s="255" t="s">
        <v>952</v>
      </c>
      <c r="D1749" s="59">
        <v>36.4</v>
      </c>
      <c r="E1749" s="59"/>
    </row>
    <row r="1750" spans="3:5" x14ac:dyDescent="0.15">
      <c r="C1750" s="255" t="s">
        <v>953</v>
      </c>
      <c r="D1750" s="59">
        <v>393.8</v>
      </c>
      <c r="E1750" s="59"/>
    </row>
    <row r="1751" spans="3:5" x14ac:dyDescent="0.15">
      <c r="C1751" s="255" t="s">
        <v>954</v>
      </c>
      <c r="D1751" s="59">
        <v>1811.3</v>
      </c>
      <c r="E1751" s="59"/>
    </row>
    <row r="1752" spans="3:5" x14ac:dyDescent="0.15">
      <c r="C1752" s="255" t="s">
        <v>955</v>
      </c>
      <c r="D1752" s="59">
        <v>1651.5</v>
      </c>
      <c r="E1752" s="59"/>
    </row>
    <row r="1753" spans="3:5" x14ac:dyDescent="0.15">
      <c r="C1753" s="255" t="s">
        <v>956</v>
      </c>
      <c r="D1753" s="59">
        <v>3365.6</v>
      </c>
      <c r="E1753" s="59"/>
    </row>
    <row r="1754" spans="3:5" x14ac:dyDescent="0.15">
      <c r="C1754" s="255" t="s">
        <v>957</v>
      </c>
      <c r="D1754" s="59">
        <v>38595.300000000003</v>
      </c>
      <c r="E1754" s="59"/>
    </row>
    <row r="1755" spans="3:5" x14ac:dyDescent="0.15">
      <c r="C1755" s="255" t="s">
        <v>958</v>
      </c>
      <c r="D1755" s="59">
        <v>156.5</v>
      </c>
      <c r="E1755" s="59"/>
    </row>
    <row r="1756" spans="3:5" x14ac:dyDescent="0.15">
      <c r="C1756" s="255" t="s">
        <v>959</v>
      </c>
      <c r="D1756" s="59">
        <v>1100.7</v>
      </c>
      <c r="E1756" s="59"/>
    </row>
    <row r="1757" spans="3:5" x14ac:dyDescent="0.15">
      <c r="C1757" s="255" t="s">
        <v>960</v>
      </c>
      <c r="D1757" s="59">
        <v>130</v>
      </c>
      <c r="E1757" s="59"/>
    </row>
    <row r="1758" spans="3:5" x14ac:dyDescent="0.15">
      <c r="C1758" s="255" t="s">
        <v>961</v>
      </c>
      <c r="D1758" s="59">
        <v>293.7</v>
      </c>
      <c r="E1758" s="59"/>
    </row>
    <row r="1759" spans="3:5" x14ac:dyDescent="0.15">
      <c r="C1759" s="255" t="s">
        <v>962</v>
      </c>
      <c r="D1759" s="59">
        <v>0</v>
      </c>
      <c r="E1759" s="59"/>
    </row>
    <row r="1760" spans="3:5" x14ac:dyDescent="0.15">
      <c r="C1760" s="255" t="s">
        <v>963</v>
      </c>
      <c r="D1760" s="59">
        <v>586.79999999999995</v>
      </c>
      <c r="E1760" s="59"/>
    </row>
    <row r="1761" spans="3:5" x14ac:dyDescent="0.15">
      <c r="C1761" s="255" t="s">
        <v>964</v>
      </c>
      <c r="D1761" s="59">
        <v>629.29999999999995</v>
      </c>
      <c r="E1761" s="59"/>
    </row>
    <row r="1762" spans="3:5" x14ac:dyDescent="0.15">
      <c r="C1762" s="255" t="s">
        <v>965</v>
      </c>
      <c r="D1762" s="59">
        <v>116.6</v>
      </c>
      <c r="E1762" s="59"/>
    </row>
    <row r="1763" spans="3:5" x14ac:dyDescent="0.15">
      <c r="C1763" s="255" t="s">
        <v>966</v>
      </c>
      <c r="D1763" s="59">
        <v>13.9</v>
      </c>
      <c r="E1763" s="59"/>
    </row>
    <row r="1764" spans="3:5" x14ac:dyDescent="0.15">
      <c r="C1764" s="255" t="s">
        <v>967</v>
      </c>
      <c r="D1764" s="59">
        <v>120.3</v>
      </c>
      <c r="E1764" s="59"/>
    </row>
    <row r="1765" spans="3:5" x14ac:dyDescent="0.15">
      <c r="C1765" s="255" t="s">
        <v>968</v>
      </c>
      <c r="D1765" s="59">
        <v>0</v>
      </c>
      <c r="E1765" s="59"/>
    </row>
    <row r="1766" spans="3:5" x14ac:dyDescent="0.15">
      <c r="C1766" s="255" t="s">
        <v>969</v>
      </c>
      <c r="D1766" s="59">
        <v>43.5</v>
      </c>
      <c r="E1766" s="59"/>
    </row>
    <row r="1767" spans="3:5" x14ac:dyDescent="0.15">
      <c r="C1767" s="255" t="s">
        <v>970</v>
      </c>
      <c r="D1767" s="59">
        <v>128.69999999999999</v>
      </c>
      <c r="E1767" s="59"/>
    </row>
    <row r="1768" spans="3:5" x14ac:dyDescent="0.15">
      <c r="C1768" s="255" t="s">
        <v>971</v>
      </c>
      <c r="D1768" s="59">
        <v>1597.2</v>
      </c>
      <c r="E1768" s="59"/>
    </row>
    <row r="1769" spans="3:5" x14ac:dyDescent="0.15">
      <c r="C1769" s="255" t="s">
        <v>972</v>
      </c>
      <c r="D1769" s="59">
        <v>772.6</v>
      </c>
      <c r="E1769" s="59"/>
    </row>
    <row r="1770" spans="3:5" x14ac:dyDescent="0.15">
      <c r="C1770" s="255" t="s">
        <v>973</v>
      </c>
      <c r="D1770" s="59">
        <v>0</v>
      </c>
      <c r="E1770" s="59"/>
    </row>
    <row r="1771" spans="3:5" x14ac:dyDescent="0.15">
      <c r="C1771" s="255" t="s">
        <v>974</v>
      </c>
      <c r="D1771" s="59">
        <v>0</v>
      </c>
      <c r="E1771" s="59"/>
    </row>
    <row r="1772" spans="3:5" x14ac:dyDescent="0.15">
      <c r="C1772" s="255" t="s">
        <v>975</v>
      </c>
      <c r="D1772" s="59">
        <v>48</v>
      </c>
      <c r="E1772" s="59"/>
    </row>
    <row r="1773" spans="3:5" x14ac:dyDescent="0.15">
      <c r="C1773" s="255" t="s">
        <v>976</v>
      </c>
      <c r="D1773" s="59">
        <v>110</v>
      </c>
      <c r="E1773" s="59"/>
    </row>
    <row r="1774" spans="3:5" x14ac:dyDescent="0.15">
      <c r="C1774" s="255" t="s">
        <v>977</v>
      </c>
      <c r="D1774" s="59">
        <v>302.2</v>
      </c>
      <c r="E1774" s="59"/>
    </row>
    <row r="1775" spans="3:5" x14ac:dyDescent="0.15">
      <c r="C1775" s="255" t="s">
        <v>978</v>
      </c>
      <c r="D1775" s="59">
        <v>1267.5</v>
      </c>
      <c r="E1775" s="59"/>
    </row>
    <row r="1776" spans="3:5" x14ac:dyDescent="0.15">
      <c r="C1776" s="255" t="s">
        <v>979</v>
      </c>
      <c r="D1776" s="59">
        <v>318.7</v>
      </c>
      <c r="E1776" s="59"/>
    </row>
    <row r="1777" spans="3:5" x14ac:dyDescent="0.15">
      <c r="C1777" s="255" t="s">
        <v>980</v>
      </c>
      <c r="D1777" s="59">
        <v>164.8</v>
      </c>
      <c r="E1777" s="59"/>
    </row>
    <row r="1778" spans="3:5" x14ac:dyDescent="0.15">
      <c r="C1778" s="255" t="s">
        <v>981</v>
      </c>
      <c r="D1778" s="59">
        <v>0</v>
      </c>
      <c r="E1778" s="59"/>
    </row>
    <row r="1779" spans="3:5" x14ac:dyDescent="0.15">
      <c r="C1779" s="255" t="s">
        <v>982</v>
      </c>
      <c r="D1779" s="59">
        <v>568.5</v>
      </c>
      <c r="E1779" s="59"/>
    </row>
    <row r="1780" spans="3:5" x14ac:dyDescent="0.15">
      <c r="C1780" s="255" t="s">
        <v>983</v>
      </c>
      <c r="D1780" s="59">
        <v>2822.7</v>
      </c>
      <c r="E1780" s="59"/>
    </row>
    <row r="1781" spans="3:5" x14ac:dyDescent="0.15">
      <c r="C1781" s="255" t="s">
        <v>984</v>
      </c>
      <c r="D1781" s="59">
        <v>0</v>
      </c>
      <c r="E1781" s="59"/>
    </row>
    <row r="1782" spans="3:5" x14ac:dyDescent="0.15">
      <c r="C1782" s="255" t="s">
        <v>985</v>
      </c>
      <c r="D1782" s="59">
        <v>1068.0999999999999</v>
      </c>
      <c r="E1782" s="59"/>
    </row>
    <row r="1783" spans="3:5" x14ac:dyDescent="0.15">
      <c r="C1783" s="255" t="s">
        <v>986</v>
      </c>
      <c r="D1783" s="59">
        <v>833.1</v>
      </c>
      <c r="E1783" s="59"/>
    </row>
    <row r="1784" spans="3:5" x14ac:dyDescent="0.15">
      <c r="C1784" s="255" t="s">
        <v>987</v>
      </c>
      <c r="D1784" s="59">
        <v>221</v>
      </c>
      <c r="E1784" s="59"/>
    </row>
    <row r="1785" spans="3:5" x14ac:dyDescent="0.15">
      <c r="C1785" s="255" t="s">
        <v>988</v>
      </c>
      <c r="D1785" s="59">
        <v>1103.3</v>
      </c>
      <c r="E1785" s="59"/>
    </row>
    <row r="1786" spans="3:5" x14ac:dyDescent="0.15">
      <c r="C1786" s="255" t="s">
        <v>989</v>
      </c>
      <c r="D1786" s="59">
        <v>1777.8</v>
      </c>
      <c r="E1786" s="59"/>
    </row>
    <row r="1787" spans="3:5" x14ac:dyDescent="0.15">
      <c r="C1787" s="255" t="s">
        <v>990</v>
      </c>
      <c r="D1787" s="59">
        <v>481.7</v>
      </c>
      <c r="E1787" s="59"/>
    </row>
    <row r="1788" spans="3:5" x14ac:dyDescent="0.15">
      <c r="C1788" s="255" t="s">
        <v>991</v>
      </c>
      <c r="D1788" s="59">
        <v>5507.2</v>
      </c>
      <c r="E1788" s="59"/>
    </row>
    <row r="1789" spans="3:5" x14ac:dyDescent="0.15">
      <c r="C1789" s="255" t="s">
        <v>992</v>
      </c>
      <c r="D1789" s="59">
        <v>0</v>
      </c>
      <c r="E1789" s="59"/>
    </row>
    <row r="1790" spans="3:5" x14ac:dyDescent="0.15">
      <c r="C1790" s="255" t="s">
        <v>993</v>
      </c>
      <c r="D1790" s="59">
        <v>103.8</v>
      </c>
      <c r="E1790" s="59"/>
    </row>
    <row r="1791" spans="3:5" x14ac:dyDescent="0.15">
      <c r="C1791" s="255" t="s">
        <v>994</v>
      </c>
      <c r="D1791" s="59">
        <v>0</v>
      </c>
      <c r="E1791" s="59"/>
    </row>
    <row r="1792" spans="3:5" x14ac:dyDescent="0.15">
      <c r="C1792" s="255" t="s">
        <v>995</v>
      </c>
      <c r="D1792" s="59">
        <v>1395.3</v>
      </c>
      <c r="E1792" s="59"/>
    </row>
    <row r="1793" spans="3:5" x14ac:dyDescent="0.15">
      <c r="C1793" s="255" t="s">
        <v>996</v>
      </c>
      <c r="D1793" s="59">
        <v>432.5</v>
      </c>
      <c r="E1793" s="59"/>
    </row>
    <row r="1794" spans="3:5" x14ac:dyDescent="0.15">
      <c r="C1794" s="255" t="s">
        <v>997</v>
      </c>
      <c r="D1794" s="59">
        <v>234.5</v>
      </c>
      <c r="E1794" s="59"/>
    </row>
    <row r="1795" spans="3:5" x14ac:dyDescent="0.15">
      <c r="C1795" s="255" t="s">
        <v>998</v>
      </c>
      <c r="D1795" s="59">
        <v>175.4</v>
      </c>
      <c r="E1795" s="59"/>
    </row>
    <row r="1796" spans="3:5" x14ac:dyDescent="0.15">
      <c r="C1796" s="255" t="s">
        <v>999</v>
      </c>
      <c r="D1796" s="59">
        <v>0</v>
      </c>
      <c r="E1796" s="59"/>
    </row>
    <row r="1797" spans="3:5" x14ac:dyDescent="0.15">
      <c r="C1797" s="255" t="s">
        <v>1000</v>
      </c>
      <c r="D1797" s="59">
        <v>2584.1</v>
      </c>
      <c r="E1797" s="59"/>
    </row>
    <row r="1798" spans="3:5" x14ac:dyDescent="0.15">
      <c r="C1798" s="255" t="s">
        <v>1001</v>
      </c>
      <c r="D1798" s="59">
        <v>854.2</v>
      </c>
      <c r="E1798" s="59"/>
    </row>
    <row r="1799" spans="3:5" x14ac:dyDescent="0.15">
      <c r="C1799" s="255" t="s">
        <v>1002</v>
      </c>
      <c r="D1799" s="59">
        <v>217.6</v>
      </c>
      <c r="E1799" s="59"/>
    </row>
    <row r="1800" spans="3:5" x14ac:dyDescent="0.15">
      <c r="C1800" s="255" t="s">
        <v>1003</v>
      </c>
      <c r="D1800" s="59">
        <v>90</v>
      </c>
      <c r="E1800" s="59"/>
    </row>
    <row r="1801" spans="3:5" x14ac:dyDescent="0.15">
      <c r="C1801" s="255" t="s">
        <v>1004</v>
      </c>
      <c r="D1801" s="59">
        <v>55.9</v>
      </c>
      <c r="E1801" s="59"/>
    </row>
    <row r="1802" spans="3:5" x14ac:dyDescent="0.15">
      <c r="C1802" s="255" t="s">
        <v>1005</v>
      </c>
      <c r="D1802" s="59">
        <v>460.2</v>
      </c>
      <c r="E1802" s="59"/>
    </row>
    <row r="1803" spans="3:5" x14ac:dyDescent="0.15">
      <c r="C1803" s="255" t="s">
        <v>1006</v>
      </c>
      <c r="D1803" s="59">
        <v>9707.2999999999993</v>
      </c>
      <c r="E1803" s="59"/>
    </row>
    <row r="1804" spans="3:5" x14ac:dyDescent="0.15">
      <c r="C1804" s="255" t="s">
        <v>1007</v>
      </c>
      <c r="D1804" s="59">
        <v>107.2</v>
      </c>
      <c r="E1804" s="59"/>
    </row>
    <row r="1805" spans="3:5" x14ac:dyDescent="0.15">
      <c r="C1805" s="255" t="s">
        <v>1008</v>
      </c>
      <c r="D1805" s="59">
        <v>0</v>
      </c>
      <c r="E1805" s="59"/>
    </row>
    <row r="1806" spans="3:5" x14ac:dyDescent="0.15">
      <c r="C1806" s="255" t="s">
        <v>1009</v>
      </c>
      <c r="D1806" s="59">
        <v>0</v>
      </c>
      <c r="E1806" s="59"/>
    </row>
    <row r="1807" spans="3:5" x14ac:dyDescent="0.15">
      <c r="C1807" s="255" t="s">
        <v>1010</v>
      </c>
      <c r="D1807" s="59">
        <v>40.5</v>
      </c>
      <c r="E1807" s="59"/>
    </row>
    <row r="1808" spans="3:5" x14ac:dyDescent="0.15">
      <c r="C1808" s="255" t="s">
        <v>1011</v>
      </c>
      <c r="D1808" s="59">
        <v>66.7</v>
      </c>
      <c r="E1808" s="59"/>
    </row>
    <row r="1809" spans="3:5" x14ac:dyDescent="0.15">
      <c r="C1809" s="255" t="s">
        <v>1012</v>
      </c>
      <c r="D1809" s="59">
        <v>18411.2</v>
      </c>
      <c r="E1809" s="59"/>
    </row>
    <row r="1810" spans="3:5" x14ac:dyDescent="0.15">
      <c r="C1810" s="255" t="s">
        <v>1013</v>
      </c>
      <c r="D1810" s="59">
        <v>10938.4</v>
      </c>
      <c r="E1810" s="59"/>
    </row>
    <row r="1811" spans="3:5" x14ac:dyDescent="0.15">
      <c r="C1811" s="255" t="s">
        <v>1014</v>
      </c>
      <c r="D1811" s="59">
        <v>1216.9000000000001</v>
      </c>
      <c r="E1811" s="59"/>
    </row>
    <row r="1812" spans="3:5" x14ac:dyDescent="0.15">
      <c r="C1812" s="255" t="s">
        <v>1015</v>
      </c>
      <c r="D1812" s="59">
        <v>599.9</v>
      </c>
      <c r="E1812" s="59"/>
    </row>
    <row r="1813" spans="3:5" x14ac:dyDescent="0.15">
      <c r="C1813" s="255" t="s">
        <v>1016</v>
      </c>
      <c r="D1813" s="59">
        <v>3678.6</v>
      </c>
      <c r="E1813" s="59"/>
    </row>
    <row r="1814" spans="3:5" x14ac:dyDescent="0.15">
      <c r="C1814" s="255" t="s">
        <v>1017</v>
      </c>
      <c r="D1814" s="59">
        <v>1977.4</v>
      </c>
      <c r="E1814" s="59"/>
    </row>
    <row r="1815" spans="3:5" x14ac:dyDescent="0.15">
      <c r="C1815" s="255" t="s">
        <v>1018</v>
      </c>
      <c r="D1815" s="59">
        <v>0</v>
      </c>
      <c r="E1815" s="59"/>
    </row>
    <row r="1816" spans="3:5" x14ac:dyDescent="0.15">
      <c r="C1816" s="255" t="s">
        <v>1019</v>
      </c>
      <c r="D1816" s="59">
        <v>28146.6</v>
      </c>
      <c r="E1816" s="59"/>
    </row>
    <row r="1817" spans="3:5" x14ac:dyDescent="0.15">
      <c r="C1817" s="255" t="s">
        <v>1020</v>
      </c>
      <c r="D1817" s="59">
        <v>667</v>
      </c>
      <c r="E1817" s="59"/>
    </row>
    <row r="1818" spans="3:5" x14ac:dyDescent="0.15">
      <c r="C1818" s="255" t="s">
        <v>1021</v>
      </c>
      <c r="D1818" s="59">
        <v>2055.8000000000002</v>
      </c>
      <c r="E1818" s="59"/>
    </row>
    <row r="1819" spans="3:5" x14ac:dyDescent="0.15">
      <c r="C1819" s="255" t="s">
        <v>1022</v>
      </c>
      <c r="D1819" s="59">
        <v>517.4</v>
      </c>
      <c r="E1819" s="59"/>
    </row>
    <row r="1820" spans="3:5" x14ac:dyDescent="0.15">
      <c r="C1820" s="255" t="s">
        <v>1023</v>
      </c>
      <c r="D1820" s="59">
        <v>208.1</v>
      </c>
      <c r="E1820" s="59"/>
    </row>
    <row r="1821" spans="3:5" x14ac:dyDescent="0.15">
      <c r="C1821" s="255" t="s">
        <v>1024</v>
      </c>
      <c r="D1821" s="59">
        <v>18.5</v>
      </c>
      <c r="E1821" s="59"/>
    </row>
    <row r="1822" spans="3:5" x14ac:dyDescent="0.15">
      <c r="C1822" s="255" t="s">
        <v>1025</v>
      </c>
      <c r="D1822" s="59">
        <v>244.3</v>
      </c>
      <c r="E1822" s="59"/>
    </row>
    <row r="1823" spans="3:5" x14ac:dyDescent="0.15">
      <c r="C1823" s="255" t="s">
        <v>1026</v>
      </c>
      <c r="D1823" s="59">
        <v>3544.3</v>
      </c>
      <c r="E1823" s="59"/>
    </row>
    <row r="1824" spans="3:5" x14ac:dyDescent="0.15">
      <c r="C1824" s="255" t="s">
        <v>1027</v>
      </c>
      <c r="D1824" s="59">
        <v>0</v>
      </c>
      <c r="E1824" s="59"/>
    </row>
    <row r="1825" spans="3:5" x14ac:dyDescent="0.15">
      <c r="C1825" s="255" t="s">
        <v>1028</v>
      </c>
      <c r="D1825" s="59">
        <v>846</v>
      </c>
      <c r="E1825" s="59"/>
    </row>
    <row r="1826" spans="3:5" x14ac:dyDescent="0.15">
      <c r="C1826" s="255" t="s">
        <v>1029</v>
      </c>
      <c r="D1826" s="59">
        <v>448.7</v>
      </c>
      <c r="E1826" s="59"/>
    </row>
    <row r="1827" spans="3:5" x14ac:dyDescent="0.15">
      <c r="C1827" s="255" t="s">
        <v>1030</v>
      </c>
      <c r="D1827" s="59">
        <v>27.6</v>
      </c>
      <c r="E1827" s="59"/>
    </row>
    <row r="1828" spans="3:5" x14ac:dyDescent="0.15">
      <c r="C1828" s="255" t="s">
        <v>1031</v>
      </c>
      <c r="D1828" s="59">
        <v>744.2</v>
      </c>
      <c r="E1828" s="59"/>
    </row>
    <row r="1829" spans="3:5" x14ac:dyDescent="0.15">
      <c r="C1829" s="255" t="s">
        <v>1032</v>
      </c>
      <c r="D1829" s="59">
        <v>1.7</v>
      </c>
      <c r="E1829" s="59"/>
    </row>
    <row r="1830" spans="3:5" x14ac:dyDescent="0.15">
      <c r="C1830" s="255" t="s">
        <v>1033</v>
      </c>
      <c r="D1830" s="59">
        <v>0</v>
      </c>
      <c r="E1830" s="59"/>
    </row>
    <row r="1831" spans="3:5" x14ac:dyDescent="0.15">
      <c r="C1831" s="255" t="s">
        <v>1034</v>
      </c>
      <c r="D1831" s="59">
        <v>129.5</v>
      </c>
      <c r="E1831" s="59"/>
    </row>
    <row r="1832" spans="3:5" x14ac:dyDescent="0.15">
      <c r="C1832" s="255" t="s">
        <v>1035</v>
      </c>
      <c r="D1832" s="59">
        <v>0</v>
      </c>
      <c r="E1832" s="59"/>
    </row>
    <row r="1833" spans="3:5" x14ac:dyDescent="0.15">
      <c r="C1833" s="255" t="s">
        <v>1036</v>
      </c>
      <c r="D1833" s="59">
        <v>94.6</v>
      </c>
      <c r="E1833" s="59"/>
    </row>
    <row r="1834" spans="3:5" x14ac:dyDescent="0.15">
      <c r="C1834" s="255" t="s">
        <v>1037</v>
      </c>
      <c r="D1834" s="59">
        <v>332.8</v>
      </c>
      <c r="E1834" s="59"/>
    </row>
    <row r="1835" spans="3:5" x14ac:dyDescent="0.15">
      <c r="C1835" s="255" t="s">
        <v>1038</v>
      </c>
      <c r="D1835" s="59">
        <v>6700.9</v>
      </c>
      <c r="E1835" s="59"/>
    </row>
    <row r="1836" spans="3:5" x14ac:dyDescent="0.15">
      <c r="C1836" s="255" t="s">
        <v>1039</v>
      </c>
      <c r="D1836" s="59">
        <v>1942.6</v>
      </c>
      <c r="E1836" s="59"/>
    </row>
    <row r="1837" spans="3:5" x14ac:dyDescent="0.15">
      <c r="C1837" s="255" t="s">
        <v>1040</v>
      </c>
      <c r="D1837" s="59">
        <v>6043.7</v>
      </c>
      <c r="E1837" s="59"/>
    </row>
    <row r="1838" spans="3:5" x14ac:dyDescent="0.15">
      <c r="C1838" s="255" t="s">
        <v>1041</v>
      </c>
      <c r="D1838" s="59">
        <v>499.1</v>
      </c>
      <c r="E1838" s="59"/>
    </row>
    <row r="1839" spans="3:5" x14ac:dyDescent="0.15">
      <c r="C1839" s="255" t="s">
        <v>1042</v>
      </c>
      <c r="D1839" s="59">
        <v>1809.6</v>
      </c>
      <c r="E1839" s="59"/>
    </row>
    <row r="1840" spans="3:5" x14ac:dyDescent="0.15">
      <c r="C1840" s="255" t="s">
        <v>1043</v>
      </c>
      <c r="D1840" s="59">
        <v>675.1</v>
      </c>
      <c r="E1840" s="59"/>
    </row>
    <row r="1841" spans="2:5" x14ac:dyDescent="0.15">
      <c r="C1841" s="255" t="s">
        <v>1044</v>
      </c>
      <c r="D1841" s="59">
        <v>208.6</v>
      </c>
      <c r="E1841" s="59"/>
    </row>
    <row r="1842" spans="2:5" x14ac:dyDescent="0.15">
      <c r="C1842" s="255" t="s">
        <v>1045</v>
      </c>
      <c r="D1842" s="59">
        <v>52.9</v>
      </c>
      <c r="E1842" s="59"/>
    </row>
    <row r="1843" spans="2:5" x14ac:dyDescent="0.15">
      <c r="C1843" s="255" t="s">
        <v>1046</v>
      </c>
      <c r="D1843" s="59">
        <v>103.7</v>
      </c>
      <c r="E1843" s="59"/>
    </row>
    <row r="1844" spans="2:5" x14ac:dyDescent="0.15">
      <c r="C1844" s="255" t="s">
        <v>1047</v>
      </c>
      <c r="D1844" s="59">
        <v>113.5</v>
      </c>
      <c r="E1844" s="59"/>
    </row>
    <row r="1845" spans="2:5" x14ac:dyDescent="0.15">
      <c r="C1845" s="255" t="s">
        <v>1048</v>
      </c>
      <c r="D1845" s="59">
        <v>116.4</v>
      </c>
      <c r="E1845" s="59"/>
    </row>
    <row r="1846" spans="2:5" x14ac:dyDescent="0.15">
      <c r="B1846" s="255" t="s">
        <v>191</v>
      </c>
      <c r="C1846" s="255" t="s">
        <v>743</v>
      </c>
      <c r="D1846" s="59">
        <v>429</v>
      </c>
      <c r="E1846" s="59"/>
    </row>
    <row r="1847" spans="2:5" x14ac:dyDescent="0.15">
      <c r="C1847" s="255" t="s">
        <v>744</v>
      </c>
      <c r="D1847" s="59">
        <v>438</v>
      </c>
      <c r="E1847" s="59"/>
    </row>
    <row r="1848" spans="2:5" x14ac:dyDescent="0.15">
      <c r="C1848" s="255" t="s">
        <v>745</v>
      </c>
      <c r="D1848" s="59">
        <v>1730.4</v>
      </c>
      <c r="E1848" s="59"/>
    </row>
    <row r="1849" spans="2:5" x14ac:dyDescent="0.15">
      <c r="C1849" s="255" t="s">
        <v>746</v>
      </c>
      <c r="D1849" s="59">
        <v>4</v>
      </c>
      <c r="E1849" s="59"/>
    </row>
    <row r="1850" spans="2:5" x14ac:dyDescent="0.15">
      <c r="C1850" s="255" t="s">
        <v>747</v>
      </c>
      <c r="D1850" s="59">
        <v>2</v>
      </c>
      <c r="E1850" s="59"/>
    </row>
    <row r="1851" spans="2:5" x14ac:dyDescent="0.15">
      <c r="C1851" s="255" t="s">
        <v>748</v>
      </c>
      <c r="D1851" s="59">
        <v>2</v>
      </c>
      <c r="E1851" s="59"/>
    </row>
    <row r="1852" spans="2:5" x14ac:dyDescent="0.15">
      <c r="C1852" s="255" t="s">
        <v>749</v>
      </c>
      <c r="D1852" s="59">
        <v>0.7</v>
      </c>
      <c r="E1852" s="59"/>
    </row>
    <row r="1853" spans="2:5" x14ac:dyDescent="0.15">
      <c r="C1853" s="255" t="s">
        <v>750</v>
      </c>
      <c r="D1853" s="59">
        <v>0.3</v>
      </c>
      <c r="E1853" s="59"/>
    </row>
    <row r="1854" spans="2:5" x14ac:dyDescent="0.15">
      <c r="C1854" s="255" t="s">
        <v>751</v>
      </c>
      <c r="D1854" s="59">
        <v>40.5</v>
      </c>
      <c r="E1854" s="59"/>
    </row>
    <row r="1855" spans="2:5" x14ac:dyDescent="0.15">
      <c r="C1855" s="255" t="s">
        <v>752</v>
      </c>
      <c r="D1855" s="59">
        <v>2.1</v>
      </c>
      <c r="E1855" s="59"/>
    </row>
    <row r="1856" spans="2:5" x14ac:dyDescent="0.15">
      <c r="C1856" s="255" t="s">
        <v>753</v>
      </c>
      <c r="D1856" s="59">
        <v>135.6</v>
      </c>
      <c r="E1856" s="59"/>
    </row>
    <row r="1857" spans="3:5" x14ac:dyDescent="0.15">
      <c r="C1857" s="255" t="s">
        <v>754</v>
      </c>
      <c r="D1857" s="59">
        <v>1952.3</v>
      </c>
      <c r="E1857" s="59"/>
    </row>
    <row r="1858" spans="3:5" x14ac:dyDescent="0.15">
      <c r="C1858" s="255" t="s">
        <v>192</v>
      </c>
      <c r="D1858" s="59">
        <v>417210.8</v>
      </c>
      <c r="E1858" s="59"/>
    </row>
    <row r="1859" spans="3:5" x14ac:dyDescent="0.15">
      <c r="C1859" s="255" t="s">
        <v>755</v>
      </c>
      <c r="D1859" s="59">
        <v>55719.1</v>
      </c>
      <c r="E1859" s="59"/>
    </row>
    <row r="1860" spans="3:5" x14ac:dyDescent="0.15">
      <c r="C1860" s="255" t="s">
        <v>756</v>
      </c>
      <c r="D1860" s="59">
        <v>321.2</v>
      </c>
      <c r="E1860" s="59"/>
    </row>
    <row r="1861" spans="3:5" x14ac:dyDescent="0.15">
      <c r="C1861" s="255" t="s">
        <v>757</v>
      </c>
      <c r="D1861" s="59">
        <v>209.4</v>
      </c>
      <c r="E1861" s="59"/>
    </row>
    <row r="1862" spans="3:5" x14ac:dyDescent="0.15">
      <c r="C1862" s="255" t="s">
        <v>758</v>
      </c>
      <c r="D1862" s="59">
        <v>3307.4</v>
      </c>
      <c r="E1862" s="59"/>
    </row>
    <row r="1863" spans="3:5" x14ac:dyDescent="0.15">
      <c r="C1863" s="255" t="s">
        <v>759</v>
      </c>
      <c r="D1863" s="59">
        <v>1922.6</v>
      </c>
      <c r="E1863" s="59"/>
    </row>
    <row r="1864" spans="3:5" x14ac:dyDescent="0.15">
      <c r="C1864" s="255" t="s">
        <v>760</v>
      </c>
      <c r="D1864" s="59">
        <v>249.3</v>
      </c>
      <c r="E1864" s="59"/>
    </row>
    <row r="1865" spans="3:5" x14ac:dyDescent="0.15">
      <c r="C1865" s="255" t="s">
        <v>761</v>
      </c>
      <c r="D1865" s="59">
        <v>646.79999999999995</v>
      </c>
      <c r="E1865" s="59"/>
    </row>
    <row r="1866" spans="3:5" x14ac:dyDescent="0.15">
      <c r="C1866" s="255" t="s">
        <v>762</v>
      </c>
      <c r="D1866" s="59">
        <v>823.6</v>
      </c>
      <c r="E1866" s="59"/>
    </row>
    <row r="1867" spans="3:5" x14ac:dyDescent="0.15">
      <c r="C1867" s="255" t="s">
        <v>763</v>
      </c>
      <c r="D1867" s="59">
        <v>264.89999999999998</v>
      </c>
      <c r="E1867" s="59"/>
    </row>
    <row r="1868" spans="3:5" x14ac:dyDescent="0.15">
      <c r="C1868" s="255" t="s">
        <v>764</v>
      </c>
      <c r="D1868" s="59">
        <v>3377.1</v>
      </c>
      <c r="E1868" s="59"/>
    </row>
    <row r="1869" spans="3:5" x14ac:dyDescent="0.15">
      <c r="C1869" s="255" t="s">
        <v>765</v>
      </c>
      <c r="D1869" s="59">
        <v>1405.2</v>
      </c>
      <c r="E1869" s="59"/>
    </row>
    <row r="1870" spans="3:5" x14ac:dyDescent="0.15">
      <c r="C1870" s="255" t="s">
        <v>766</v>
      </c>
      <c r="D1870" s="59">
        <v>227.8</v>
      </c>
      <c r="E1870" s="59"/>
    </row>
    <row r="1871" spans="3:5" x14ac:dyDescent="0.15">
      <c r="C1871" s="255" t="s">
        <v>767</v>
      </c>
      <c r="D1871" s="59">
        <v>1949.1</v>
      </c>
      <c r="E1871" s="59"/>
    </row>
    <row r="1872" spans="3:5" x14ac:dyDescent="0.15">
      <c r="C1872" s="255" t="s">
        <v>768</v>
      </c>
      <c r="D1872" s="59">
        <v>33.200000000000003</v>
      </c>
      <c r="E1872" s="59"/>
    </row>
    <row r="1873" spans="3:5" x14ac:dyDescent="0.15">
      <c r="C1873" s="255" t="s">
        <v>769</v>
      </c>
      <c r="D1873" s="59">
        <v>21.4</v>
      </c>
      <c r="E1873" s="59"/>
    </row>
    <row r="1874" spans="3:5" x14ac:dyDescent="0.15">
      <c r="C1874" s="255" t="s">
        <v>770</v>
      </c>
      <c r="D1874" s="59">
        <v>2557.4</v>
      </c>
      <c r="E1874" s="59"/>
    </row>
    <row r="1875" spans="3:5" x14ac:dyDescent="0.15">
      <c r="C1875" s="255" t="s">
        <v>771</v>
      </c>
      <c r="D1875" s="59">
        <v>2380.6999999999998</v>
      </c>
      <c r="E1875" s="59"/>
    </row>
    <row r="1876" spans="3:5" x14ac:dyDescent="0.15">
      <c r="C1876" s="255" t="s">
        <v>772</v>
      </c>
      <c r="D1876" s="59">
        <v>648.4</v>
      </c>
      <c r="E1876" s="59"/>
    </row>
    <row r="1877" spans="3:5" x14ac:dyDescent="0.15">
      <c r="C1877" s="255" t="s">
        <v>773</v>
      </c>
      <c r="D1877" s="59">
        <v>151.30000000000001</v>
      </c>
      <c r="E1877" s="59"/>
    </row>
    <row r="1878" spans="3:5" x14ac:dyDescent="0.15">
      <c r="C1878" s="255" t="s">
        <v>774</v>
      </c>
      <c r="D1878" s="59">
        <v>95.8</v>
      </c>
      <c r="E1878" s="59"/>
    </row>
    <row r="1879" spans="3:5" x14ac:dyDescent="0.15">
      <c r="C1879" s="255" t="s">
        <v>775</v>
      </c>
      <c r="D1879" s="59">
        <v>88.6</v>
      </c>
      <c r="E1879" s="59"/>
    </row>
    <row r="1880" spans="3:5" x14ac:dyDescent="0.15">
      <c r="C1880" s="255" t="s">
        <v>776</v>
      </c>
      <c r="D1880" s="59">
        <v>337.4</v>
      </c>
      <c r="E1880" s="59"/>
    </row>
    <row r="1881" spans="3:5" x14ac:dyDescent="0.15">
      <c r="C1881" s="255" t="s">
        <v>777</v>
      </c>
      <c r="D1881" s="59">
        <v>913.6</v>
      </c>
      <c r="E1881" s="59"/>
    </row>
    <row r="1882" spans="3:5" x14ac:dyDescent="0.15">
      <c r="C1882" s="255" t="s">
        <v>778</v>
      </c>
      <c r="D1882" s="59">
        <v>730.3</v>
      </c>
      <c r="E1882" s="59"/>
    </row>
    <row r="1883" spans="3:5" x14ac:dyDescent="0.15">
      <c r="C1883" s="255" t="s">
        <v>779</v>
      </c>
      <c r="D1883" s="59">
        <v>1039.8</v>
      </c>
      <c r="E1883" s="59"/>
    </row>
    <row r="1884" spans="3:5" x14ac:dyDescent="0.15">
      <c r="C1884" s="255" t="s">
        <v>780</v>
      </c>
      <c r="D1884" s="59">
        <v>15.5</v>
      </c>
      <c r="E1884" s="59"/>
    </row>
    <row r="1885" spans="3:5" x14ac:dyDescent="0.15">
      <c r="C1885" s="255" t="s">
        <v>781</v>
      </c>
      <c r="D1885" s="59">
        <v>1205.0999999999999</v>
      </c>
      <c r="E1885" s="59"/>
    </row>
    <row r="1886" spans="3:5" x14ac:dyDescent="0.15">
      <c r="C1886" s="255" t="s">
        <v>782</v>
      </c>
      <c r="D1886" s="59">
        <v>2395.1</v>
      </c>
      <c r="E1886" s="59"/>
    </row>
    <row r="1887" spans="3:5" x14ac:dyDescent="0.15">
      <c r="C1887" s="255" t="s">
        <v>783</v>
      </c>
      <c r="D1887" s="59">
        <v>974.4</v>
      </c>
      <c r="E1887" s="59"/>
    </row>
    <row r="1888" spans="3:5" x14ac:dyDescent="0.15">
      <c r="C1888" s="255" t="s">
        <v>784</v>
      </c>
      <c r="D1888" s="59">
        <v>883.2</v>
      </c>
      <c r="E1888" s="59"/>
    </row>
    <row r="1889" spans="3:5" x14ac:dyDescent="0.15">
      <c r="C1889" s="255" t="s">
        <v>785</v>
      </c>
      <c r="D1889" s="59">
        <v>810</v>
      </c>
      <c r="E1889" s="59"/>
    </row>
    <row r="1890" spans="3:5" x14ac:dyDescent="0.15">
      <c r="C1890" s="255" t="s">
        <v>786</v>
      </c>
      <c r="D1890" s="59">
        <v>238.1</v>
      </c>
      <c r="E1890" s="59"/>
    </row>
    <row r="1891" spans="3:5" x14ac:dyDescent="0.15">
      <c r="C1891" s="255" t="s">
        <v>787</v>
      </c>
      <c r="D1891" s="59">
        <v>266.2</v>
      </c>
      <c r="E1891" s="59"/>
    </row>
    <row r="1892" spans="3:5" x14ac:dyDescent="0.15">
      <c r="C1892" s="255" t="s">
        <v>788</v>
      </c>
      <c r="D1892" s="59">
        <v>153.6</v>
      </c>
      <c r="E1892" s="59"/>
    </row>
    <row r="1893" spans="3:5" x14ac:dyDescent="0.15">
      <c r="C1893" s="255" t="s">
        <v>789</v>
      </c>
      <c r="D1893" s="59">
        <v>3.5</v>
      </c>
      <c r="E1893" s="59"/>
    </row>
    <row r="1894" spans="3:5" x14ac:dyDescent="0.15">
      <c r="C1894" s="255" t="s">
        <v>790</v>
      </c>
      <c r="D1894" s="59">
        <v>3679</v>
      </c>
      <c r="E1894" s="59"/>
    </row>
    <row r="1895" spans="3:5" x14ac:dyDescent="0.15">
      <c r="C1895" s="255" t="s">
        <v>791</v>
      </c>
      <c r="D1895" s="59">
        <v>139.19999999999999</v>
      </c>
      <c r="E1895" s="59"/>
    </row>
    <row r="1896" spans="3:5" x14ac:dyDescent="0.15">
      <c r="C1896" s="255" t="s">
        <v>792</v>
      </c>
      <c r="D1896" s="59">
        <v>1170.3</v>
      </c>
      <c r="E1896" s="59"/>
    </row>
    <row r="1897" spans="3:5" x14ac:dyDescent="0.15">
      <c r="C1897" s="255" t="s">
        <v>793</v>
      </c>
      <c r="D1897" s="59">
        <v>362.8</v>
      </c>
      <c r="E1897" s="59"/>
    </row>
    <row r="1898" spans="3:5" x14ac:dyDescent="0.15">
      <c r="C1898" s="255" t="s">
        <v>794</v>
      </c>
      <c r="D1898" s="59">
        <v>3805</v>
      </c>
      <c r="E1898" s="59"/>
    </row>
    <row r="1899" spans="3:5" x14ac:dyDescent="0.15">
      <c r="C1899" s="255" t="s">
        <v>795</v>
      </c>
      <c r="D1899" s="59">
        <v>336.5</v>
      </c>
      <c r="E1899" s="59"/>
    </row>
    <row r="1900" spans="3:5" x14ac:dyDescent="0.15">
      <c r="C1900" s="255" t="s">
        <v>796</v>
      </c>
      <c r="D1900" s="59">
        <v>805.7</v>
      </c>
      <c r="E1900" s="59"/>
    </row>
    <row r="1901" spans="3:5" x14ac:dyDescent="0.15">
      <c r="C1901" s="255" t="s">
        <v>797</v>
      </c>
      <c r="D1901" s="59">
        <v>846.1</v>
      </c>
      <c r="E1901" s="59"/>
    </row>
    <row r="1902" spans="3:5" x14ac:dyDescent="0.15">
      <c r="C1902" s="255" t="s">
        <v>798</v>
      </c>
      <c r="D1902" s="59">
        <v>534.1</v>
      </c>
      <c r="E1902" s="59"/>
    </row>
    <row r="1903" spans="3:5" x14ac:dyDescent="0.15">
      <c r="C1903" s="255" t="s">
        <v>799</v>
      </c>
      <c r="D1903" s="59">
        <v>163</v>
      </c>
      <c r="E1903" s="59"/>
    </row>
    <row r="1904" spans="3:5" x14ac:dyDescent="0.15">
      <c r="C1904" s="255" t="s">
        <v>800</v>
      </c>
      <c r="D1904" s="59">
        <v>172.7</v>
      </c>
      <c r="E1904" s="59"/>
    </row>
    <row r="1905" spans="3:5" x14ac:dyDescent="0.15">
      <c r="C1905" s="255" t="s">
        <v>801</v>
      </c>
      <c r="D1905" s="59">
        <v>439.1</v>
      </c>
      <c r="E1905" s="59"/>
    </row>
    <row r="1906" spans="3:5" x14ac:dyDescent="0.15">
      <c r="C1906" s="255" t="s">
        <v>802</v>
      </c>
      <c r="D1906" s="59">
        <v>1727</v>
      </c>
      <c r="E1906" s="59"/>
    </row>
    <row r="1907" spans="3:5" x14ac:dyDescent="0.15">
      <c r="C1907" s="255" t="s">
        <v>803</v>
      </c>
      <c r="D1907" s="59">
        <v>2229</v>
      </c>
      <c r="E1907" s="59"/>
    </row>
    <row r="1908" spans="3:5" x14ac:dyDescent="0.15">
      <c r="C1908" s="255" t="s">
        <v>804</v>
      </c>
      <c r="D1908" s="59">
        <v>1237.8</v>
      </c>
      <c r="E1908" s="59"/>
    </row>
    <row r="1909" spans="3:5" x14ac:dyDescent="0.15">
      <c r="C1909" s="255" t="s">
        <v>805</v>
      </c>
      <c r="D1909" s="59">
        <v>30.2</v>
      </c>
      <c r="E1909" s="59"/>
    </row>
    <row r="1910" spans="3:5" x14ac:dyDescent="0.15">
      <c r="C1910" s="255" t="s">
        <v>806</v>
      </c>
      <c r="D1910" s="59">
        <v>1248.9000000000001</v>
      </c>
      <c r="E1910" s="59"/>
    </row>
    <row r="1911" spans="3:5" x14ac:dyDescent="0.15">
      <c r="C1911" s="255" t="s">
        <v>807</v>
      </c>
      <c r="D1911" s="59">
        <v>521.79999999999995</v>
      </c>
      <c r="E1911" s="59"/>
    </row>
    <row r="1912" spans="3:5" x14ac:dyDescent="0.15">
      <c r="C1912" s="255" t="s">
        <v>808</v>
      </c>
      <c r="D1912" s="59">
        <v>227.8</v>
      </c>
      <c r="E1912" s="59"/>
    </row>
    <row r="1913" spans="3:5" x14ac:dyDescent="0.15">
      <c r="C1913" s="255" t="s">
        <v>809</v>
      </c>
      <c r="D1913" s="59">
        <v>563.70000000000005</v>
      </c>
      <c r="E1913" s="59"/>
    </row>
    <row r="1914" spans="3:5" x14ac:dyDescent="0.15">
      <c r="C1914" s="255" t="s">
        <v>810</v>
      </c>
      <c r="D1914" s="59">
        <v>285.60000000000002</v>
      </c>
      <c r="E1914" s="59"/>
    </row>
    <row r="1915" spans="3:5" x14ac:dyDescent="0.15">
      <c r="C1915" s="255" t="s">
        <v>811</v>
      </c>
      <c r="D1915" s="59">
        <v>1296.7</v>
      </c>
      <c r="E1915" s="59"/>
    </row>
    <row r="1916" spans="3:5" x14ac:dyDescent="0.15">
      <c r="C1916" s="255" t="s">
        <v>812</v>
      </c>
      <c r="D1916" s="59">
        <v>177.9</v>
      </c>
      <c r="E1916" s="59"/>
    </row>
    <row r="1917" spans="3:5" x14ac:dyDescent="0.15">
      <c r="C1917" s="255" t="s">
        <v>813</v>
      </c>
      <c r="D1917" s="59">
        <v>72.099999999999994</v>
      </c>
      <c r="E1917" s="59"/>
    </row>
    <row r="1918" spans="3:5" x14ac:dyDescent="0.15">
      <c r="C1918" s="255" t="s">
        <v>814</v>
      </c>
      <c r="D1918" s="59">
        <v>311.5</v>
      </c>
      <c r="E1918" s="59"/>
    </row>
    <row r="1919" spans="3:5" x14ac:dyDescent="0.15">
      <c r="C1919" s="255" t="s">
        <v>815</v>
      </c>
      <c r="D1919" s="59">
        <v>1727.4</v>
      </c>
      <c r="E1919" s="59"/>
    </row>
    <row r="1920" spans="3:5" x14ac:dyDescent="0.15">
      <c r="C1920" s="255" t="s">
        <v>816</v>
      </c>
      <c r="D1920" s="59">
        <v>961.7</v>
      </c>
      <c r="E1920" s="59"/>
    </row>
    <row r="1921" spans="3:5" x14ac:dyDescent="0.15">
      <c r="C1921" s="255" t="s">
        <v>817</v>
      </c>
      <c r="D1921" s="59">
        <v>7011.1</v>
      </c>
      <c r="E1921" s="59"/>
    </row>
    <row r="1922" spans="3:5" x14ac:dyDescent="0.15">
      <c r="C1922" s="255" t="s">
        <v>818</v>
      </c>
      <c r="D1922" s="59">
        <v>669.3</v>
      </c>
      <c r="E1922" s="59"/>
    </row>
    <row r="1923" spans="3:5" x14ac:dyDescent="0.15">
      <c r="C1923" s="255" t="s">
        <v>819</v>
      </c>
      <c r="D1923" s="59">
        <v>3.8</v>
      </c>
      <c r="E1923" s="59"/>
    </row>
    <row r="1924" spans="3:5" x14ac:dyDescent="0.15">
      <c r="C1924" s="255" t="s">
        <v>820</v>
      </c>
      <c r="D1924" s="59">
        <v>2661.2</v>
      </c>
      <c r="E1924" s="59"/>
    </row>
    <row r="1925" spans="3:5" x14ac:dyDescent="0.15">
      <c r="C1925" s="255" t="s">
        <v>821</v>
      </c>
      <c r="D1925" s="59">
        <v>93.9</v>
      </c>
      <c r="E1925" s="59"/>
    </row>
    <row r="1926" spans="3:5" x14ac:dyDescent="0.15">
      <c r="C1926" s="255" t="s">
        <v>822</v>
      </c>
      <c r="D1926" s="59">
        <v>131.69999999999999</v>
      </c>
      <c r="E1926" s="59"/>
    </row>
    <row r="1927" spans="3:5" x14ac:dyDescent="0.15">
      <c r="C1927" s="255" t="s">
        <v>823</v>
      </c>
      <c r="D1927" s="59">
        <v>3.7</v>
      </c>
      <c r="E1927" s="59"/>
    </row>
    <row r="1928" spans="3:5" x14ac:dyDescent="0.15">
      <c r="C1928" s="255" t="s">
        <v>824</v>
      </c>
      <c r="D1928" s="59">
        <v>756.2</v>
      </c>
      <c r="E1928" s="59"/>
    </row>
    <row r="1929" spans="3:5" x14ac:dyDescent="0.15">
      <c r="C1929" s="255" t="s">
        <v>825</v>
      </c>
      <c r="D1929" s="59">
        <v>713.1</v>
      </c>
      <c r="E1929" s="59"/>
    </row>
    <row r="1930" spans="3:5" x14ac:dyDescent="0.15">
      <c r="C1930" s="255" t="s">
        <v>826</v>
      </c>
      <c r="D1930" s="59">
        <v>7.9</v>
      </c>
      <c r="E1930" s="59"/>
    </row>
    <row r="1931" spans="3:5" x14ac:dyDescent="0.15">
      <c r="C1931" s="255" t="s">
        <v>827</v>
      </c>
      <c r="D1931" s="59">
        <v>0.7</v>
      </c>
      <c r="E1931" s="59"/>
    </row>
    <row r="1932" spans="3:5" x14ac:dyDescent="0.15">
      <c r="C1932" s="255" t="s">
        <v>828</v>
      </c>
      <c r="D1932" s="59">
        <v>1670.6</v>
      </c>
      <c r="E1932" s="59"/>
    </row>
    <row r="1933" spans="3:5" x14ac:dyDescent="0.15">
      <c r="C1933" s="255" t="s">
        <v>829</v>
      </c>
      <c r="D1933" s="59">
        <v>10.1</v>
      </c>
      <c r="E1933" s="59"/>
    </row>
    <row r="1934" spans="3:5" x14ac:dyDescent="0.15">
      <c r="C1934" s="255" t="s">
        <v>830</v>
      </c>
      <c r="D1934" s="59">
        <v>288.89999999999998</v>
      </c>
      <c r="E1934" s="59"/>
    </row>
    <row r="1935" spans="3:5" x14ac:dyDescent="0.15">
      <c r="C1935" s="255" t="s">
        <v>831</v>
      </c>
      <c r="D1935" s="59">
        <v>0</v>
      </c>
      <c r="E1935" s="59"/>
    </row>
    <row r="1936" spans="3:5" x14ac:dyDescent="0.15">
      <c r="C1936" s="255" t="s">
        <v>832</v>
      </c>
      <c r="D1936" s="59">
        <v>18301.2</v>
      </c>
      <c r="E1936" s="59"/>
    </row>
    <row r="1937" spans="3:5" x14ac:dyDescent="0.15">
      <c r="C1937" s="255" t="s">
        <v>833</v>
      </c>
      <c r="D1937" s="59">
        <v>46.3</v>
      </c>
      <c r="E1937" s="59"/>
    </row>
    <row r="1938" spans="3:5" x14ac:dyDescent="0.15">
      <c r="C1938" s="255" t="s">
        <v>834</v>
      </c>
      <c r="D1938" s="59">
        <v>3295.7</v>
      </c>
      <c r="E1938" s="59"/>
    </row>
    <row r="1939" spans="3:5" x14ac:dyDescent="0.15">
      <c r="C1939" s="255" t="s">
        <v>835</v>
      </c>
      <c r="D1939" s="59">
        <v>5597</v>
      </c>
      <c r="E1939" s="59"/>
    </row>
    <row r="1940" spans="3:5" x14ac:dyDescent="0.15">
      <c r="C1940" s="255" t="s">
        <v>836</v>
      </c>
      <c r="D1940" s="59">
        <v>4565.8999999999996</v>
      </c>
      <c r="E1940" s="59"/>
    </row>
    <row r="1941" spans="3:5" x14ac:dyDescent="0.15">
      <c r="C1941" s="255" t="s">
        <v>837</v>
      </c>
      <c r="D1941" s="59">
        <v>630.70000000000005</v>
      </c>
      <c r="E1941" s="59"/>
    </row>
    <row r="1942" spans="3:5" x14ac:dyDescent="0.15">
      <c r="C1942" s="255" t="s">
        <v>838</v>
      </c>
      <c r="D1942" s="59">
        <v>144</v>
      </c>
      <c r="E1942" s="59"/>
    </row>
    <row r="1943" spans="3:5" x14ac:dyDescent="0.15">
      <c r="C1943" s="255" t="s">
        <v>839</v>
      </c>
      <c r="D1943" s="59">
        <v>159.4</v>
      </c>
      <c r="E1943" s="59"/>
    </row>
    <row r="1944" spans="3:5" x14ac:dyDescent="0.15">
      <c r="C1944" s="255" t="s">
        <v>840</v>
      </c>
      <c r="D1944" s="59">
        <v>27</v>
      </c>
      <c r="E1944" s="59"/>
    </row>
    <row r="1945" spans="3:5" x14ac:dyDescent="0.15">
      <c r="C1945" s="255" t="s">
        <v>841</v>
      </c>
      <c r="D1945" s="59">
        <v>1346.2</v>
      </c>
      <c r="E1945" s="59"/>
    </row>
    <row r="1946" spans="3:5" x14ac:dyDescent="0.15">
      <c r="C1946" s="255" t="s">
        <v>842</v>
      </c>
      <c r="D1946" s="59">
        <v>1521.3</v>
      </c>
      <c r="E1946" s="59"/>
    </row>
    <row r="1947" spans="3:5" x14ac:dyDescent="0.15">
      <c r="C1947" s="255" t="s">
        <v>843</v>
      </c>
      <c r="D1947" s="59">
        <v>963.1</v>
      </c>
      <c r="E1947" s="59"/>
    </row>
    <row r="1948" spans="3:5" x14ac:dyDescent="0.15">
      <c r="C1948" s="255" t="s">
        <v>844</v>
      </c>
      <c r="D1948" s="59">
        <v>4.7</v>
      </c>
      <c r="E1948" s="59"/>
    </row>
    <row r="1949" spans="3:5" x14ac:dyDescent="0.15">
      <c r="C1949" s="255" t="s">
        <v>845</v>
      </c>
      <c r="D1949" s="59">
        <v>119858</v>
      </c>
      <c r="E1949" s="59"/>
    </row>
    <row r="1950" spans="3:5" x14ac:dyDescent="0.15">
      <c r="C1950" s="255" t="s">
        <v>846</v>
      </c>
      <c r="D1950" s="59">
        <v>24264</v>
      </c>
      <c r="E1950" s="59"/>
    </row>
    <row r="1951" spans="3:5" x14ac:dyDescent="0.15">
      <c r="C1951" s="255" t="s">
        <v>847</v>
      </c>
      <c r="D1951" s="59">
        <v>59.2</v>
      </c>
      <c r="E1951" s="59"/>
    </row>
    <row r="1952" spans="3:5" x14ac:dyDescent="0.15">
      <c r="C1952" s="255" t="s">
        <v>848</v>
      </c>
      <c r="D1952" s="59">
        <v>49637.3</v>
      </c>
      <c r="E1952" s="59"/>
    </row>
    <row r="1953" spans="3:5" x14ac:dyDescent="0.15">
      <c r="C1953" s="255" t="s">
        <v>849</v>
      </c>
      <c r="D1953" s="59">
        <v>1120.5999999999999</v>
      </c>
      <c r="E1953" s="59"/>
    </row>
    <row r="1954" spans="3:5" x14ac:dyDescent="0.15">
      <c r="C1954" s="255" t="s">
        <v>850</v>
      </c>
      <c r="D1954" s="59">
        <v>2272.1999999999998</v>
      </c>
      <c r="E1954" s="59"/>
    </row>
    <row r="1955" spans="3:5" x14ac:dyDescent="0.15">
      <c r="C1955" s="255" t="s">
        <v>851</v>
      </c>
      <c r="D1955" s="59">
        <v>0</v>
      </c>
      <c r="E1955" s="59"/>
    </row>
    <row r="1956" spans="3:5" x14ac:dyDescent="0.15">
      <c r="C1956" s="255" t="s">
        <v>852</v>
      </c>
      <c r="D1956" s="59">
        <v>0</v>
      </c>
      <c r="E1956" s="59"/>
    </row>
    <row r="1957" spans="3:5" x14ac:dyDescent="0.15">
      <c r="C1957" s="255" t="s">
        <v>853</v>
      </c>
      <c r="D1957" s="59">
        <v>358.7</v>
      </c>
      <c r="E1957" s="59"/>
    </row>
    <row r="1958" spans="3:5" x14ac:dyDescent="0.15">
      <c r="C1958" s="255" t="s">
        <v>854</v>
      </c>
      <c r="D1958" s="59">
        <v>0</v>
      </c>
      <c r="E1958" s="59"/>
    </row>
    <row r="1959" spans="3:5" x14ac:dyDescent="0.15">
      <c r="C1959" s="255" t="s">
        <v>855</v>
      </c>
      <c r="D1959" s="59">
        <v>311.3</v>
      </c>
      <c r="E1959" s="59"/>
    </row>
    <row r="1960" spans="3:5" x14ac:dyDescent="0.15">
      <c r="C1960" s="255" t="s">
        <v>856</v>
      </c>
      <c r="D1960" s="59">
        <v>2570.6</v>
      </c>
      <c r="E1960" s="59"/>
    </row>
    <row r="1961" spans="3:5" x14ac:dyDescent="0.15">
      <c r="C1961" s="255" t="s">
        <v>857</v>
      </c>
      <c r="D1961" s="59">
        <v>2663.3</v>
      </c>
      <c r="E1961" s="59"/>
    </row>
    <row r="1962" spans="3:5" x14ac:dyDescent="0.15">
      <c r="C1962" s="255" t="s">
        <v>858</v>
      </c>
      <c r="D1962" s="59">
        <v>2819.3</v>
      </c>
      <c r="E1962" s="59"/>
    </row>
    <row r="1963" spans="3:5" x14ac:dyDescent="0.15">
      <c r="C1963" s="255" t="s">
        <v>859</v>
      </c>
      <c r="D1963" s="59">
        <v>3243</v>
      </c>
      <c r="E1963" s="59"/>
    </row>
    <row r="1964" spans="3:5" x14ac:dyDescent="0.15">
      <c r="C1964" s="255" t="s">
        <v>860</v>
      </c>
      <c r="D1964" s="59">
        <v>281.7</v>
      </c>
      <c r="E1964" s="59"/>
    </row>
    <row r="1965" spans="3:5" x14ac:dyDescent="0.15">
      <c r="C1965" s="255" t="s">
        <v>861</v>
      </c>
      <c r="D1965" s="59">
        <v>2422.8000000000002</v>
      </c>
      <c r="E1965" s="59"/>
    </row>
    <row r="1966" spans="3:5" x14ac:dyDescent="0.15">
      <c r="C1966" s="255" t="s">
        <v>862</v>
      </c>
      <c r="D1966" s="59">
        <v>9972.7999999999993</v>
      </c>
      <c r="E1966" s="59"/>
    </row>
    <row r="1967" spans="3:5" x14ac:dyDescent="0.15">
      <c r="C1967" s="255" t="s">
        <v>863</v>
      </c>
      <c r="D1967" s="59">
        <v>2515.9</v>
      </c>
      <c r="E1967" s="59"/>
    </row>
    <row r="1968" spans="3:5" x14ac:dyDescent="0.15">
      <c r="C1968" s="255" t="s">
        <v>864</v>
      </c>
      <c r="D1968" s="59">
        <v>101.6</v>
      </c>
      <c r="E1968" s="59"/>
    </row>
    <row r="1969" spans="3:5" x14ac:dyDescent="0.15">
      <c r="C1969" s="255" t="s">
        <v>865</v>
      </c>
      <c r="D1969" s="59">
        <v>978</v>
      </c>
      <c r="E1969" s="59"/>
    </row>
    <row r="1970" spans="3:5" x14ac:dyDescent="0.15">
      <c r="C1970" s="255" t="s">
        <v>866</v>
      </c>
      <c r="D1970" s="59">
        <v>12.4</v>
      </c>
      <c r="E1970" s="59"/>
    </row>
    <row r="1971" spans="3:5" x14ac:dyDescent="0.15">
      <c r="C1971" s="255" t="s">
        <v>867</v>
      </c>
      <c r="D1971" s="59">
        <v>2597.3000000000002</v>
      </c>
      <c r="E1971" s="59"/>
    </row>
    <row r="1972" spans="3:5" x14ac:dyDescent="0.15">
      <c r="C1972" s="255" t="s">
        <v>868</v>
      </c>
      <c r="D1972" s="59">
        <v>11656</v>
      </c>
      <c r="E1972" s="59"/>
    </row>
    <row r="1973" spans="3:5" x14ac:dyDescent="0.15">
      <c r="C1973" s="255" t="s">
        <v>869</v>
      </c>
      <c r="D1973" s="59">
        <v>25443.200000000001</v>
      </c>
      <c r="E1973" s="59"/>
    </row>
    <row r="1974" spans="3:5" x14ac:dyDescent="0.15">
      <c r="C1974" s="255" t="s">
        <v>870</v>
      </c>
      <c r="D1974" s="59">
        <v>6349.6</v>
      </c>
      <c r="E1974" s="59"/>
    </row>
    <row r="1975" spans="3:5" x14ac:dyDescent="0.15">
      <c r="C1975" s="255" t="s">
        <v>871</v>
      </c>
      <c r="D1975" s="59">
        <v>392.7</v>
      </c>
      <c r="E1975" s="59"/>
    </row>
    <row r="1976" spans="3:5" x14ac:dyDescent="0.15">
      <c r="C1976" s="255" t="s">
        <v>872</v>
      </c>
      <c r="D1976" s="59">
        <v>833.7</v>
      </c>
      <c r="E1976" s="59"/>
    </row>
    <row r="1977" spans="3:5" x14ac:dyDescent="0.15">
      <c r="C1977" s="255" t="s">
        <v>873</v>
      </c>
      <c r="D1977" s="59">
        <v>1966.7</v>
      </c>
      <c r="E1977" s="59"/>
    </row>
    <row r="1978" spans="3:5" x14ac:dyDescent="0.15">
      <c r="C1978" s="255" t="s">
        <v>874</v>
      </c>
      <c r="D1978" s="59">
        <v>647.4</v>
      </c>
      <c r="E1978" s="59"/>
    </row>
    <row r="1979" spans="3:5" x14ac:dyDescent="0.15">
      <c r="C1979" s="255" t="s">
        <v>875</v>
      </c>
      <c r="D1979" s="59">
        <v>45</v>
      </c>
      <c r="E1979" s="59"/>
    </row>
    <row r="1980" spans="3:5" x14ac:dyDescent="0.15">
      <c r="C1980" s="255" t="s">
        <v>876</v>
      </c>
      <c r="D1980" s="59">
        <v>73.7</v>
      </c>
      <c r="E1980" s="59"/>
    </row>
    <row r="1981" spans="3:5" x14ac:dyDescent="0.15">
      <c r="C1981" s="255" t="s">
        <v>877</v>
      </c>
      <c r="D1981" s="59">
        <v>2.9</v>
      </c>
      <c r="E1981" s="59"/>
    </row>
    <row r="1982" spans="3:5" x14ac:dyDescent="0.15">
      <c r="C1982" s="255" t="s">
        <v>878</v>
      </c>
      <c r="D1982" s="59">
        <v>123.8</v>
      </c>
      <c r="E1982" s="59"/>
    </row>
    <row r="1983" spans="3:5" x14ac:dyDescent="0.15">
      <c r="C1983" s="255" t="s">
        <v>879</v>
      </c>
      <c r="D1983" s="59">
        <v>1099.7</v>
      </c>
      <c r="E1983" s="59"/>
    </row>
    <row r="1984" spans="3:5" x14ac:dyDescent="0.15">
      <c r="C1984" s="255" t="s">
        <v>880</v>
      </c>
      <c r="D1984" s="59">
        <v>133.4</v>
      </c>
      <c r="E1984" s="59"/>
    </row>
    <row r="1985" spans="3:5" x14ac:dyDescent="0.15">
      <c r="C1985" s="255" t="s">
        <v>881</v>
      </c>
      <c r="D1985" s="59">
        <v>0</v>
      </c>
      <c r="E1985" s="59"/>
    </row>
    <row r="1986" spans="3:5" x14ac:dyDescent="0.15">
      <c r="C1986" s="255" t="s">
        <v>882</v>
      </c>
      <c r="D1986" s="59">
        <v>209.7</v>
      </c>
      <c r="E1986" s="59"/>
    </row>
    <row r="1987" spans="3:5" x14ac:dyDescent="0.15">
      <c r="C1987" s="255" t="s">
        <v>883</v>
      </c>
      <c r="D1987" s="59">
        <v>735.2</v>
      </c>
      <c r="E1987" s="59"/>
    </row>
    <row r="1988" spans="3:5" x14ac:dyDescent="0.15">
      <c r="C1988" s="255" t="s">
        <v>884</v>
      </c>
      <c r="D1988" s="59">
        <v>1373.4</v>
      </c>
      <c r="E1988" s="59"/>
    </row>
    <row r="1989" spans="3:5" x14ac:dyDescent="0.15">
      <c r="C1989" s="255" t="s">
        <v>885</v>
      </c>
      <c r="D1989" s="59">
        <v>417.6</v>
      </c>
      <c r="E1989" s="59"/>
    </row>
    <row r="1990" spans="3:5" x14ac:dyDescent="0.15">
      <c r="C1990" s="255" t="s">
        <v>886</v>
      </c>
      <c r="D1990" s="59">
        <v>200.5</v>
      </c>
      <c r="E1990" s="59"/>
    </row>
    <row r="1991" spans="3:5" x14ac:dyDescent="0.15">
      <c r="C1991" s="255" t="s">
        <v>887</v>
      </c>
      <c r="D1991" s="59">
        <v>152.30000000000001</v>
      </c>
      <c r="E1991" s="59"/>
    </row>
    <row r="1992" spans="3:5" x14ac:dyDescent="0.15">
      <c r="C1992" s="255" t="s">
        <v>888</v>
      </c>
      <c r="D1992" s="59">
        <v>0.7</v>
      </c>
      <c r="E1992" s="59"/>
    </row>
    <row r="1993" spans="3:5" x14ac:dyDescent="0.15">
      <c r="C1993" s="255" t="s">
        <v>889</v>
      </c>
      <c r="D1993" s="59">
        <v>360</v>
      </c>
      <c r="E1993" s="59"/>
    </row>
    <row r="1994" spans="3:5" x14ac:dyDescent="0.15">
      <c r="C1994" s="255" t="s">
        <v>890</v>
      </c>
      <c r="D1994" s="59">
        <v>324.2</v>
      </c>
      <c r="E1994" s="59"/>
    </row>
    <row r="1995" spans="3:5" x14ac:dyDescent="0.15">
      <c r="C1995" s="255" t="s">
        <v>891</v>
      </c>
      <c r="D1995" s="59">
        <v>63.9</v>
      </c>
      <c r="E1995" s="59"/>
    </row>
    <row r="1996" spans="3:5" x14ac:dyDescent="0.15">
      <c r="C1996" s="255" t="s">
        <v>892</v>
      </c>
      <c r="D1996" s="59">
        <v>8</v>
      </c>
      <c r="E1996" s="59"/>
    </row>
    <row r="1997" spans="3:5" x14ac:dyDescent="0.15">
      <c r="C1997" s="255" t="s">
        <v>893</v>
      </c>
      <c r="D1997" s="59">
        <v>274.10000000000002</v>
      </c>
      <c r="E1997" s="59"/>
    </row>
    <row r="1998" spans="3:5" x14ac:dyDescent="0.15">
      <c r="C1998" s="255" t="s">
        <v>894</v>
      </c>
      <c r="D1998" s="59">
        <v>169.1</v>
      </c>
      <c r="E1998" s="59"/>
    </row>
    <row r="1999" spans="3:5" x14ac:dyDescent="0.15">
      <c r="C1999" s="255" t="s">
        <v>895</v>
      </c>
      <c r="D1999" s="59">
        <v>599.9</v>
      </c>
      <c r="E1999" s="59"/>
    </row>
    <row r="2000" spans="3:5" x14ac:dyDescent="0.15">
      <c r="C2000" s="255" t="s">
        <v>896</v>
      </c>
      <c r="D2000" s="59">
        <v>18.899999999999999</v>
      </c>
      <c r="E2000" s="59"/>
    </row>
    <row r="2001" spans="3:5" x14ac:dyDescent="0.15">
      <c r="C2001" s="255" t="s">
        <v>897</v>
      </c>
      <c r="D2001" s="59">
        <v>1448.1</v>
      </c>
      <c r="E2001" s="59"/>
    </row>
    <row r="2002" spans="3:5" x14ac:dyDescent="0.15">
      <c r="C2002" s="255" t="s">
        <v>898</v>
      </c>
      <c r="D2002" s="59">
        <v>583.6</v>
      </c>
      <c r="E2002" s="59"/>
    </row>
    <row r="2003" spans="3:5" x14ac:dyDescent="0.15">
      <c r="C2003" s="255" t="s">
        <v>899</v>
      </c>
      <c r="D2003" s="59">
        <v>348.3</v>
      </c>
      <c r="E2003" s="59"/>
    </row>
    <row r="2004" spans="3:5" x14ac:dyDescent="0.15">
      <c r="C2004" s="255" t="s">
        <v>900</v>
      </c>
      <c r="D2004" s="59">
        <v>594.4</v>
      </c>
      <c r="E2004" s="59"/>
    </row>
    <row r="2005" spans="3:5" x14ac:dyDescent="0.15">
      <c r="C2005" s="255" t="s">
        <v>901</v>
      </c>
      <c r="D2005" s="59">
        <v>1267.5</v>
      </c>
      <c r="E2005" s="59"/>
    </row>
    <row r="2006" spans="3:5" x14ac:dyDescent="0.15">
      <c r="C2006" s="255" t="s">
        <v>902</v>
      </c>
      <c r="D2006" s="59">
        <v>3.4</v>
      </c>
      <c r="E2006" s="59"/>
    </row>
    <row r="2007" spans="3:5" x14ac:dyDescent="0.15">
      <c r="C2007" s="255" t="s">
        <v>903</v>
      </c>
      <c r="D2007" s="59">
        <v>1220.7</v>
      </c>
      <c r="E2007" s="59"/>
    </row>
    <row r="2008" spans="3:5" x14ac:dyDescent="0.15">
      <c r="C2008" s="255" t="s">
        <v>904</v>
      </c>
      <c r="D2008" s="59">
        <v>1703.6</v>
      </c>
      <c r="E2008" s="59"/>
    </row>
    <row r="2009" spans="3:5" x14ac:dyDescent="0.15">
      <c r="C2009" s="255" t="s">
        <v>905</v>
      </c>
      <c r="D2009" s="59">
        <v>379.7</v>
      </c>
      <c r="E2009" s="59"/>
    </row>
    <row r="2010" spans="3:5" x14ac:dyDescent="0.15">
      <c r="C2010" s="255" t="s">
        <v>906</v>
      </c>
      <c r="D2010" s="59">
        <v>139</v>
      </c>
      <c r="E2010" s="59"/>
    </row>
    <row r="2011" spans="3:5" x14ac:dyDescent="0.15">
      <c r="C2011" s="255" t="s">
        <v>907</v>
      </c>
      <c r="D2011" s="59">
        <v>1178.5999999999999</v>
      </c>
      <c r="E2011" s="59"/>
    </row>
    <row r="2012" spans="3:5" x14ac:dyDescent="0.15">
      <c r="C2012" s="255" t="s">
        <v>908</v>
      </c>
      <c r="D2012" s="59">
        <v>6607</v>
      </c>
      <c r="E2012" s="59"/>
    </row>
    <row r="2013" spans="3:5" x14ac:dyDescent="0.15">
      <c r="C2013" s="255" t="s">
        <v>909</v>
      </c>
      <c r="D2013" s="59">
        <v>2339.8000000000002</v>
      </c>
      <c r="E2013" s="59"/>
    </row>
    <row r="2014" spans="3:5" x14ac:dyDescent="0.15">
      <c r="C2014" s="255" t="s">
        <v>910</v>
      </c>
      <c r="D2014" s="59">
        <v>2.6</v>
      </c>
      <c r="E2014" s="59"/>
    </row>
    <row r="2015" spans="3:5" x14ac:dyDescent="0.15">
      <c r="C2015" s="255" t="s">
        <v>911</v>
      </c>
      <c r="D2015" s="59">
        <v>101.2</v>
      </c>
      <c r="E2015" s="59"/>
    </row>
    <row r="2016" spans="3:5" x14ac:dyDescent="0.15">
      <c r="C2016" s="255" t="s">
        <v>912</v>
      </c>
      <c r="D2016" s="59">
        <v>516.29999999999995</v>
      </c>
      <c r="E2016" s="59"/>
    </row>
    <row r="2017" spans="3:5" x14ac:dyDescent="0.15">
      <c r="C2017" s="255" t="s">
        <v>913</v>
      </c>
      <c r="D2017" s="59">
        <v>0</v>
      </c>
      <c r="E2017" s="59"/>
    </row>
    <row r="2018" spans="3:5" x14ac:dyDescent="0.15">
      <c r="C2018" s="255" t="s">
        <v>914</v>
      </c>
      <c r="D2018" s="59">
        <v>1.4</v>
      </c>
      <c r="E2018" s="59"/>
    </row>
    <row r="2019" spans="3:5" x14ac:dyDescent="0.15">
      <c r="C2019" s="255" t="s">
        <v>915</v>
      </c>
      <c r="D2019" s="59">
        <v>11.3</v>
      </c>
      <c r="E2019" s="59"/>
    </row>
    <row r="2020" spans="3:5" x14ac:dyDescent="0.15">
      <c r="C2020" s="255" t="s">
        <v>916</v>
      </c>
      <c r="D2020" s="59">
        <v>126.6</v>
      </c>
      <c r="E2020" s="59"/>
    </row>
    <row r="2021" spans="3:5" x14ac:dyDescent="0.15">
      <c r="C2021" s="255" t="s">
        <v>917</v>
      </c>
      <c r="D2021" s="59">
        <v>44</v>
      </c>
      <c r="E2021" s="59"/>
    </row>
    <row r="2022" spans="3:5" x14ac:dyDescent="0.15">
      <c r="C2022" s="255" t="s">
        <v>918</v>
      </c>
      <c r="D2022" s="59">
        <v>2182.9</v>
      </c>
      <c r="E2022" s="59"/>
    </row>
    <row r="2023" spans="3:5" x14ac:dyDescent="0.15">
      <c r="C2023" s="255" t="s">
        <v>919</v>
      </c>
      <c r="D2023" s="59">
        <v>4.2</v>
      </c>
      <c r="E2023" s="59"/>
    </row>
    <row r="2024" spans="3:5" x14ac:dyDescent="0.15">
      <c r="C2024" s="255" t="s">
        <v>920</v>
      </c>
      <c r="D2024" s="59">
        <v>1276.5</v>
      </c>
      <c r="E2024" s="59"/>
    </row>
    <row r="2025" spans="3:5" x14ac:dyDescent="0.15">
      <c r="C2025" s="255" t="s">
        <v>921</v>
      </c>
      <c r="D2025" s="59">
        <v>0.3</v>
      </c>
      <c r="E2025" s="59"/>
    </row>
    <row r="2026" spans="3:5" x14ac:dyDescent="0.15">
      <c r="C2026" s="255" t="s">
        <v>922</v>
      </c>
      <c r="D2026" s="59">
        <v>59157.1</v>
      </c>
      <c r="E2026" s="59"/>
    </row>
    <row r="2027" spans="3:5" x14ac:dyDescent="0.15">
      <c r="C2027" s="255" t="s">
        <v>923</v>
      </c>
      <c r="D2027" s="59">
        <v>9139.7000000000007</v>
      </c>
      <c r="E2027" s="59"/>
    </row>
    <row r="2028" spans="3:5" x14ac:dyDescent="0.15">
      <c r="C2028" s="255" t="s">
        <v>924</v>
      </c>
      <c r="D2028" s="59">
        <v>10878.1</v>
      </c>
      <c r="E2028" s="59"/>
    </row>
    <row r="2029" spans="3:5" x14ac:dyDescent="0.15">
      <c r="C2029" s="255" t="s">
        <v>925</v>
      </c>
      <c r="D2029" s="59">
        <v>962.4</v>
      </c>
      <c r="E2029" s="59"/>
    </row>
    <row r="2030" spans="3:5" x14ac:dyDescent="0.15">
      <c r="C2030" s="255" t="s">
        <v>926</v>
      </c>
      <c r="D2030" s="59">
        <v>1815.8</v>
      </c>
      <c r="E2030" s="59"/>
    </row>
    <row r="2031" spans="3:5" x14ac:dyDescent="0.15">
      <c r="C2031" s="255" t="s">
        <v>927</v>
      </c>
      <c r="D2031" s="59">
        <v>506.1</v>
      </c>
      <c r="E2031" s="59"/>
    </row>
    <row r="2032" spans="3:5" x14ac:dyDescent="0.15">
      <c r="C2032" s="255" t="s">
        <v>928</v>
      </c>
      <c r="D2032" s="59">
        <v>812</v>
      </c>
      <c r="E2032" s="59"/>
    </row>
    <row r="2033" spans="3:5" x14ac:dyDescent="0.15">
      <c r="C2033" s="255" t="s">
        <v>929</v>
      </c>
      <c r="D2033" s="59">
        <v>427</v>
      </c>
      <c r="E2033" s="59"/>
    </row>
    <row r="2034" spans="3:5" x14ac:dyDescent="0.15">
      <c r="C2034" s="255" t="s">
        <v>930</v>
      </c>
      <c r="D2034" s="59">
        <v>2604.3000000000002</v>
      </c>
      <c r="E2034" s="59"/>
    </row>
    <row r="2035" spans="3:5" x14ac:dyDescent="0.15">
      <c r="C2035" s="255" t="s">
        <v>931</v>
      </c>
      <c r="D2035" s="59">
        <v>7520.7</v>
      </c>
      <c r="E2035" s="59"/>
    </row>
    <row r="2036" spans="3:5" x14ac:dyDescent="0.15">
      <c r="C2036" s="255" t="s">
        <v>932</v>
      </c>
      <c r="D2036" s="59">
        <v>0</v>
      </c>
      <c r="E2036" s="59"/>
    </row>
    <row r="2037" spans="3:5" x14ac:dyDescent="0.15">
      <c r="C2037" s="255" t="s">
        <v>933</v>
      </c>
      <c r="D2037" s="59">
        <v>35.4</v>
      </c>
      <c r="E2037" s="59"/>
    </row>
    <row r="2038" spans="3:5" x14ac:dyDescent="0.15">
      <c r="C2038" s="255" t="s">
        <v>934</v>
      </c>
      <c r="D2038" s="59">
        <v>7309</v>
      </c>
      <c r="E2038" s="59"/>
    </row>
    <row r="2039" spans="3:5" x14ac:dyDescent="0.15">
      <c r="C2039" s="255" t="s">
        <v>935</v>
      </c>
      <c r="D2039" s="59">
        <v>4860.7</v>
      </c>
      <c r="E2039" s="59"/>
    </row>
    <row r="2040" spans="3:5" x14ac:dyDescent="0.15">
      <c r="C2040" s="255" t="s">
        <v>936</v>
      </c>
      <c r="D2040" s="59">
        <v>5430.7</v>
      </c>
      <c r="E2040" s="59"/>
    </row>
    <row r="2041" spans="3:5" x14ac:dyDescent="0.15">
      <c r="C2041" s="255" t="s">
        <v>937</v>
      </c>
      <c r="D2041" s="59">
        <v>754.4</v>
      </c>
      <c r="E2041" s="59"/>
    </row>
    <row r="2042" spans="3:5" x14ac:dyDescent="0.15">
      <c r="C2042" s="255" t="s">
        <v>938</v>
      </c>
      <c r="D2042" s="59">
        <v>352.1</v>
      </c>
      <c r="E2042" s="59"/>
    </row>
    <row r="2043" spans="3:5" x14ac:dyDescent="0.15">
      <c r="C2043" s="255" t="s">
        <v>939</v>
      </c>
      <c r="D2043" s="59">
        <v>6</v>
      </c>
      <c r="E2043" s="59"/>
    </row>
    <row r="2044" spans="3:5" x14ac:dyDescent="0.15">
      <c r="C2044" s="255" t="s">
        <v>940</v>
      </c>
      <c r="D2044" s="59">
        <v>83.7</v>
      </c>
      <c r="E2044" s="59"/>
    </row>
    <row r="2045" spans="3:5" x14ac:dyDescent="0.15">
      <c r="C2045" s="255" t="s">
        <v>941</v>
      </c>
      <c r="D2045" s="59">
        <v>451.6</v>
      </c>
      <c r="E2045" s="59"/>
    </row>
    <row r="2046" spans="3:5" x14ac:dyDescent="0.15">
      <c r="C2046" s="255" t="s">
        <v>942</v>
      </c>
      <c r="D2046" s="59">
        <v>0</v>
      </c>
      <c r="E2046" s="59"/>
    </row>
    <row r="2047" spans="3:5" x14ac:dyDescent="0.15">
      <c r="C2047" s="255" t="s">
        <v>943</v>
      </c>
      <c r="D2047" s="59">
        <v>2181.3000000000002</v>
      </c>
      <c r="E2047" s="59"/>
    </row>
    <row r="2048" spans="3:5" x14ac:dyDescent="0.15">
      <c r="C2048" s="255" t="s">
        <v>944</v>
      </c>
      <c r="D2048" s="59">
        <v>882.1</v>
      </c>
      <c r="E2048" s="59"/>
    </row>
    <row r="2049" spans="3:5" x14ac:dyDescent="0.15">
      <c r="C2049" s="255" t="s">
        <v>945</v>
      </c>
      <c r="D2049" s="59">
        <v>2072.8000000000002</v>
      </c>
      <c r="E2049" s="59"/>
    </row>
    <row r="2050" spans="3:5" x14ac:dyDescent="0.15">
      <c r="C2050" s="255" t="s">
        <v>946</v>
      </c>
      <c r="D2050" s="59">
        <v>55.5</v>
      </c>
      <c r="E2050" s="59"/>
    </row>
    <row r="2051" spans="3:5" x14ac:dyDescent="0.15">
      <c r="C2051" s="255" t="s">
        <v>947</v>
      </c>
      <c r="D2051" s="59">
        <v>15.6</v>
      </c>
      <c r="E2051" s="59"/>
    </row>
    <row r="2052" spans="3:5" x14ac:dyDescent="0.15">
      <c r="C2052" s="255" t="s">
        <v>948</v>
      </c>
      <c r="D2052" s="59">
        <v>11237.9</v>
      </c>
      <c r="E2052" s="59"/>
    </row>
    <row r="2053" spans="3:5" x14ac:dyDescent="0.15">
      <c r="C2053" s="255" t="s">
        <v>949</v>
      </c>
      <c r="D2053" s="59">
        <v>123.1</v>
      </c>
      <c r="E2053" s="59"/>
    </row>
    <row r="2054" spans="3:5" x14ac:dyDescent="0.15">
      <c r="C2054" s="255" t="s">
        <v>950</v>
      </c>
      <c r="D2054" s="59">
        <v>0.6</v>
      </c>
      <c r="E2054" s="59"/>
    </row>
    <row r="2055" spans="3:5" x14ac:dyDescent="0.15">
      <c r="C2055" s="255" t="s">
        <v>951</v>
      </c>
      <c r="D2055" s="59">
        <v>2615</v>
      </c>
      <c r="E2055" s="59"/>
    </row>
    <row r="2056" spans="3:5" x14ac:dyDescent="0.15">
      <c r="C2056" s="255" t="s">
        <v>952</v>
      </c>
      <c r="D2056" s="59">
        <v>56.4</v>
      </c>
      <c r="E2056" s="59"/>
    </row>
    <row r="2057" spans="3:5" x14ac:dyDescent="0.15">
      <c r="C2057" s="255" t="s">
        <v>953</v>
      </c>
      <c r="D2057" s="59">
        <v>133.4</v>
      </c>
      <c r="E2057" s="59"/>
    </row>
    <row r="2058" spans="3:5" x14ac:dyDescent="0.15">
      <c r="C2058" s="255" t="s">
        <v>954</v>
      </c>
      <c r="D2058" s="59">
        <v>3900.8</v>
      </c>
      <c r="E2058" s="59"/>
    </row>
    <row r="2059" spans="3:5" x14ac:dyDescent="0.15">
      <c r="C2059" s="255" t="s">
        <v>955</v>
      </c>
      <c r="D2059" s="59">
        <v>1589</v>
      </c>
      <c r="E2059" s="59"/>
    </row>
    <row r="2060" spans="3:5" x14ac:dyDescent="0.15">
      <c r="C2060" s="255" t="s">
        <v>956</v>
      </c>
      <c r="D2060" s="59">
        <v>2819.6</v>
      </c>
      <c r="E2060" s="59"/>
    </row>
    <row r="2061" spans="3:5" x14ac:dyDescent="0.15">
      <c r="C2061" s="255" t="s">
        <v>957</v>
      </c>
      <c r="D2061" s="59">
        <v>35426.699999999997</v>
      </c>
      <c r="E2061" s="59"/>
    </row>
    <row r="2062" spans="3:5" x14ac:dyDescent="0.15">
      <c r="C2062" s="255" t="s">
        <v>958</v>
      </c>
      <c r="D2062" s="59">
        <v>273.8</v>
      </c>
      <c r="E2062" s="59"/>
    </row>
    <row r="2063" spans="3:5" x14ac:dyDescent="0.15">
      <c r="C2063" s="255" t="s">
        <v>959</v>
      </c>
      <c r="D2063" s="59">
        <v>1730.6</v>
      </c>
      <c r="E2063" s="59"/>
    </row>
    <row r="2064" spans="3:5" x14ac:dyDescent="0.15">
      <c r="C2064" s="255" t="s">
        <v>960</v>
      </c>
      <c r="D2064" s="59">
        <v>15.5</v>
      </c>
      <c r="E2064" s="59"/>
    </row>
    <row r="2065" spans="3:5" x14ac:dyDescent="0.15">
      <c r="C2065" s="255" t="s">
        <v>961</v>
      </c>
      <c r="D2065" s="59">
        <v>1.7</v>
      </c>
      <c r="E2065" s="59"/>
    </row>
    <row r="2066" spans="3:5" x14ac:dyDescent="0.15">
      <c r="C2066" s="255" t="s">
        <v>962</v>
      </c>
      <c r="D2066" s="59">
        <v>0</v>
      </c>
      <c r="E2066" s="59"/>
    </row>
    <row r="2067" spans="3:5" x14ac:dyDescent="0.15">
      <c r="C2067" s="255" t="s">
        <v>963</v>
      </c>
      <c r="D2067" s="59">
        <v>1959.6</v>
      </c>
      <c r="E2067" s="59"/>
    </row>
    <row r="2068" spans="3:5" x14ac:dyDescent="0.15">
      <c r="C2068" s="255" t="s">
        <v>964</v>
      </c>
      <c r="D2068" s="59">
        <v>563</v>
      </c>
      <c r="E2068" s="59"/>
    </row>
    <row r="2069" spans="3:5" x14ac:dyDescent="0.15">
      <c r="C2069" s="255" t="s">
        <v>965</v>
      </c>
      <c r="D2069" s="59">
        <v>17.100000000000001</v>
      </c>
      <c r="E2069" s="59"/>
    </row>
    <row r="2070" spans="3:5" x14ac:dyDescent="0.15">
      <c r="C2070" s="255" t="s">
        <v>966</v>
      </c>
      <c r="D2070" s="59">
        <v>18</v>
      </c>
      <c r="E2070" s="59"/>
    </row>
    <row r="2071" spans="3:5" x14ac:dyDescent="0.15">
      <c r="C2071" s="255" t="s">
        <v>967</v>
      </c>
      <c r="D2071" s="59">
        <v>318.89999999999998</v>
      </c>
      <c r="E2071" s="59"/>
    </row>
    <row r="2072" spans="3:5" x14ac:dyDescent="0.15">
      <c r="C2072" s="255" t="s">
        <v>968</v>
      </c>
      <c r="D2072" s="59">
        <v>0</v>
      </c>
      <c r="E2072" s="59"/>
    </row>
    <row r="2073" spans="3:5" x14ac:dyDescent="0.15">
      <c r="C2073" s="255" t="s">
        <v>969</v>
      </c>
      <c r="D2073" s="59">
        <v>68.3</v>
      </c>
      <c r="E2073" s="59"/>
    </row>
    <row r="2074" spans="3:5" x14ac:dyDescent="0.15">
      <c r="C2074" s="255" t="s">
        <v>970</v>
      </c>
      <c r="D2074" s="59">
        <v>3.3</v>
      </c>
      <c r="E2074" s="59"/>
    </row>
    <row r="2075" spans="3:5" x14ac:dyDescent="0.15">
      <c r="C2075" s="255" t="s">
        <v>971</v>
      </c>
      <c r="D2075" s="59">
        <v>492</v>
      </c>
      <c r="E2075" s="59"/>
    </row>
    <row r="2076" spans="3:5" x14ac:dyDescent="0.15">
      <c r="C2076" s="255" t="s">
        <v>972</v>
      </c>
      <c r="D2076" s="59">
        <v>581.70000000000005</v>
      </c>
      <c r="E2076" s="59"/>
    </row>
    <row r="2077" spans="3:5" x14ac:dyDescent="0.15">
      <c r="C2077" s="255" t="s">
        <v>973</v>
      </c>
      <c r="D2077" s="59">
        <v>127.4</v>
      </c>
      <c r="E2077" s="59"/>
    </row>
    <row r="2078" spans="3:5" x14ac:dyDescent="0.15">
      <c r="C2078" s="255" t="s">
        <v>974</v>
      </c>
      <c r="D2078" s="59">
        <v>31</v>
      </c>
      <c r="E2078" s="59"/>
    </row>
    <row r="2079" spans="3:5" x14ac:dyDescent="0.15">
      <c r="C2079" s="255" t="s">
        <v>975</v>
      </c>
      <c r="D2079" s="59">
        <v>8</v>
      </c>
      <c r="E2079" s="59"/>
    </row>
    <row r="2080" spans="3:5" x14ac:dyDescent="0.15">
      <c r="C2080" s="255" t="s">
        <v>976</v>
      </c>
      <c r="D2080" s="59">
        <v>44.6</v>
      </c>
      <c r="E2080" s="59"/>
    </row>
    <row r="2081" spans="3:5" x14ac:dyDescent="0.15">
      <c r="C2081" s="255" t="s">
        <v>977</v>
      </c>
      <c r="D2081" s="59">
        <v>1414.9</v>
      </c>
      <c r="E2081" s="59"/>
    </row>
    <row r="2082" spans="3:5" x14ac:dyDescent="0.15">
      <c r="C2082" s="255" t="s">
        <v>978</v>
      </c>
      <c r="D2082" s="59">
        <v>2124</v>
      </c>
      <c r="E2082" s="59"/>
    </row>
    <row r="2083" spans="3:5" x14ac:dyDescent="0.15">
      <c r="C2083" s="255" t="s">
        <v>979</v>
      </c>
      <c r="D2083" s="59">
        <v>363</v>
      </c>
      <c r="E2083" s="59"/>
    </row>
    <row r="2084" spans="3:5" x14ac:dyDescent="0.15">
      <c r="C2084" s="255" t="s">
        <v>980</v>
      </c>
      <c r="D2084" s="59">
        <v>702.4</v>
      </c>
      <c r="E2084" s="59"/>
    </row>
    <row r="2085" spans="3:5" x14ac:dyDescent="0.15">
      <c r="C2085" s="255" t="s">
        <v>981</v>
      </c>
      <c r="D2085" s="59">
        <v>0</v>
      </c>
      <c r="E2085" s="59"/>
    </row>
    <row r="2086" spans="3:5" x14ac:dyDescent="0.15">
      <c r="C2086" s="255" t="s">
        <v>982</v>
      </c>
      <c r="D2086" s="59">
        <v>656.7</v>
      </c>
      <c r="E2086" s="59"/>
    </row>
    <row r="2087" spans="3:5" x14ac:dyDescent="0.15">
      <c r="C2087" s="255" t="s">
        <v>983</v>
      </c>
      <c r="D2087" s="59">
        <v>1554.8</v>
      </c>
      <c r="E2087" s="59"/>
    </row>
    <row r="2088" spans="3:5" x14ac:dyDescent="0.15">
      <c r="C2088" s="255" t="s">
        <v>984</v>
      </c>
      <c r="D2088" s="59">
        <v>206</v>
      </c>
      <c r="E2088" s="59"/>
    </row>
    <row r="2089" spans="3:5" x14ac:dyDescent="0.15">
      <c r="C2089" s="255" t="s">
        <v>985</v>
      </c>
      <c r="D2089" s="59">
        <v>1413.7</v>
      </c>
      <c r="E2089" s="59"/>
    </row>
    <row r="2090" spans="3:5" x14ac:dyDescent="0.15">
      <c r="C2090" s="255" t="s">
        <v>986</v>
      </c>
      <c r="D2090" s="59">
        <v>1171.9000000000001</v>
      </c>
      <c r="E2090" s="59"/>
    </row>
    <row r="2091" spans="3:5" x14ac:dyDescent="0.15">
      <c r="C2091" s="255" t="s">
        <v>987</v>
      </c>
      <c r="D2091" s="59">
        <v>972.7</v>
      </c>
      <c r="E2091" s="59"/>
    </row>
    <row r="2092" spans="3:5" x14ac:dyDescent="0.15">
      <c r="C2092" s="255" t="s">
        <v>988</v>
      </c>
      <c r="D2092" s="59">
        <v>1919.7</v>
      </c>
      <c r="E2092" s="59"/>
    </row>
    <row r="2093" spans="3:5" x14ac:dyDescent="0.15">
      <c r="C2093" s="255" t="s">
        <v>989</v>
      </c>
      <c r="D2093" s="59">
        <v>1092.0999999999999</v>
      </c>
      <c r="E2093" s="59"/>
    </row>
    <row r="2094" spans="3:5" x14ac:dyDescent="0.15">
      <c r="C2094" s="255" t="s">
        <v>990</v>
      </c>
      <c r="D2094" s="59">
        <v>697.4</v>
      </c>
      <c r="E2094" s="59"/>
    </row>
    <row r="2095" spans="3:5" x14ac:dyDescent="0.15">
      <c r="C2095" s="255" t="s">
        <v>991</v>
      </c>
      <c r="D2095" s="59">
        <v>6541.6</v>
      </c>
      <c r="E2095" s="59"/>
    </row>
    <row r="2096" spans="3:5" x14ac:dyDescent="0.15">
      <c r="C2096" s="255" t="s">
        <v>992</v>
      </c>
      <c r="D2096" s="59">
        <v>19.3</v>
      </c>
      <c r="E2096" s="59"/>
    </row>
    <row r="2097" spans="3:5" x14ac:dyDescent="0.15">
      <c r="C2097" s="255" t="s">
        <v>993</v>
      </c>
      <c r="D2097" s="59">
        <v>412.6</v>
      </c>
      <c r="E2097" s="59"/>
    </row>
    <row r="2098" spans="3:5" x14ac:dyDescent="0.15">
      <c r="C2098" s="255" t="s">
        <v>994</v>
      </c>
      <c r="D2098" s="59">
        <v>0</v>
      </c>
      <c r="E2098" s="59"/>
    </row>
    <row r="2099" spans="3:5" x14ac:dyDescent="0.15">
      <c r="C2099" s="255" t="s">
        <v>995</v>
      </c>
      <c r="D2099" s="59">
        <v>634.29999999999995</v>
      </c>
      <c r="E2099" s="59"/>
    </row>
    <row r="2100" spans="3:5" x14ac:dyDescent="0.15">
      <c r="C2100" s="255" t="s">
        <v>996</v>
      </c>
      <c r="D2100" s="59">
        <v>637.20000000000005</v>
      </c>
      <c r="E2100" s="59"/>
    </row>
    <row r="2101" spans="3:5" x14ac:dyDescent="0.15">
      <c r="C2101" s="255" t="s">
        <v>997</v>
      </c>
      <c r="D2101" s="59">
        <v>355.3</v>
      </c>
      <c r="E2101" s="59"/>
    </row>
    <row r="2102" spans="3:5" x14ac:dyDescent="0.15">
      <c r="C2102" s="255" t="s">
        <v>998</v>
      </c>
      <c r="D2102" s="59">
        <v>99.7</v>
      </c>
      <c r="E2102" s="59"/>
    </row>
    <row r="2103" spans="3:5" x14ac:dyDescent="0.15">
      <c r="C2103" s="255" t="s">
        <v>999</v>
      </c>
      <c r="D2103" s="59">
        <v>8.6999999999999993</v>
      </c>
      <c r="E2103" s="59"/>
    </row>
    <row r="2104" spans="3:5" x14ac:dyDescent="0.15">
      <c r="C2104" s="255" t="s">
        <v>1000</v>
      </c>
      <c r="D2104" s="59">
        <v>472.2</v>
      </c>
      <c r="E2104" s="59"/>
    </row>
    <row r="2105" spans="3:5" x14ac:dyDescent="0.15">
      <c r="C2105" s="255" t="s">
        <v>1001</v>
      </c>
      <c r="D2105" s="59">
        <v>320.10000000000002</v>
      </c>
      <c r="E2105" s="59"/>
    </row>
    <row r="2106" spans="3:5" x14ac:dyDescent="0.15">
      <c r="C2106" s="255" t="s">
        <v>1002</v>
      </c>
      <c r="D2106" s="59">
        <v>202.3</v>
      </c>
      <c r="E2106" s="59"/>
    </row>
    <row r="2107" spans="3:5" x14ac:dyDescent="0.15">
      <c r="C2107" s="255" t="s">
        <v>1003</v>
      </c>
      <c r="D2107" s="59">
        <v>150.5</v>
      </c>
      <c r="E2107" s="59"/>
    </row>
    <row r="2108" spans="3:5" x14ac:dyDescent="0.15">
      <c r="C2108" s="255" t="s">
        <v>1004</v>
      </c>
      <c r="D2108" s="59">
        <v>159.19999999999999</v>
      </c>
      <c r="E2108" s="59"/>
    </row>
    <row r="2109" spans="3:5" x14ac:dyDescent="0.15">
      <c r="C2109" s="255" t="s">
        <v>1005</v>
      </c>
      <c r="D2109" s="59">
        <v>22.6</v>
      </c>
      <c r="E2109" s="59"/>
    </row>
    <row r="2110" spans="3:5" x14ac:dyDescent="0.15">
      <c r="C2110" s="255" t="s">
        <v>1006</v>
      </c>
      <c r="D2110" s="59">
        <v>4846.6000000000004</v>
      </c>
      <c r="E2110" s="59"/>
    </row>
    <row r="2111" spans="3:5" x14ac:dyDescent="0.15">
      <c r="C2111" s="255" t="s">
        <v>1007</v>
      </c>
      <c r="D2111" s="59">
        <v>3519.2</v>
      </c>
      <c r="E2111" s="59"/>
    </row>
    <row r="2112" spans="3:5" x14ac:dyDescent="0.15">
      <c r="C2112" s="255" t="s">
        <v>1008</v>
      </c>
      <c r="D2112" s="59">
        <v>2231.4</v>
      </c>
      <c r="E2112" s="59"/>
    </row>
    <row r="2113" spans="3:5" x14ac:dyDescent="0.15">
      <c r="C2113" s="255" t="s">
        <v>1009</v>
      </c>
      <c r="D2113" s="59">
        <v>828.6</v>
      </c>
      <c r="E2113" s="59"/>
    </row>
    <row r="2114" spans="3:5" x14ac:dyDescent="0.15">
      <c r="C2114" s="255" t="s">
        <v>1010</v>
      </c>
      <c r="D2114" s="59">
        <v>113.3</v>
      </c>
      <c r="E2114" s="59"/>
    </row>
    <row r="2115" spans="3:5" x14ac:dyDescent="0.15">
      <c r="C2115" s="255" t="s">
        <v>1011</v>
      </c>
      <c r="D2115" s="59">
        <v>345.9</v>
      </c>
      <c r="E2115" s="59"/>
    </row>
    <row r="2116" spans="3:5" x14ac:dyDescent="0.15">
      <c r="C2116" s="255" t="s">
        <v>1012</v>
      </c>
      <c r="D2116" s="59">
        <v>23058</v>
      </c>
      <c r="E2116" s="59"/>
    </row>
    <row r="2117" spans="3:5" x14ac:dyDescent="0.15">
      <c r="C2117" s="255" t="s">
        <v>1013</v>
      </c>
      <c r="D2117" s="59">
        <v>11158.6</v>
      </c>
      <c r="E2117" s="59"/>
    </row>
    <row r="2118" spans="3:5" x14ac:dyDescent="0.15">
      <c r="C2118" s="255" t="s">
        <v>1014</v>
      </c>
      <c r="D2118" s="59">
        <v>5206</v>
      </c>
      <c r="E2118" s="59"/>
    </row>
    <row r="2119" spans="3:5" x14ac:dyDescent="0.15">
      <c r="C2119" s="255" t="s">
        <v>1015</v>
      </c>
      <c r="D2119" s="59">
        <v>1183.9000000000001</v>
      </c>
      <c r="E2119" s="59"/>
    </row>
    <row r="2120" spans="3:5" x14ac:dyDescent="0.15">
      <c r="C2120" s="255" t="s">
        <v>1016</v>
      </c>
      <c r="D2120" s="59">
        <v>2011.7</v>
      </c>
      <c r="E2120" s="59"/>
    </row>
    <row r="2121" spans="3:5" x14ac:dyDescent="0.15">
      <c r="C2121" s="255" t="s">
        <v>1017</v>
      </c>
      <c r="D2121" s="59">
        <v>3429.9</v>
      </c>
      <c r="E2121" s="59"/>
    </row>
    <row r="2122" spans="3:5" x14ac:dyDescent="0.15">
      <c r="C2122" s="255" t="s">
        <v>1018</v>
      </c>
      <c r="D2122" s="59">
        <v>67.900000000000006</v>
      </c>
      <c r="E2122" s="59"/>
    </row>
    <row r="2123" spans="3:5" x14ac:dyDescent="0.15">
      <c r="C2123" s="255" t="s">
        <v>1019</v>
      </c>
      <c r="D2123" s="59">
        <v>51872.4</v>
      </c>
      <c r="E2123" s="59"/>
    </row>
    <row r="2124" spans="3:5" x14ac:dyDescent="0.15">
      <c r="C2124" s="255" t="s">
        <v>1020</v>
      </c>
      <c r="D2124" s="59">
        <v>689.2</v>
      </c>
      <c r="E2124" s="59"/>
    </row>
    <row r="2125" spans="3:5" x14ac:dyDescent="0.15">
      <c r="C2125" s="255" t="s">
        <v>1021</v>
      </c>
      <c r="D2125" s="59">
        <v>1568.1</v>
      </c>
      <c r="E2125" s="59"/>
    </row>
    <row r="2126" spans="3:5" x14ac:dyDescent="0.15">
      <c r="C2126" s="255" t="s">
        <v>1022</v>
      </c>
      <c r="D2126" s="59">
        <v>545.9</v>
      </c>
      <c r="E2126" s="59"/>
    </row>
    <row r="2127" spans="3:5" x14ac:dyDescent="0.15">
      <c r="C2127" s="255" t="s">
        <v>1023</v>
      </c>
      <c r="D2127" s="59">
        <v>130</v>
      </c>
      <c r="E2127" s="59"/>
    </row>
    <row r="2128" spans="3:5" x14ac:dyDescent="0.15">
      <c r="C2128" s="255" t="s">
        <v>1024</v>
      </c>
      <c r="D2128" s="59">
        <v>43.9</v>
      </c>
      <c r="E2128" s="59"/>
    </row>
    <row r="2129" spans="3:5" x14ac:dyDescent="0.15">
      <c r="C2129" s="255" t="s">
        <v>1025</v>
      </c>
      <c r="D2129" s="59">
        <v>497.7</v>
      </c>
      <c r="E2129" s="59"/>
    </row>
    <row r="2130" spans="3:5" x14ac:dyDescent="0.15">
      <c r="C2130" s="255" t="s">
        <v>1026</v>
      </c>
      <c r="D2130" s="59">
        <v>5308.2</v>
      </c>
      <c r="E2130" s="59"/>
    </row>
    <row r="2131" spans="3:5" x14ac:dyDescent="0.15">
      <c r="C2131" s="255" t="s">
        <v>1027</v>
      </c>
      <c r="D2131" s="59">
        <v>0</v>
      </c>
      <c r="E2131" s="59"/>
    </row>
    <row r="2132" spans="3:5" x14ac:dyDescent="0.15">
      <c r="C2132" s="255" t="s">
        <v>1028</v>
      </c>
      <c r="D2132" s="59">
        <v>842.5</v>
      </c>
      <c r="E2132" s="59"/>
    </row>
    <row r="2133" spans="3:5" x14ac:dyDescent="0.15">
      <c r="C2133" s="255" t="s">
        <v>1029</v>
      </c>
      <c r="D2133" s="59">
        <v>342.6</v>
      </c>
      <c r="E2133" s="59"/>
    </row>
    <row r="2134" spans="3:5" x14ac:dyDescent="0.15">
      <c r="C2134" s="255" t="s">
        <v>1030</v>
      </c>
      <c r="D2134" s="59">
        <v>8.4</v>
      </c>
      <c r="E2134" s="59"/>
    </row>
    <row r="2135" spans="3:5" x14ac:dyDescent="0.15">
      <c r="C2135" s="255" t="s">
        <v>1031</v>
      </c>
      <c r="D2135" s="59">
        <v>726.3</v>
      </c>
      <c r="E2135" s="59"/>
    </row>
    <row r="2136" spans="3:5" x14ac:dyDescent="0.15">
      <c r="C2136" s="255" t="s">
        <v>1032</v>
      </c>
      <c r="D2136" s="59">
        <v>121</v>
      </c>
      <c r="E2136" s="59"/>
    </row>
    <row r="2137" spans="3:5" x14ac:dyDescent="0.15">
      <c r="C2137" s="255" t="s">
        <v>1033</v>
      </c>
      <c r="D2137" s="59">
        <v>0</v>
      </c>
      <c r="E2137" s="59"/>
    </row>
    <row r="2138" spans="3:5" x14ac:dyDescent="0.15">
      <c r="C2138" s="255" t="s">
        <v>1034</v>
      </c>
      <c r="D2138" s="59">
        <v>220.1</v>
      </c>
      <c r="E2138" s="59"/>
    </row>
    <row r="2139" spans="3:5" x14ac:dyDescent="0.15">
      <c r="C2139" s="255" t="s">
        <v>1035</v>
      </c>
      <c r="D2139" s="59">
        <v>19147.599999999999</v>
      </c>
      <c r="E2139" s="59"/>
    </row>
    <row r="2140" spans="3:5" x14ac:dyDescent="0.15">
      <c r="C2140" s="255" t="s">
        <v>1036</v>
      </c>
      <c r="D2140" s="59">
        <v>0</v>
      </c>
      <c r="E2140" s="59"/>
    </row>
    <row r="2141" spans="3:5" x14ac:dyDescent="0.15">
      <c r="C2141" s="255" t="s">
        <v>1037</v>
      </c>
      <c r="D2141" s="59">
        <v>1641.5</v>
      </c>
      <c r="E2141" s="59"/>
    </row>
    <row r="2142" spans="3:5" x14ac:dyDescent="0.15">
      <c r="C2142" s="255" t="s">
        <v>1038</v>
      </c>
      <c r="D2142" s="59">
        <v>5956</v>
      </c>
      <c r="E2142" s="59"/>
    </row>
    <row r="2143" spans="3:5" x14ac:dyDescent="0.15">
      <c r="C2143" s="255" t="s">
        <v>1039</v>
      </c>
      <c r="D2143" s="59">
        <v>1417</v>
      </c>
      <c r="E2143" s="59"/>
    </row>
    <row r="2144" spans="3:5" x14ac:dyDescent="0.15">
      <c r="C2144" s="255" t="s">
        <v>1040</v>
      </c>
      <c r="D2144" s="59">
        <v>6768.7</v>
      </c>
      <c r="E2144" s="59"/>
    </row>
    <row r="2145" spans="2:5" x14ac:dyDescent="0.15">
      <c r="C2145" s="255" t="s">
        <v>1041</v>
      </c>
      <c r="D2145" s="59">
        <v>417.1</v>
      </c>
      <c r="E2145" s="59"/>
    </row>
    <row r="2146" spans="2:5" x14ac:dyDescent="0.15">
      <c r="C2146" s="255" t="s">
        <v>1042</v>
      </c>
      <c r="D2146" s="59">
        <v>4094.2</v>
      </c>
      <c r="E2146" s="59"/>
    </row>
    <row r="2147" spans="2:5" x14ac:dyDescent="0.15">
      <c r="C2147" s="255" t="s">
        <v>1043</v>
      </c>
      <c r="D2147" s="59">
        <v>734.6</v>
      </c>
      <c r="E2147" s="59"/>
    </row>
    <row r="2148" spans="2:5" x14ac:dyDescent="0.15">
      <c r="C2148" s="255" t="s">
        <v>1044</v>
      </c>
      <c r="D2148" s="59">
        <v>247.9</v>
      </c>
      <c r="E2148" s="59"/>
    </row>
    <row r="2149" spans="2:5" x14ac:dyDescent="0.15">
      <c r="C2149" s="255" t="s">
        <v>1045</v>
      </c>
      <c r="D2149" s="59">
        <v>58.3</v>
      </c>
      <c r="E2149" s="59"/>
    </row>
    <row r="2150" spans="2:5" x14ac:dyDescent="0.15">
      <c r="C2150" s="255" t="s">
        <v>1046</v>
      </c>
      <c r="D2150" s="59">
        <v>245.6</v>
      </c>
      <c r="E2150" s="59"/>
    </row>
    <row r="2151" spans="2:5" x14ac:dyDescent="0.15">
      <c r="C2151" s="255" t="s">
        <v>1047</v>
      </c>
      <c r="D2151" s="59">
        <v>81.400000000000006</v>
      </c>
      <c r="E2151" s="59"/>
    </row>
    <row r="2152" spans="2:5" x14ac:dyDescent="0.15">
      <c r="C2152" s="255" t="s">
        <v>1048</v>
      </c>
      <c r="D2152" s="59">
        <v>18.2</v>
      </c>
      <c r="E2152" s="59"/>
    </row>
    <row r="2153" spans="2:5" x14ac:dyDescent="0.15">
      <c r="B2153" s="255" t="s">
        <v>1051</v>
      </c>
      <c r="C2153" s="255" t="s">
        <v>743</v>
      </c>
      <c r="D2153" s="59">
        <v>128</v>
      </c>
      <c r="E2153" s="59"/>
    </row>
    <row r="2154" spans="2:5" x14ac:dyDescent="0.15">
      <c r="C2154" s="255" t="s">
        <v>744</v>
      </c>
      <c r="D2154" s="59">
        <v>256.60000000000002</v>
      </c>
      <c r="E2154" s="59"/>
    </row>
    <row r="2155" spans="2:5" x14ac:dyDescent="0.15">
      <c r="C2155" s="255" t="s">
        <v>745</v>
      </c>
      <c r="D2155" s="59">
        <v>951</v>
      </c>
      <c r="E2155" s="59"/>
    </row>
    <row r="2156" spans="2:5" x14ac:dyDescent="0.15">
      <c r="C2156" s="255" t="s">
        <v>746</v>
      </c>
      <c r="D2156" s="59">
        <v>3.7</v>
      </c>
      <c r="E2156" s="59"/>
    </row>
    <row r="2157" spans="2:5" x14ac:dyDescent="0.15">
      <c r="C2157" s="255" t="s">
        <v>747</v>
      </c>
      <c r="D2157" s="59">
        <v>3.1</v>
      </c>
      <c r="E2157" s="59"/>
    </row>
    <row r="2158" spans="2:5" x14ac:dyDescent="0.15">
      <c r="C2158" s="255" t="s">
        <v>748</v>
      </c>
      <c r="D2158" s="59">
        <v>0.6</v>
      </c>
      <c r="E2158" s="59"/>
    </row>
    <row r="2159" spans="2:5" x14ac:dyDescent="0.15">
      <c r="C2159" s="255" t="s">
        <v>749</v>
      </c>
      <c r="D2159" s="59">
        <v>0.9</v>
      </c>
      <c r="E2159" s="59"/>
    </row>
    <row r="2160" spans="2:5" x14ac:dyDescent="0.15">
      <c r="C2160" s="255" t="s">
        <v>750</v>
      </c>
      <c r="D2160" s="59">
        <v>0.3</v>
      </c>
      <c r="E2160" s="59"/>
    </row>
    <row r="2161" spans="3:5" x14ac:dyDescent="0.15">
      <c r="C2161" s="255" t="s">
        <v>751</v>
      </c>
      <c r="D2161" s="59">
        <v>49.9</v>
      </c>
      <c r="E2161" s="59"/>
    </row>
    <row r="2162" spans="3:5" x14ac:dyDescent="0.15">
      <c r="C2162" s="255" t="s">
        <v>752</v>
      </c>
      <c r="D2162" s="59">
        <v>2.2999999999999998</v>
      </c>
      <c r="E2162" s="59"/>
    </row>
    <row r="2163" spans="3:5" x14ac:dyDescent="0.15">
      <c r="C2163" s="255" t="s">
        <v>753</v>
      </c>
      <c r="D2163" s="59">
        <v>156.6</v>
      </c>
      <c r="E2163" s="59"/>
    </row>
    <row r="2164" spans="3:5" x14ac:dyDescent="0.15">
      <c r="C2164" s="255" t="s">
        <v>754</v>
      </c>
      <c r="D2164" s="59">
        <v>1945.1</v>
      </c>
      <c r="E2164" s="59"/>
    </row>
    <row r="2165" spans="3:5" x14ac:dyDescent="0.15">
      <c r="C2165" s="255" t="s">
        <v>192</v>
      </c>
      <c r="D2165" s="59">
        <v>454247</v>
      </c>
      <c r="E2165" s="59"/>
    </row>
    <row r="2166" spans="3:5" x14ac:dyDescent="0.15">
      <c r="C2166" s="255" t="s">
        <v>755</v>
      </c>
      <c r="D2166" s="59">
        <v>59480.4</v>
      </c>
      <c r="E2166" s="59"/>
    </row>
    <row r="2167" spans="3:5" x14ac:dyDescent="0.15">
      <c r="C2167" s="255" t="s">
        <v>756</v>
      </c>
      <c r="D2167" s="59">
        <v>214.5</v>
      </c>
      <c r="E2167" s="59"/>
    </row>
    <row r="2168" spans="3:5" x14ac:dyDescent="0.15">
      <c r="C2168" s="255" t="s">
        <v>757</v>
      </c>
      <c r="D2168" s="59">
        <v>215.7</v>
      </c>
      <c r="E2168" s="59"/>
    </row>
    <row r="2169" spans="3:5" x14ac:dyDescent="0.15">
      <c r="C2169" s="255" t="s">
        <v>758</v>
      </c>
      <c r="D2169" s="59">
        <v>3709</v>
      </c>
      <c r="E2169" s="59"/>
    </row>
    <row r="2170" spans="3:5" x14ac:dyDescent="0.15">
      <c r="C2170" s="255" t="s">
        <v>759</v>
      </c>
      <c r="D2170" s="59">
        <v>2108.3000000000002</v>
      </c>
      <c r="E2170" s="59"/>
    </row>
    <row r="2171" spans="3:5" x14ac:dyDescent="0.15">
      <c r="C2171" s="255" t="s">
        <v>760</v>
      </c>
      <c r="D2171" s="59">
        <v>266.39999999999998</v>
      </c>
      <c r="E2171" s="59"/>
    </row>
    <row r="2172" spans="3:5" x14ac:dyDescent="0.15">
      <c r="C2172" s="255" t="s">
        <v>761</v>
      </c>
      <c r="D2172" s="59">
        <v>889.9</v>
      </c>
      <c r="E2172" s="59"/>
    </row>
    <row r="2173" spans="3:5" x14ac:dyDescent="0.15">
      <c r="C2173" s="255" t="s">
        <v>762</v>
      </c>
      <c r="D2173" s="59">
        <v>710.6</v>
      </c>
      <c r="E2173" s="59"/>
    </row>
    <row r="2174" spans="3:5" x14ac:dyDescent="0.15">
      <c r="C2174" s="255" t="s">
        <v>763</v>
      </c>
      <c r="D2174" s="59">
        <v>270.60000000000002</v>
      </c>
      <c r="E2174" s="59"/>
    </row>
    <row r="2175" spans="3:5" x14ac:dyDescent="0.15">
      <c r="C2175" s="255" t="s">
        <v>764</v>
      </c>
      <c r="D2175" s="59">
        <v>3512.9</v>
      </c>
      <c r="E2175" s="59"/>
    </row>
    <row r="2176" spans="3:5" x14ac:dyDescent="0.15">
      <c r="C2176" s="255" t="s">
        <v>765</v>
      </c>
      <c r="D2176" s="59">
        <v>2013.8</v>
      </c>
      <c r="E2176" s="59"/>
    </row>
    <row r="2177" spans="3:5" x14ac:dyDescent="0.15">
      <c r="C2177" s="255" t="s">
        <v>766</v>
      </c>
      <c r="D2177" s="59">
        <v>483.5</v>
      </c>
      <c r="E2177" s="59"/>
    </row>
    <row r="2178" spans="3:5" x14ac:dyDescent="0.15">
      <c r="C2178" s="255" t="s">
        <v>767</v>
      </c>
      <c r="D2178" s="59">
        <v>2492.4</v>
      </c>
      <c r="E2178" s="59"/>
    </row>
    <row r="2179" spans="3:5" x14ac:dyDescent="0.15">
      <c r="C2179" s="255" t="s">
        <v>768</v>
      </c>
      <c r="D2179" s="59">
        <v>23.1</v>
      </c>
      <c r="E2179" s="59"/>
    </row>
    <row r="2180" spans="3:5" x14ac:dyDescent="0.15">
      <c r="C2180" s="255" t="s">
        <v>769</v>
      </c>
      <c r="D2180" s="59">
        <v>54.2</v>
      </c>
      <c r="E2180" s="59"/>
    </row>
    <row r="2181" spans="3:5" x14ac:dyDescent="0.15">
      <c r="C2181" s="255" t="s">
        <v>770</v>
      </c>
      <c r="D2181" s="59">
        <v>2488</v>
      </c>
      <c r="E2181" s="59"/>
    </row>
    <row r="2182" spans="3:5" x14ac:dyDescent="0.15">
      <c r="C2182" s="255" t="s">
        <v>771</v>
      </c>
      <c r="D2182" s="59">
        <v>2619.6999999999998</v>
      </c>
      <c r="E2182" s="59"/>
    </row>
    <row r="2183" spans="3:5" x14ac:dyDescent="0.15">
      <c r="C2183" s="255" t="s">
        <v>772</v>
      </c>
      <c r="D2183" s="59">
        <v>1062.0999999999999</v>
      </c>
      <c r="E2183" s="59"/>
    </row>
    <row r="2184" spans="3:5" x14ac:dyDescent="0.15">
      <c r="C2184" s="255" t="s">
        <v>773</v>
      </c>
      <c r="D2184" s="59">
        <v>218.5</v>
      </c>
      <c r="E2184" s="59"/>
    </row>
    <row r="2185" spans="3:5" x14ac:dyDescent="0.15">
      <c r="C2185" s="255" t="s">
        <v>774</v>
      </c>
      <c r="D2185" s="59">
        <v>169</v>
      </c>
      <c r="E2185" s="59"/>
    </row>
    <row r="2186" spans="3:5" x14ac:dyDescent="0.15">
      <c r="C2186" s="255" t="s">
        <v>775</v>
      </c>
      <c r="D2186" s="59">
        <v>126.5</v>
      </c>
      <c r="E2186" s="59"/>
    </row>
    <row r="2187" spans="3:5" x14ac:dyDescent="0.15">
      <c r="C2187" s="255" t="s">
        <v>776</v>
      </c>
      <c r="D2187" s="59">
        <v>529.1</v>
      </c>
      <c r="E2187" s="59"/>
    </row>
    <row r="2188" spans="3:5" x14ac:dyDescent="0.15">
      <c r="C2188" s="255" t="s">
        <v>777</v>
      </c>
      <c r="D2188" s="59">
        <v>1084</v>
      </c>
      <c r="E2188" s="59"/>
    </row>
    <row r="2189" spans="3:5" x14ac:dyDescent="0.15">
      <c r="C2189" s="255" t="s">
        <v>778</v>
      </c>
      <c r="D2189" s="59">
        <v>787.8</v>
      </c>
      <c r="E2189" s="59"/>
    </row>
    <row r="2190" spans="3:5" x14ac:dyDescent="0.15">
      <c r="C2190" s="255" t="s">
        <v>779</v>
      </c>
      <c r="D2190" s="59">
        <v>1004.8</v>
      </c>
      <c r="E2190" s="59"/>
    </row>
    <row r="2191" spans="3:5" x14ac:dyDescent="0.15">
      <c r="C2191" s="255" t="s">
        <v>780</v>
      </c>
      <c r="D2191" s="59">
        <v>19.399999999999999</v>
      </c>
      <c r="E2191" s="59"/>
    </row>
    <row r="2192" spans="3:5" x14ac:dyDescent="0.15">
      <c r="C2192" s="255" t="s">
        <v>781</v>
      </c>
      <c r="D2192" s="59">
        <v>1206.3</v>
      </c>
      <c r="E2192" s="59"/>
    </row>
    <row r="2193" spans="3:5" x14ac:dyDescent="0.15">
      <c r="C2193" s="255" t="s">
        <v>782</v>
      </c>
      <c r="D2193" s="59">
        <v>3342.8</v>
      </c>
      <c r="E2193" s="59"/>
    </row>
    <row r="2194" spans="3:5" x14ac:dyDescent="0.15">
      <c r="C2194" s="255" t="s">
        <v>783</v>
      </c>
      <c r="D2194" s="59">
        <v>1250.7</v>
      </c>
      <c r="E2194" s="59"/>
    </row>
    <row r="2195" spans="3:5" x14ac:dyDescent="0.15">
      <c r="C2195" s="255" t="s">
        <v>784</v>
      </c>
      <c r="D2195" s="59">
        <v>958.2</v>
      </c>
      <c r="E2195" s="59"/>
    </row>
    <row r="2196" spans="3:5" x14ac:dyDescent="0.15">
      <c r="C2196" s="255" t="s">
        <v>785</v>
      </c>
      <c r="D2196" s="59">
        <v>803.3</v>
      </c>
      <c r="E2196" s="59"/>
    </row>
    <row r="2197" spans="3:5" x14ac:dyDescent="0.15">
      <c r="C2197" s="255" t="s">
        <v>786</v>
      </c>
      <c r="D2197" s="59">
        <v>246.3</v>
      </c>
      <c r="E2197" s="59"/>
    </row>
    <row r="2198" spans="3:5" x14ac:dyDescent="0.15">
      <c r="C2198" s="255" t="s">
        <v>787</v>
      </c>
      <c r="D2198" s="59">
        <v>121.1</v>
      </c>
      <c r="E2198" s="59"/>
    </row>
    <row r="2199" spans="3:5" x14ac:dyDescent="0.15">
      <c r="C2199" s="255" t="s">
        <v>788</v>
      </c>
      <c r="D2199" s="59">
        <v>95.7</v>
      </c>
      <c r="E2199" s="59"/>
    </row>
    <row r="2200" spans="3:5" x14ac:dyDescent="0.15">
      <c r="C2200" s="255" t="s">
        <v>789</v>
      </c>
      <c r="D2200" s="59">
        <v>3.7</v>
      </c>
      <c r="E2200" s="59"/>
    </row>
    <row r="2201" spans="3:5" x14ac:dyDescent="0.15">
      <c r="C2201" s="255" t="s">
        <v>790</v>
      </c>
      <c r="D2201" s="59">
        <v>3190.1</v>
      </c>
      <c r="E2201" s="59"/>
    </row>
    <row r="2202" spans="3:5" x14ac:dyDescent="0.15">
      <c r="C2202" s="255" t="s">
        <v>791</v>
      </c>
      <c r="D2202" s="59">
        <v>92</v>
      </c>
      <c r="E2202" s="59"/>
    </row>
    <row r="2203" spans="3:5" x14ac:dyDescent="0.15">
      <c r="C2203" s="255" t="s">
        <v>792</v>
      </c>
      <c r="D2203" s="59">
        <v>1239.4000000000001</v>
      </c>
      <c r="E2203" s="59"/>
    </row>
    <row r="2204" spans="3:5" x14ac:dyDescent="0.15">
      <c r="C2204" s="255" t="s">
        <v>793</v>
      </c>
      <c r="D2204" s="59">
        <v>348.9</v>
      </c>
      <c r="E2204" s="59"/>
    </row>
    <row r="2205" spans="3:5" x14ac:dyDescent="0.15">
      <c r="C2205" s="255" t="s">
        <v>794</v>
      </c>
      <c r="D2205" s="59">
        <v>3821.6</v>
      </c>
      <c r="E2205" s="59"/>
    </row>
    <row r="2206" spans="3:5" x14ac:dyDescent="0.15">
      <c r="C2206" s="255" t="s">
        <v>795</v>
      </c>
      <c r="D2206" s="59">
        <v>411.6</v>
      </c>
      <c r="E2206" s="59"/>
    </row>
    <row r="2207" spans="3:5" x14ac:dyDescent="0.15">
      <c r="C2207" s="255" t="s">
        <v>796</v>
      </c>
      <c r="D2207" s="59">
        <v>790.8</v>
      </c>
      <c r="E2207" s="59"/>
    </row>
    <row r="2208" spans="3:5" x14ac:dyDescent="0.15">
      <c r="C2208" s="255" t="s">
        <v>797</v>
      </c>
      <c r="D2208" s="59">
        <v>1130.7</v>
      </c>
      <c r="E2208" s="59"/>
    </row>
    <row r="2209" spans="3:5" x14ac:dyDescent="0.15">
      <c r="C2209" s="255" t="s">
        <v>798</v>
      </c>
      <c r="D2209" s="59">
        <v>571.9</v>
      </c>
      <c r="E2209" s="59"/>
    </row>
    <row r="2210" spans="3:5" x14ac:dyDescent="0.15">
      <c r="C2210" s="255" t="s">
        <v>799</v>
      </c>
      <c r="D2210" s="59">
        <v>192.6</v>
      </c>
      <c r="E2210" s="59"/>
    </row>
    <row r="2211" spans="3:5" x14ac:dyDescent="0.15">
      <c r="C2211" s="255" t="s">
        <v>800</v>
      </c>
      <c r="D2211" s="59">
        <v>159.30000000000001</v>
      </c>
      <c r="E2211" s="59"/>
    </row>
    <row r="2212" spans="3:5" x14ac:dyDescent="0.15">
      <c r="C2212" s="255" t="s">
        <v>801</v>
      </c>
      <c r="D2212" s="59">
        <v>390.1</v>
      </c>
      <c r="E2212" s="59"/>
    </row>
    <row r="2213" spans="3:5" x14ac:dyDescent="0.15">
      <c r="C2213" s="255" t="s">
        <v>802</v>
      </c>
      <c r="D2213" s="59">
        <v>1347.5</v>
      </c>
      <c r="E2213" s="59"/>
    </row>
    <row r="2214" spans="3:5" x14ac:dyDescent="0.15">
      <c r="C2214" s="255" t="s">
        <v>803</v>
      </c>
      <c r="D2214" s="59">
        <v>2130.8000000000002</v>
      </c>
      <c r="E2214" s="59"/>
    </row>
    <row r="2215" spans="3:5" x14ac:dyDescent="0.15">
      <c r="C2215" s="255" t="s">
        <v>804</v>
      </c>
      <c r="D2215" s="59">
        <v>1028.8</v>
      </c>
      <c r="E2215" s="59"/>
    </row>
    <row r="2216" spans="3:5" x14ac:dyDescent="0.15">
      <c r="C2216" s="255" t="s">
        <v>805</v>
      </c>
      <c r="D2216" s="59">
        <v>26.6</v>
      </c>
      <c r="E2216" s="59"/>
    </row>
    <row r="2217" spans="3:5" x14ac:dyDescent="0.15">
      <c r="C2217" s="255" t="s">
        <v>806</v>
      </c>
      <c r="D2217" s="59">
        <v>1280.4000000000001</v>
      </c>
      <c r="E2217" s="59"/>
    </row>
    <row r="2218" spans="3:5" x14ac:dyDescent="0.15">
      <c r="C2218" s="255" t="s">
        <v>807</v>
      </c>
      <c r="D2218" s="59">
        <v>574.29999999999995</v>
      </c>
      <c r="E2218" s="59"/>
    </row>
    <row r="2219" spans="3:5" x14ac:dyDescent="0.15">
      <c r="C2219" s="255" t="s">
        <v>808</v>
      </c>
      <c r="D2219" s="59">
        <v>54.5</v>
      </c>
      <c r="E2219" s="59"/>
    </row>
    <row r="2220" spans="3:5" x14ac:dyDescent="0.15">
      <c r="C2220" s="255" t="s">
        <v>809</v>
      </c>
      <c r="D2220" s="59">
        <v>479.2</v>
      </c>
      <c r="E2220" s="59"/>
    </row>
    <row r="2221" spans="3:5" x14ac:dyDescent="0.15">
      <c r="C2221" s="255" t="s">
        <v>810</v>
      </c>
      <c r="D2221" s="59">
        <v>383.7</v>
      </c>
      <c r="E2221" s="59"/>
    </row>
    <row r="2222" spans="3:5" x14ac:dyDescent="0.15">
      <c r="C2222" s="255" t="s">
        <v>811</v>
      </c>
      <c r="D2222" s="59">
        <v>1607.5</v>
      </c>
      <c r="E2222" s="59"/>
    </row>
    <row r="2223" spans="3:5" x14ac:dyDescent="0.15">
      <c r="C2223" s="255" t="s">
        <v>812</v>
      </c>
      <c r="D2223" s="59">
        <v>285.2</v>
      </c>
      <c r="E2223" s="59"/>
    </row>
    <row r="2224" spans="3:5" x14ac:dyDescent="0.15">
      <c r="C2224" s="255" t="s">
        <v>813</v>
      </c>
      <c r="D2224" s="59">
        <v>92.3</v>
      </c>
      <c r="E2224" s="59"/>
    </row>
    <row r="2225" spans="3:5" x14ac:dyDescent="0.15">
      <c r="C2225" s="255" t="s">
        <v>814</v>
      </c>
      <c r="D2225" s="59">
        <v>265.2</v>
      </c>
      <c r="E2225" s="59"/>
    </row>
    <row r="2226" spans="3:5" x14ac:dyDescent="0.15">
      <c r="C2226" s="255" t="s">
        <v>815</v>
      </c>
      <c r="D2226" s="59">
        <v>1502.9</v>
      </c>
      <c r="E2226" s="59"/>
    </row>
    <row r="2227" spans="3:5" x14ac:dyDescent="0.15">
      <c r="C2227" s="255" t="s">
        <v>816</v>
      </c>
      <c r="D2227" s="59">
        <v>980.7</v>
      </c>
      <c r="E2227" s="59"/>
    </row>
    <row r="2228" spans="3:5" x14ac:dyDescent="0.15">
      <c r="C2228" s="255" t="s">
        <v>817</v>
      </c>
      <c r="D2228" s="59">
        <v>9055.2000000000007</v>
      </c>
      <c r="E2228" s="59"/>
    </row>
    <row r="2229" spans="3:5" x14ac:dyDescent="0.15">
      <c r="C2229" s="255" t="s">
        <v>818</v>
      </c>
      <c r="D2229" s="59">
        <v>912.2</v>
      </c>
      <c r="E2229" s="59"/>
    </row>
    <row r="2230" spans="3:5" x14ac:dyDescent="0.15">
      <c r="C2230" s="255" t="s">
        <v>819</v>
      </c>
      <c r="D2230" s="59">
        <v>31.8</v>
      </c>
      <c r="E2230" s="59"/>
    </row>
    <row r="2231" spans="3:5" x14ac:dyDescent="0.15">
      <c r="C2231" s="255" t="s">
        <v>820</v>
      </c>
      <c r="D2231" s="59">
        <v>2721.6</v>
      </c>
      <c r="E2231" s="59"/>
    </row>
    <row r="2232" spans="3:5" x14ac:dyDescent="0.15">
      <c r="C2232" s="255" t="s">
        <v>821</v>
      </c>
      <c r="D2232" s="59">
        <v>41.6</v>
      </c>
      <c r="E2232" s="59"/>
    </row>
    <row r="2233" spans="3:5" x14ac:dyDescent="0.15">
      <c r="C2233" s="255" t="s">
        <v>822</v>
      </c>
      <c r="D2233" s="59">
        <v>315.89999999999998</v>
      </c>
      <c r="E2233" s="59"/>
    </row>
    <row r="2234" spans="3:5" x14ac:dyDescent="0.15">
      <c r="C2234" s="255" t="s">
        <v>823</v>
      </c>
      <c r="D2234" s="59">
        <v>3.8</v>
      </c>
      <c r="E2234" s="59"/>
    </row>
    <row r="2235" spans="3:5" x14ac:dyDescent="0.15">
      <c r="C2235" s="255" t="s">
        <v>824</v>
      </c>
      <c r="D2235" s="59">
        <v>699.3</v>
      </c>
      <c r="E2235" s="59"/>
    </row>
    <row r="2236" spans="3:5" x14ac:dyDescent="0.15">
      <c r="C2236" s="255" t="s">
        <v>825</v>
      </c>
      <c r="D2236" s="59">
        <v>626.29999999999995</v>
      </c>
      <c r="E2236" s="59"/>
    </row>
    <row r="2237" spans="3:5" x14ac:dyDescent="0.15">
      <c r="C2237" s="255" t="s">
        <v>826</v>
      </c>
      <c r="D2237" s="59">
        <v>3.2</v>
      </c>
      <c r="E2237" s="59"/>
    </row>
    <row r="2238" spans="3:5" x14ac:dyDescent="0.15">
      <c r="C2238" s="255" t="s">
        <v>827</v>
      </c>
      <c r="D2238" s="59">
        <v>0</v>
      </c>
      <c r="E2238" s="59"/>
    </row>
    <row r="2239" spans="3:5" x14ac:dyDescent="0.15">
      <c r="C2239" s="255" t="s">
        <v>828</v>
      </c>
      <c r="D2239" s="59">
        <v>3002.4</v>
      </c>
      <c r="E2239" s="59"/>
    </row>
    <row r="2240" spans="3:5" x14ac:dyDescent="0.15">
      <c r="C2240" s="255" t="s">
        <v>829</v>
      </c>
      <c r="D2240" s="59">
        <v>12.9</v>
      </c>
      <c r="E2240" s="59"/>
    </row>
    <row r="2241" spans="3:5" x14ac:dyDescent="0.15">
      <c r="C2241" s="255" t="s">
        <v>830</v>
      </c>
      <c r="D2241" s="59">
        <v>684.1</v>
      </c>
      <c r="E2241" s="59"/>
    </row>
    <row r="2242" spans="3:5" x14ac:dyDescent="0.15">
      <c r="C2242" s="255" t="s">
        <v>831</v>
      </c>
      <c r="D2242" s="59">
        <v>0</v>
      </c>
      <c r="E2242" s="59"/>
    </row>
    <row r="2243" spans="3:5" x14ac:dyDescent="0.15">
      <c r="C2243" s="255" t="s">
        <v>832</v>
      </c>
      <c r="D2243" s="59">
        <v>17535.7</v>
      </c>
      <c r="E2243" s="59"/>
    </row>
    <row r="2244" spans="3:5" x14ac:dyDescent="0.15">
      <c r="C2244" s="255" t="s">
        <v>833</v>
      </c>
      <c r="D2244" s="59">
        <v>173.4</v>
      </c>
      <c r="E2244" s="59"/>
    </row>
    <row r="2245" spans="3:5" x14ac:dyDescent="0.15">
      <c r="C2245" s="255" t="s">
        <v>834</v>
      </c>
      <c r="D2245" s="59">
        <v>4579.3999999999996</v>
      </c>
      <c r="E2245" s="59"/>
    </row>
    <row r="2246" spans="3:5" x14ac:dyDescent="0.15">
      <c r="C2246" s="255" t="s">
        <v>835</v>
      </c>
      <c r="D2246" s="59">
        <v>6507</v>
      </c>
      <c r="E2246" s="59"/>
    </row>
    <row r="2247" spans="3:5" x14ac:dyDescent="0.15">
      <c r="C2247" s="255" t="s">
        <v>836</v>
      </c>
      <c r="D2247" s="59">
        <v>850</v>
      </c>
      <c r="E2247" s="59"/>
    </row>
    <row r="2248" spans="3:5" x14ac:dyDescent="0.15">
      <c r="C2248" s="255" t="s">
        <v>837</v>
      </c>
      <c r="D2248" s="59">
        <v>337.3</v>
      </c>
      <c r="E2248" s="59"/>
    </row>
    <row r="2249" spans="3:5" x14ac:dyDescent="0.15">
      <c r="C2249" s="255" t="s">
        <v>838</v>
      </c>
      <c r="D2249" s="59">
        <v>357.6</v>
      </c>
      <c r="E2249" s="59"/>
    </row>
    <row r="2250" spans="3:5" x14ac:dyDescent="0.15">
      <c r="C2250" s="255" t="s">
        <v>839</v>
      </c>
      <c r="D2250" s="59">
        <v>51.3</v>
      </c>
      <c r="E2250" s="59"/>
    </row>
    <row r="2251" spans="3:5" x14ac:dyDescent="0.15">
      <c r="C2251" s="255" t="s">
        <v>840</v>
      </c>
      <c r="D2251" s="59">
        <v>0</v>
      </c>
      <c r="E2251" s="59"/>
    </row>
    <row r="2252" spans="3:5" x14ac:dyDescent="0.15">
      <c r="C2252" s="255" t="s">
        <v>841</v>
      </c>
      <c r="D2252" s="59">
        <v>1425.9</v>
      </c>
      <c r="E2252" s="59"/>
    </row>
    <row r="2253" spans="3:5" x14ac:dyDescent="0.15">
      <c r="C2253" s="255" t="s">
        <v>842</v>
      </c>
      <c r="D2253" s="59">
        <v>2809.6</v>
      </c>
      <c r="E2253" s="59"/>
    </row>
    <row r="2254" spans="3:5" x14ac:dyDescent="0.15">
      <c r="C2254" s="255" t="s">
        <v>843</v>
      </c>
      <c r="D2254" s="59">
        <v>396.7</v>
      </c>
      <c r="E2254" s="59"/>
    </row>
    <row r="2255" spans="3:5" x14ac:dyDescent="0.15">
      <c r="C2255" s="255" t="s">
        <v>844</v>
      </c>
      <c r="D2255" s="59">
        <v>47.5</v>
      </c>
      <c r="E2255" s="59"/>
    </row>
    <row r="2256" spans="3:5" x14ac:dyDescent="0.15">
      <c r="C2256" s="255" t="s">
        <v>845</v>
      </c>
      <c r="D2256" s="59">
        <v>132367.1</v>
      </c>
      <c r="E2256" s="59"/>
    </row>
    <row r="2257" spans="3:5" x14ac:dyDescent="0.15">
      <c r="C2257" s="255" t="s">
        <v>846</v>
      </c>
      <c r="D2257" s="59">
        <v>11995.4</v>
      </c>
      <c r="E2257" s="59"/>
    </row>
    <row r="2258" spans="3:5" x14ac:dyDescent="0.15">
      <c r="C2258" s="255" t="s">
        <v>847</v>
      </c>
      <c r="D2258" s="59">
        <v>68.599999999999994</v>
      </c>
      <c r="E2258" s="59"/>
    </row>
    <row r="2259" spans="3:5" x14ac:dyDescent="0.15">
      <c r="C2259" s="255" t="s">
        <v>848</v>
      </c>
      <c r="D2259" s="59">
        <v>69131.8</v>
      </c>
      <c r="E2259" s="59"/>
    </row>
    <row r="2260" spans="3:5" x14ac:dyDescent="0.15">
      <c r="C2260" s="255" t="s">
        <v>849</v>
      </c>
      <c r="D2260" s="59">
        <v>2390.3000000000002</v>
      </c>
      <c r="E2260" s="59"/>
    </row>
    <row r="2261" spans="3:5" x14ac:dyDescent="0.15">
      <c r="C2261" s="255" t="s">
        <v>850</v>
      </c>
      <c r="D2261" s="59">
        <v>3855.1</v>
      </c>
      <c r="E2261" s="59"/>
    </row>
    <row r="2262" spans="3:5" x14ac:dyDescent="0.15">
      <c r="C2262" s="255" t="s">
        <v>851</v>
      </c>
      <c r="D2262" s="59">
        <v>0</v>
      </c>
      <c r="E2262" s="59"/>
    </row>
    <row r="2263" spans="3:5" x14ac:dyDescent="0.15">
      <c r="C2263" s="255" t="s">
        <v>852</v>
      </c>
      <c r="D2263" s="59">
        <v>0</v>
      </c>
      <c r="E2263" s="59"/>
    </row>
    <row r="2264" spans="3:5" x14ac:dyDescent="0.15">
      <c r="C2264" s="255" t="s">
        <v>853</v>
      </c>
      <c r="D2264" s="59">
        <v>410.5</v>
      </c>
      <c r="E2264" s="59"/>
    </row>
    <row r="2265" spans="3:5" x14ac:dyDescent="0.15">
      <c r="C2265" s="255" t="s">
        <v>854</v>
      </c>
      <c r="D2265" s="59">
        <v>0</v>
      </c>
      <c r="E2265" s="59"/>
    </row>
    <row r="2266" spans="3:5" x14ac:dyDescent="0.15">
      <c r="C2266" s="255" t="s">
        <v>855</v>
      </c>
      <c r="D2266" s="59">
        <v>114.9</v>
      </c>
      <c r="E2266" s="59"/>
    </row>
    <row r="2267" spans="3:5" x14ac:dyDescent="0.15">
      <c r="C2267" s="255" t="s">
        <v>856</v>
      </c>
      <c r="D2267" s="59">
        <v>5269.6</v>
      </c>
      <c r="E2267" s="59"/>
    </row>
    <row r="2268" spans="3:5" x14ac:dyDescent="0.15">
      <c r="C2268" s="255" t="s">
        <v>857</v>
      </c>
      <c r="D2268" s="59">
        <v>3019.1</v>
      </c>
      <c r="E2268" s="59"/>
    </row>
    <row r="2269" spans="3:5" x14ac:dyDescent="0.15">
      <c r="C2269" s="255" t="s">
        <v>858</v>
      </c>
      <c r="D2269" s="59">
        <v>2957.4</v>
      </c>
      <c r="E2269" s="59"/>
    </row>
    <row r="2270" spans="3:5" x14ac:dyDescent="0.15">
      <c r="C2270" s="255" t="s">
        <v>859</v>
      </c>
      <c r="D2270" s="59">
        <v>3988.3</v>
      </c>
      <c r="E2270" s="59"/>
    </row>
    <row r="2271" spans="3:5" x14ac:dyDescent="0.15">
      <c r="C2271" s="255" t="s">
        <v>860</v>
      </c>
      <c r="D2271" s="59">
        <v>338.3</v>
      </c>
      <c r="E2271" s="59"/>
    </row>
    <row r="2272" spans="3:5" x14ac:dyDescent="0.15">
      <c r="C2272" s="255" t="s">
        <v>861</v>
      </c>
      <c r="D2272" s="59">
        <v>2307</v>
      </c>
      <c r="E2272" s="59"/>
    </row>
    <row r="2273" spans="3:5" x14ac:dyDescent="0.15">
      <c r="C2273" s="255" t="s">
        <v>862</v>
      </c>
      <c r="D2273" s="59">
        <v>11970.2</v>
      </c>
      <c r="E2273" s="59"/>
    </row>
    <row r="2274" spans="3:5" x14ac:dyDescent="0.15">
      <c r="C2274" s="255" t="s">
        <v>863</v>
      </c>
      <c r="D2274" s="59">
        <v>3274.6</v>
      </c>
      <c r="E2274" s="59"/>
    </row>
    <row r="2275" spans="3:5" x14ac:dyDescent="0.15">
      <c r="C2275" s="255" t="s">
        <v>864</v>
      </c>
      <c r="D2275" s="59">
        <v>26</v>
      </c>
      <c r="E2275" s="59"/>
    </row>
    <row r="2276" spans="3:5" x14ac:dyDescent="0.15">
      <c r="C2276" s="255" t="s">
        <v>865</v>
      </c>
      <c r="D2276" s="59">
        <v>733.4</v>
      </c>
      <c r="E2276" s="59"/>
    </row>
    <row r="2277" spans="3:5" x14ac:dyDescent="0.15">
      <c r="C2277" s="255" t="s">
        <v>866</v>
      </c>
      <c r="D2277" s="59">
        <v>98.6</v>
      </c>
      <c r="E2277" s="59"/>
    </row>
    <row r="2278" spans="3:5" x14ac:dyDescent="0.15">
      <c r="C2278" s="255" t="s">
        <v>867</v>
      </c>
      <c r="D2278" s="59">
        <v>2255.5</v>
      </c>
      <c r="E2278" s="59"/>
    </row>
    <row r="2279" spans="3:5" x14ac:dyDescent="0.15">
      <c r="C2279" s="255" t="s">
        <v>868</v>
      </c>
      <c r="D2279" s="59">
        <v>8162.4</v>
      </c>
      <c r="E2279" s="59"/>
    </row>
    <row r="2280" spans="3:5" x14ac:dyDescent="0.15">
      <c r="C2280" s="255" t="s">
        <v>869</v>
      </c>
      <c r="D2280" s="59">
        <v>22579.8</v>
      </c>
      <c r="E2280" s="59"/>
    </row>
    <row r="2281" spans="3:5" x14ac:dyDescent="0.15">
      <c r="C2281" s="255" t="s">
        <v>870</v>
      </c>
      <c r="D2281" s="59">
        <v>5140.2</v>
      </c>
      <c r="E2281" s="59"/>
    </row>
    <row r="2282" spans="3:5" x14ac:dyDescent="0.15">
      <c r="C2282" s="255" t="s">
        <v>871</v>
      </c>
      <c r="D2282" s="59">
        <v>697.9</v>
      </c>
      <c r="E2282" s="59"/>
    </row>
    <row r="2283" spans="3:5" x14ac:dyDescent="0.15">
      <c r="C2283" s="255" t="s">
        <v>872</v>
      </c>
      <c r="D2283" s="59">
        <v>317.5</v>
      </c>
      <c r="E2283" s="59"/>
    </row>
    <row r="2284" spans="3:5" x14ac:dyDescent="0.15">
      <c r="C2284" s="255" t="s">
        <v>873</v>
      </c>
      <c r="D2284" s="59">
        <v>996.9</v>
      </c>
      <c r="E2284" s="59"/>
    </row>
    <row r="2285" spans="3:5" x14ac:dyDescent="0.15">
      <c r="C2285" s="255" t="s">
        <v>874</v>
      </c>
      <c r="D2285" s="59">
        <v>275.8</v>
      </c>
      <c r="E2285" s="59"/>
    </row>
    <row r="2286" spans="3:5" x14ac:dyDescent="0.15">
      <c r="C2286" s="255" t="s">
        <v>875</v>
      </c>
      <c r="D2286" s="59">
        <v>9</v>
      </c>
      <c r="E2286" s="59"/>
    </row>
    <row r="2287" spans="3:5" x14ac:dyDescent="0.15">
      <c r="C2287" s="255" t="s">
        <v>876</v>
      </c>
      <c r="D2287" s="59">
        <v>0</v>
      </c>
      <c r="E2287" s="59"/>
    </row>
    <row r="2288" spans="3:5" x14ac:dyDescent="0.15">
      <c r="C2288" s="255" t="s">
        <v>877</v>
      </c>
      <c r="D2288" s="59">
        <v>40</v>
      </c>
      <c r="E2288" s="59"/>
    </row>
    <row r="2289" spans="3:5" x14ac:dyDescent="0.15">
      <c r="C2289" s="255" t="s">
        <v>878</v>
      </c>
      <c r="D2289" s="59">
        <v>273.10000000000002</v>
      </c>
      <c r="E2289" s="59"/>
    </row>
    <row r="2290" spans="3:5" x14ac:dyDescent="0.15">
      <c r="C2290" s="255" t="s">
        <v>879</v>
      </c>
      <c r="D2290" s="59">
        <v>712.3</v>
      </c>
      <c r="E2290" s="59"/>
    </row>
    <row r="2291" spans="3:5" x14ac:dyDescent="0.15">
      <c r="C2291" s="255" t="s">
        <v>880</v>
      </c>
      <c r="D2291" s="59">
        <v>109.4</v>
      </c>
      <c r="E2291" s="59"/>
    </row>
    <row r="2292" spans="3:5" x14ac:dyDescent="0.15">
      <c r="C2292" s="255" t="s">
        <v>881</v>
      </c>
      <c r="D2292" s="59">
        <v>0</v>
      </c>
      <c r="E2292" s="59"/>
    </row>
    <row r="2293" spans="3:5" x14ac:dyDescent="0.15">
      <c r="C2293" s="255" t="s">
        <v>882</v>
      </c>
      <c r="D2293" s="59">
        <v>254.6</v>
      </c>
      <c r="E2293" s="59"/>
    </row>
    <row r="2294" spans="3:5" x14ac:dyDescent="0.15">
      <c r="C2294" s="255" t="s">
        <v>883</v>
      </c>
      <c r="D2294" s="59">
        <v>891.1</v>
      </c>
      <c r="E2294" s="59"/>
    </row>
    <row r="2295" spans="3:5" x14ac:dyDescent="0.15">
      <c r="C2295" s="255" t="s">
        <v>884</v>
      </c>
      <c r="D2295" s="59">
        <v>1197.5999999999999</v>
      </c>
      <c r="E2295" s="59"/>
    </row>
    <row r="2296" spans="3:5" x14ac:dyDescent="0.15">
      <c r="C2296" s="255" t="s">
        <v>885</v>
      </c>
      <c r="D2296" s="59">
        <v>736.6</v>
      </c>
      <c r="E2296" s="59"/>
    </row>
    <row r="2297" spans="3:5" x14ac:dyDescent="0.15">
      <c r="C2297" s="255" t="s">
        <v>886</v>
      </c>
      <c r="D2297" s="59">
        <v>645.9</v>
      </c>
      <c r="E2297" s="59"/>
    </row>
    <row r="2298" spans="3:5" x14ac:dyDescent="0.15">
      <c r="C2298" s="255" t="s">
        <v>887</v>
      </c>
      <c r="D2298" s="59">
        <v>8.6999999999999993</v>
      </c>
      <c r="E2298" s="59"/>
    </row>
    <row r="2299" spans="3:5" x14ac:dyDescent="0.15">
      <c r="C2299" s="255" t="s">
        <v>888</v>
      </c>
      <c r="D2299" s="59">
        <v>6</v>
      </c>
      <c r="E2299" s="59"/>
    </row>
    <row r="2300" spans="3:5" x14ac:dyDescent="0.15">
      <c r="C2300" s="255" t="s">
        <v>889</v>
      </c>
      <c r="D2300" s="59">
        <v>190.4</v>
      </c>
      <c r="E2300" s="59"/>
    </row>
    <row r="2301" spans="3:5" x14ac:dyDescent="0.15">
      <c r="C2301" s="255" t="s">
        <v>890</v>
      </c>
      <c r="D2301" s="59">
        <v>60.6</v>
      </c>
      <c r="E2301" s="59"/>
    </row>
    <row r="2302" spans="3:5" x14ac:dyDescent="0.15">
      <c r="C2302" s="255" t="s">
        <v>891</v>
      </c>
      <c r="D2302" s="59">
        <v>1.6</v>
      </c>
      <c r="E2302" s="59"/>
    </row>
    <row r="2303" spans="3:5" x14ac:dyDescent="0.15">
      <c r="C2303" s="255" t="s">
        <v>892</v>
      </c>
      <c r="D2303" s="59">
        <v>18.899999999999999</v>
      </c>
      <c r="E2303" s="59"/>
    </row>
    <row r="2304" spans="3:5" x14ac:dyDescent="0.15">
      <c r="C2304" s="255" t="s">
        <v>893</v>
      </c>
      <c r="D2304" s="59">
        <v>192.2</v>
      </c>
      <c r="E2304" s="59"/>
    </row>
    <row r="2305" spans="3:5" x14ac:dyDescent="0.15">
      <c r="C2305" s="255" t="s">
        <v>894</v>
      </c>
      <c r="D2305" s="59">
        <v>0</v>
      </c>
      <c r="E2305" s="59"/>
    </row>
    <row r="2306" spans="3:5" x14ac:dyDescent="0.15">
      <c r="C2306" s="255" t="s">
        <v>895</v>
      </c>
      <c r="D2306" s="59">
        <v>777.4</v>
      </c>
      <c r="E2306" s="59"/>
    </row>
    <row r="2307" spans="3:5" x14ac:dyDescent="0.15">
      <c r="C2307" s="255" t="s">
        <v>896</v>
      </c>
      <c r="D2307" s="59">
        <v>258.60000000000002</v>
      </c>
      <c r="E2307" s="59"/>
    </row>
    <row r="2308" spans="3:5" x14ac:dyDescent="0.15">
      <c r="C2308" s="255" t="s">
        <v>897</v>
      </c>
      <c r="D2308" s="59">
        <v>1242.3</v>
      </c>
      <c r="E2308" s="59"/>
    </row>
    <row r="2309" spans="3:5" x14ac:dyDescent="0.15">
      <c r="C2309" s="255" t="s">
        <v>898</v>
      </c>
      <c r="D2309" s="59">
        <v>674.1</v>
      </c>
      <c r="E2309" s="59"/>
    </row>
    <row r="2310" spans="3:5" x14ac:dyDescent="0.15">
      <c r="C2310" s="255" t="s">
        <v>899</v>
      </c>
      <c r="D2310" s="59">
        <v>56.7</v>
      </c>
      <c r="E2310" s="59"/>
    </row>
    <row r="2311" spans="3:5" x14ac:dyDescent="0.15">
      <c r="C2311" s="255" t="s">
        <v>900</v>
      </c>
      <c r="D2311" s="59">
        <v>374.6</v>
      </c>
      <c r="E2311" s="59"/>
    </row>
    <row r="2312" spans="3:5" x14ac:dyDescent="0.15">
      <c r="C2312" s="255" t="s">
        <v>901</v>
      </c>
      <c r="D2312" s="59">
        <v>1671.6</v>
      </c>
      <c r="E2312" s="59"/>
    </row>
    <row r="2313" spans="3:5" x14ac:dyDescent="0.15">
      <c r="C2313" s="255" t="s">
        <v>902</v>
      </c>
      <c r="D2313" s="59">
        <v>2.2000000000000002</v>
      </c>
      <c r="E2313" s="59"/>
    </row>
    <row r="2314" spans="3:5" x14ac:dyDescent="0.15">
      <c r="C2314" s="255" t="s">
        <v>903</v>
      </c>
      <c r="D2314" s="59">
        <v>1406.7</v>
      </c>
      <c r="E2314" s="59"/>
    </row>
    <row r="2315" spans="3:5" x14ac:dyDescent="0.15">
      <c r="C2315" s="255" t="s">
        <v>904</v>
      </c>
      <c r="D2315" s="59">
        <v>1758.9</v>
      </c>
      <c r="E2315" s="59"/>
    </row>
    <row r="2316" spans="3:5" x14ac:dyDescent="0.15">
      <c r="C2316" s="255" t="s">
        <v>905</v>
      </c>
      <c r="D2316" s="59">
        <v>301</v>
      </c>
      <c r="E2316" s="59"/>
    </row>
    <row r="2317" spans="3:5" x14ac:dyDescent="0.15">
      <c r="C2317" s="255" t="s">
        <v>906</v>
      </c>
      <c r="D2317" s="59">
        <v>140.30000000000001</v>
      </c>
      <c r="E2317" s="59"/>
    </row>
    <row r="2318" spans="3:5" x14ac:dyDescent="0.15">
      <c r="C2318" s="255" t="s">
        <v>907</v>
      </c>
      <c r="D2318" s="59">
        <v>1139</v>
      </c>
      <c r="E2318" s="59"/>
    </row>
    <row r="2319" spans="3:5" x14ac:dyDescent="0.15">
      <c r="C2319" s="255" t="s">
        <v>908</v>
      </c>
      <c r="D2319" s="59">
        <v>7062.3</v>
      </c>
      <c r="E2319" s="59"/>
    </row>
    <row r="2320" spans="3:5" x14ac:dyDescent="0.15">
      <c r="C2320" s="255" t="s">
        <v>909</v>
      </c>
      <c r="D2320" s="59">
        <v>1996.9</v>
      </c>
      <c r="E2320" s="59"/>
    </row>
    <row r="2321" spans="3:5" x14ac:dyDescent="0.15">
      <c r="C2321" s="255" t="s">
        <v>910</v>
      </c>
      <c r="D2321" s="59">
        <v>0.9</v>
      </c>
      <c r="E2321" s="59"/>
    </row>
    <row r="2322" spans="3:5" x14ac:dyDescent="0.15">
      <c r="C2322" s="255" t="s">
        <v>911</v>
      </c>
      <c r="D2322" s="59">
        <v>120.8</v>
      </c>
      <c r="E2322" s="59"/>
    </row>
    <row r="2323" spans="3:5" x14ac:dyDescent="0.15">
      <c r="C2323" s="255" t="s">
        <v>912</v>
      </c>
      <c r="D2323" s="59">
        <v>109.1</v>
      </c>
      <c r="E2323" s="59"/>
    </row>
    <row r="2324" spans="3:5" x14ac:dyDescent="0.15">
      <c r="C2324" s="255" t="s">
        <v>913</v>
      </c>
      <c r="D2324" s="59">
        <v>0</v>
      </c>
      <c r="E2324" s="59"/>
    </row>
    <row r="2325" spans="3:5" x14ac:dyDescent="0.15">
      <c r="C2325" s="255" t="s">
        <v>914</v>
      </c>
      <c r="D2325" s="59">
        <v>2.2000000000000002</v>
      </c>
      <c r="E2325" s="59"/>
    </row>
    <row r="2326" spans="3:5" x14ac:dyDescent="0.15">
      <c r="C2326" s="255" t="s">
        <v>915</v>
      </c>
      <c r="D2326" s="59">
        <v>0</v>
      </c>
      <c r="E2326" s="59"/>
    </row>
    <row r="2327" spans="3:5" x14ac:dyDescent="0.15">
      <c r="C2327" s="255" t="s">
        <v>916</v>
      </c>
      <c r="D2327" s="59">
        <v>237.7</v>
      </c>
      <c r="E2327" s="59"/>
    </row>
    <row r="2328" spans="3:5" x14ac:dyDescent="0.15">
      <c r="C2328" s="255" t="s">
        <v>917</v>
      </c>
      <c r="D2328" s="59">
        <v>13.4</v>
      </c>
      <c r="E2328" s="59"/>
    </row>
    <row r="2329" spans="3:5" x14ac:dyDescent="0.15">
      <c r="C2329" s="255" t="s">
        <v>918</v>
      </c>
      <c r="D2329" s="59">
        <v>3172.1</v>
      </c>
      <c r="E2329" s="59"/>
    </row>
    <row r="2330" spans="3:5" x14ac:dyDescent="0.15">
      <c r="C2330" s="255" t="s">
        <v>919</v>
      </c>
      <c r="D2330" s="59">
        <v>0</v>
      </c>
      <c r="E2330" s="59"/>
    </row>
    <row r="2331" spans="3:5" x14ac:dyDescent="0.15">
      <c r="C2331" s="255" t="s">
        <v>920</v>
      </c>
      <c r="D2331" s="59">
        <v>1409.2</v>
      </c>
      <c r="E2331" s="59"/>
    </row>
    <row r="2332" spans="3:5" x14ac:dyDescent="0.15">
      <c r="C2332" s="255" t="s">
        <v>921</v>
      </c>
      <c r="D2332" s="59">
        <v>0</v>
      </c>
      <c r="E2332" s="59"/>
    </row>
    <row r="2333" spans="3:5" x14ac:dyDescent="0.15">
      <c r="C2333" s="255" t="s">
        <v>922</v>
      </c>
      <c r="D2333" s="59">
        <v>69803.5</v>
      </c>
      <c r="E2333" s="59"/>
    </row>
    <row r="2334" spans="3:5" x14ac:dyDescent="0.15">
      <c r="C2334" s="255" t="s">
        <v>923</v>
      </c>
      <c r="D2334" s="59">
        <v>17803.5</v>
      </c>
      <c r="E2334" s="59"/>
    </row>
    <row r="2335" spans="3:5" x14ac:dyDescent="0.15">
      <c r="C2335" s="255" t="s">
        <v>924</v>
      </c>
      <c r="D2335" s="59">
        <v>3854</v>
      </c>
      <c r="E2335" s="59"/>
    </row>
    <row r="2336" spans="3:5" x14ac:dyDescent="0.15">
      <c r="C2336" s="255" t="s">
        <v>925</v>
      </c>
      <c r="D2336" s="59">
        <v>345</v>
      </c>
      <c r="E2336" s="59"/>
    </row>
    <row r="2337" spans="3:5" x14ac:dyDescent="0.15">
      <c r="C2337" s="255" t="s">
        <v>926</v>
      </c>
      <c r="D2337" s="59">
        <v>2040</v>
      </c>
      <c r="E2337" s="59"/>
    </row>
    <row r="2338" spans="3:5" x14ac:dyDescent="0.15">
      <c r="C2338" s="255" t="s">
        <v>927</v>
      </c>
      <c r="D2338" s="59">
        <v>1428.5</v>
      </c>
      <c r="E2338" s="59"/>
    </row>
    <row r="2339" spans="3:5" x14ac:dyDescent="0.15">
      <c r="C2339" s="255" t="s">
        <v>928</v>
      </c>
      <c r="D2339" s="59">
        <v>948.9</v>
      </c>
      <c r="E2339" s="59"/>
    </row>
    <row r="2340" spans="3:5" x14ac:dyDescent="0.15">
      <c r="C2340" s="255" t="s">
        <v>929</v>
      </c>
      <c r="D2340" s="59">
        <v>127.5</v>
      </c>
      <c r="E2340" s="59"/>
    </row>
    <row r="2341" spans="3:5" x14ac:dyDescent="0.15">
      <c r="C2341" s="255" t="s">
        <v>930</v>
      </c>
      <c r="D2341" s="59">
        <v>3688.7</v>
      </c>
      <c r="E2341" s="59"/>
    </row>
    <row r="2342" spans="3:5" x14ac:dyDescent="0.15">
      <c r="C2342" s="255" t="s">
        <v>931</v>
      </c>
      <c r="D2342" s="59">
        <v>8873.5</v>
      </c>
      <c r="E2342" s="59"/>
    </row>
    <row r="2343" spans="3:5" x14ac:dyDescent="0.15">
      <c r="C2343" s="255" t="s">
        <v>932</v>
      </c>
      <c r="D2343" s="59">
        <v>0</v>
      </c>
      <c r="E2343" s="59"/>
    </row>
    <row r="2344" spans="3:5" x14ac:dyDescent="0.15">
      <c r="C2344" s="255" t="s">
        <v>933</v>
      </c>
      <c r="D2344" s="59">
        <v>19.899999999999999</v>
      </c>
      <c r="E2344" s="59"/>
    </row>
    <row r="2345" spans="3:5" x14ac:dyDescent="0.15">
      <c r="C2345" s="255" t="s">
        <v>934</v>
      </c>
      <c r="D2345" s="59">
        <v>8564.6</v>
      </c>
      <c r="E2345" s="59"/>
    </row>
    <row r="2346" spans="3:5" x14ac:dyDescent="0.15">
      <c r="C2346" s="255" t="s">
        <v>935</v>
      </c>
      <c r="D2346" s="59">
        <v>4969.7</v>
      </c>
      <c r="E2346" s="59"/>
    </row>
    <row r="2347" spans="3:5" x14ac:dyDescent="0.15">
      <c r="C2347" s="255" t="s">
        <v>936</v>
      </c>
      <c r="D2347" s="59">
        <v>6227.1</v>
      </c>
      <c r="E2347" s="59"/>
    </row>
    <row r="2348" spans="3:5" x14ac:dyDescent="0.15">
      <c r="C2348" s="255" t="s">
        <v>937</v>
      </c>
      <c r="D2348" s="59">
        <v>3963.5</v>
      </c>
      <c r="E2348" s="59"/>
    </row>
    <row r="2349" spans="3:5" x14ac:dyDescent="0.15">
      <c r="C2349" s="255" t="s">
        <v>938</v>
      </c>
      <c r="D2349" s="59">
        <v>511.7</v>
      </c>
      <c r="E2349" s="59"/>
    </row>
    <row r="2350" spans="3:5" x14ac:dyDescent="0.15">
      <c r="C2350" s="255" t="s">
        <v>939</v>
      </c>
      <c r="D2350" s="59">
        <v>12.7</v>
      </c>
      <c r="E2350" s="59"/>
    </row>
    <row r="2351" spans="3:5" x14ac:dyDescent="0.15">
      <c r="C2351" s="255" t="s">
        <v>940</v>
      </c>
      <c r="D2351" s="59">
        <v>61.7</v>
      </c>
      <c r="E2351" s="59"/>
    </row>
    <row r="2352" spans="3:5" x14ac:dyDescent="0.15">
      <c r="C2352" s="255" t="s">
        <v>941</v>
      </c>
      <c r="D2352" s="59">
        <v>363.5</v>
      </c>
      <c r="E2352" s="59"/>
    </row>
    <row r="2353" spans="3:5" x14ac:dyDescent="0.15">
      <c r="C2353" s="255" t="s">
        <v>942</v>
      </c>
      <c r="D2353" s="59">
        <v>0</v>
      </c>
      <c r="E2353" s="59"/>
    </row>
    <row r="2354" spans="3:5" x14ac:dyDescent="0.15">
      <c r="C2354" s="255" t="s">
        <v>943</v>
      </c>
      <c r="D2354" s="59">
        <v>2448.6</v>
      </c>
      <c r="E2354" s="59"/>
    </row>
    <row r="2355" spans="3:5" x14ac:dyDescent="0.15">
      <c r="C2355" s="255" t="s">
        <v>944</v>
      </c>
      <c r="D2355" s="59">
        <v>329.5</v>
      </c>
      <c r="E2355" s="59"/>
    </row>
    <row r="2356" spans="3:5" x14ac:dyDescent="0.15">
      <c r="C2356" s="255" t="s">
        <v>945</v>
      </c>
      <c r="D2356" s="59">
        <v>3212.3</v>
      </c>
      <c r="E2356" s="59"/>
    </row>
    <row r="2357" spans="3:5" x14ac:dyDescent="0.15">
      <c r="C2357" s="255" t="s">
        <v>946</v>
      </c>
      <c r="D2357" s="59">
        <v>0</v>
      </c>
      <c r="E2357" s="59"/>
    </row>
    <row r="2358" spans="3:5" x14ac:dyDescent="0.15">
      <c r="C2358" s="255" t="s">
        <v>947</v>
      </c>
      <c r="D2358" s="59">
        <v>9.1</v>
      </c>
      <c r="E2358" s="59"/>
    </row>
    <row r="2359" spans="3:5" x14ac:dyDescent="0.15">
      <c r="C2359" s="255" t="s">
        <v>948</v>
      </c>
      <c r="D2359" s="59">
        <v>14611</v>
      </c>
      <c r="E2359" s="59"/>
    </row>
    <row r="2360" spans="3:5" x14ac:dyDescent="0.15">
      <c r="C2360" s="255" t="s">
        <v>949</v>
      </c>
      <c r="D2360" s="59">
        <v>394.7</v>
      </c>
      <c r="E2360" s="59"/>
    </row>
    <row r="2361" spans="3:5" x14ac:dyDescent="0.15">
      <c r="C2361" s="255" t="s">
        <v>950</v>
      </c>
      <c r="D2361" s="59">
        <v>0</v>
      </c>
      <c r="E2361" s="59"/>
    </row>
    <row r="2362" spans="3:5" x14ac:dyDescent="0.15">
      <c r="C2362" s="255" t="s">
        <v>951</v>
      </c>
      <c r="D2362" s="59">
        <v>2905.3</v>
      </c>
      <c r="E2362" s="59"/>
    </row>
    <row r="2363" spans="3:5" x14ac:dyDescent="0.15">
      <c r="C2363" s="255" t="s">
        <v>952</v>
      </c>
      <c r="D2363" s="59">
        <v>403.4</v>
      </c>
      <c r="E2363" s="59"/>
    </row>
    <row r="2364" spans="3:5" x14ac:dyDescent="0.15">
      <c r="C2364" s="255" t="s">
        <v>953</v>
      </c>
      <c r="D2364" s="59">
        <v>236.4</v>
      </c>
      <c r="E2364" s="59"/>
    </row>
    <row r="2365" spans="3:5" x14ac:dyDescent="0.15">
      <c r="C2365" s="255" t="s">
        <v>954</v>
      </c>
      <c r="D2365" s="59">
        <v>4873.5</v>
      </c>
      <c r="E2365" s="59"/>
    </row>
    <row r="2366" spans="3:5" x14ac:dyDescent="0.15">
      <c r="C2366" s="255" t="s">
        <v>955</v>
      </c>
      <c r="D2366" s="59">
        <v>1559.3</v>
      </c>
      <c r="E2366" s="59"/>
    </row>
    <row r="2367" spans="3:5" x14ac:dyDescent="0.15">
      <c r="C2367" s="255" t="s">
        <v>956</v>
      </c>
      <c r="D2367" s="59">
        <v>4238.3</v>
      </c>
      <c r="E2367" s="59"/>
    </row>
    <row r="2368" spans="3:5" x14ac:dyDescent="0.15">
      <c r="C2368" s="255" t="s">
        <v>957</v>
      </c>
      <c r="D2368" s="59">
        <v>45893.7</v>
      </c>
      <c r="E2368" s="59"/>
    </row>
    <row r="2369" spans="3:5" x14ac:dyDescent="0.15">
      <c r="C2369" s="255" t="s">
        <v>958</v>
      </c>
      <c r="D2369" s="59">
        <v>136</v>
      </c>
      <c r="E2369" s="59"/>
    </row>
    <row r="2370" spans="3:5" x14ac:dyDescent="0.15">
      <c r="C2370" s="255" t="s">
        <v>959</v>
      </c>
      <c r="D2370" s="59">
        <v>1465</v>
      </c>
      <c r="E2370" s="59"/>
    </row>
    <row r="2371" spans="3:5" x14ac:dyDescent="0.15">
      <c r="C2371" s="255" t="s">
        <v>960</v>
      </c>
      <c r="D2371" s="59">
        <v>16.100000000000001</v>
      </c>
      <c r="E2371" s="59"/>
    </row>
    <row r="2372" spans="3:5" x14ac:dyDescent="0.15">
      <c r="C2372" s="255" t="s">
        <v>961</v>
      </c>
      <c r="D2372" s="59">
        <v>104.5</v>
      </c>
      <c r="E2372" s="59"/>
    </row>
    <row r="2373" spans="3:5" x14ac:dyDescent="0.15">
      <c r="C2373" s="255" t="s">
        <v>962</v>
      </c>
      <c r="D2373" s="59">
        <v>0.1</v>
      </c>
      <c r="E2373" s="59"/>
    </row>
    <row r="2374" spans="3:5" x14ac:dyDescent="0.15">
      <c r="C2374" s="255" t="s">
        <v>963</v>
      </c>
      <c r="D2374" s="59">
        <v>1719.8</v>
      </c>
      <c r="E2374" s="59"/>
    </row>
    <row r="2375" spans="3:5" x14ac:dyDescent="0.15">
      <c r="C2375" s="255" t="s">
        <v>964</v>
      </c>
      <c r="D2375" s="59">
        <v>1402.3</v>
      </c>
      <c r="E2375" s="59"/>
    </row>
    <row r="2376" spans="3:5" x14ac:dyDescent="0.15">
      <c r="C2376" s="255" t="s">
        <v>965</v>
      </c>
      <c r="D2376" s="59">
        <v>71.3</v>
      </c>
      <c r="E2376" s="59"/>
    </row>
    <row r="2377" spans="3:5" x14ac:dyDescent="0.15">
      <c r="C2377" s="255" t="s">
        <v>966</v>
      </c>
      <c r="D2377" s="59">
        <v>1.9</v>
      </c>
      <c r="E2377" s="59"/>
    </row>
    <row r="2378" spans="3:5" x14ac:dyDescent="0.15">
      <c r="C2378" s="255" t="s">
        <v>967</v>
      </c>
      <c r="D2378" s="59">
        <v>347</v>
      </c>
      <c r="E2378" s="59"/>
    </row>
    <row r="2379" spans="3:5" x14ac:dyDescent="0.15">
      <c r="C2379" s="255" t="s">
        <v>968</v>
      </c>
      <c r="D2379" s="59">
        <v>0</v>
      </c>
      <c r="E2379" s="59"/>
    </row>
    <row r="2380" spans="3:5" x14ac:dyDescent="0.15">
      <c r="C2380" s="255" t="s">
        <v>969</v>
      </c>
      <c r="D2380" s="59">
        <v>48.9</v>
      </c>
      <c r="E2380" s="59"/>
    </row>
    <row r="2381" spans="3:5" x14ac:dyDescent="0.15">
      <c r="C2381" s="255" t="s">
        <v>970</v>
      </c>
      <c r="D2381" s="59">
        <v>0</v>
      </c>
      <c r="E2381" s="59"/>
    </row>
    <row r="2382" spans="3:5" x14ac:dyDescent="0.15">
      <c r="C2382" s="255" t="s">
        <v>971</v>
      </c>
      <c r="D2382" s="59">
        <v>907.7</v>
      </c>
      <c r="E2382" s="59"/>
    </row>
    <row r="2383" spans="3:5" x14ac:dyDescent="0.15">
      <c r="C2383" s="255" t="s">
        <v>972</v>
      </c>
      <c r="D2383" s="59">
        <v>1753.9</v>
      </c>
      <c r="E2383" s="59"/>
    </row>
    <row r="2384" spans="3:5" x14ac:dyDescent="0.15">
      <c r="C2384" s="255" t="s">
        <v>973</v>
      </c>
      <c r="D2384" s="59">
        <v>206.5</v>
      </c>
      <c r="E2384" s="59"/>
    </row>
    <row r="2385" spans="3:5" x14ac:dyDescent="0.15">
      <c r="C2385" s="255" t="s">
        <v>974</v>
      </c>
      <c r="D2385" s="59">
        <v>371.2</v>
      </c>
      <c r="E2385" s="59"/>
    </row>
    <row r="2386" spans="3:5" x14ac:dyDescent="0.15">
      <c r="C2386" s="255" t="s">
        <v>975</v>
      </c>
      <c r="D2386" s="59">
        <v>1339.8</v>
      </c>
      <c r="E2386" s="59"/>
    </row>
    <row r="2387" spans="3:5" x14ac:dyDescent="0.15">
      <c r="C2387" s="255" t="s">
        <v>976</v>
      </c>
      <c r="D2387" s="59">
        <v>11.1</v>
      </c>
      <c r="E2387" s="59"/>
    </row>
    <row r="2388" spans="3:5" x14ac:dyDescent="0.15">
      <c r="C2388" s="255" t="s">
        <v>977</v>
      </c>
      <c r="D2388" s="59">
        <v>1287.8</v>
      </c>
      <c r="E2388" s="59"/>
    </row>
    <row r="2389" spans="3:5" x14ac:dyDescent="0.15">
      <c r="C2389" s="255" t="s">
        <v>978</v>
      </c>
      <c r="D2389" s="59">
        <v>1562.6</v>
      </c>
      <c r="E2389" s="59"/>
    </row>
    <row r="2390" spans="3:5" x14ac:dyDescent="0.15">
      <c r="C2390" s="255" t="s">
        <v>979</v>
      </c>
      <c r="D2390" s="59">
        <v>739</v>
      </c>
      <c r="E2390" s="59"/>
    </row>
    <row r="2391" spans="3:5" x14ac:dyDescent="0.15">
      <c r="C2391" s="255" t="s">
        <v>980</v>
      </c>
      <c r="D2391" s="59">
        <v>393</v>
      </c>
      <c r="E2391" s="59"/>
    </row>
    <row r="2392" spans="3:5" x14ac:dyDescent="0.15">
      <c r="C2392" s="255" t="s">
        <v>981</v>
      </c>
      <c r="D2392" s="59">
        <v>0</v>
      </c>
      <c r="E2392" s="59"/>
    </row>
    <row r="2393" spans="3:5" x14ac:dyDescent="0.15">
      <c r="C2393" s="255" t="s">
        <v>982</v>
      </c>
      <c r="D2393" s="59">
        <v>476.6</v>
      </c>
      <c r="E2393" s="59"/>
    </row>
    <row r="2394" spans="3:5" x14ac:dyDescent="0.15">
      <c r="C2394" s="255" t="s">
        <v>983</v>
      </c>
      <c r="D2394" s="59">
        <v>2962.9</v>
      </c>
      <c r="E2394" s="59"/>
    </row>
    <row r="2395" spans="3:5" x14ac:dyDescent="0.15">
      <c r="C2395" s="255" t="s">
        <v>984</v>
      </c>
      <c r="D2395" s="59">
        <v>0</v>
      </c>
      <c r="E2395" s="59"/>
    </row>
    <row r="2396" spans="3:5" x14ac:dyDescent="0.15">
      <c r="C2396" s="255" t="s">
        <v>985</v>
      </c>
      <c r="D2396" s="59">
        <v>1434</v>
      </c>
      <c r="E2396" s="59"/>
    </row>
    <row r="2397" spans="3:5" x14ac:dyDescent="0.15">
      <c r="C2397" s="255" t="s">
        <v>986</v>
      </c>
      <c r="D2397" s="59">
        <v>913.7</v>
      </c>
      <c r="E2397" s="59"/>
    </row>
    <row r="2398" spans="3:5" x14ac:dyDescent="0.15">
      <c r="C2398" s="255" t="s">
        <v>987</v>
      </c>
      <c r="D2398" s="59">
        <v>267.10000000000002</v>
      </c>
      <c r="E2398" s="59"/>
    </row>
    <row r="2399" spans="3:5" x14ac:dyDescent="0.15">
      <c r="C2399" s="255" t="s">
        <v>988</v>
      </c>
      <c r="D2399" s="59">
        <v>3274.7</v>
      </c>
      <c r="E2399" s="59"/>
    </row>
    <row r="2400" spans="3:5" x14ac:dyDescent="0.15">
      <c r="C2400" s="255" t="s">
        <v>989</v>
      </c>
      <c r="D2400" s="59">
        <v>2513.1999999999998</v>
      </c>
      <c r="E2400" s="59"/>
    </row>
    <row r="2401" spans="3:5" x14ac:dyDescent="0.15">
      <c r="C2401" s="255" t="s">
        <v>990</v>
      </c>
      <c r="D2401" s="59">
        <v>388.2</v>
      </c>
      <c r="E2401" s="59"/>
    </row>
    <row r="2402" spans="3:5" x14ac:dyDescent="0.15">
      <c r="C2402" s="255" t="s">
        <v>991</v>
      </c>
      <c r="D2402" s="59">
        <v>6234</v>
      </c>
      <c r="E2402" s="59"/>
    </row>
    <row r="2403" spans="3:5" x14ac:dyDescent="0.15">
      <c r="C2403" s="255" t="s">
        <v>992</v>
      </c>
      <c r="D2403" s="59">
        <v>31.3</v>
      </c>
      <c r="E2403" s="59"/>
    </row>
    <row r="2404" spans="3:5" x14ac:dyDescent="0.15">
      <c r="C2404" s="255" t="s">
        <v>993</v>
      </c>
      <c r="D2404" s="59">
        <v>227.2</v>
      </c>
      <c r="E2404" s="59"/>
    </row>
    <row r="2405" spans="3:5" x14ac:dyDescent="0.15">
      <c r="C2405" s="255" t="s">
        <v>994</v>
      </c>
      <c r="D2405" s="59">
        <v>0</v>
      </c>
      <c r="E2405" s="59"/>
    </row>
    <row r="2406" spans="3:5" x14ac:dyDescent="0.15">
      <c r="C2406" s="255" t="s">
        <v>995</v>
      </c>
      <c r="D2406" s="59">
        <v>1240.9000000000001</v>
      </c>
      <c r="E2406" s="59"/>
    </row>
    <row r="2407" spans="3:5" x14ac:dyDescent="0.15">
      <c r="C2407" s="255" t="s">
        <v>996</v>
      </c>
      <c r="D2407" s="59">
        <v>633.5</v>
      </c>
      <c r="E2407" s="59"/>
    </row>
    <row r="2408" spans="3:5" x14ac:dyDescent="0.15">
      <c r="C2408" s="255" t="s">
        <v>997</v>
      </c>
      <c r="D2408" s="59">
        <v>674.6</v>
      </c>
      <c r="E2408" s="59"/>
    </row>
    <row r="2409" spans="3:5" x14ac:dyDescent="0.15">
      <c r="C2409" s="255" t="s">
        <v>998</v>
      </c>
      <c r="D2409" s="59">
        <v>82.4</v>
      </c>
      <c r="E2409" s="59"/>
    </row>
    <row r="2410" spans="3:5" x14ac:dyDescent="0.15">
      <c r="C2410" s="255" t="s">
        <v>999</v>
      </c>
      <c r="D2410" s="59">
        <v>0</v>
      </c>
      <c r="E2410" s="59"/>
    </row>
    <row r="2411" spans="3:5" x14ac:dyDescent="0.15">
      <c r="C2411" s="255" t="s">
        <v>1000</v>
      </c>
      <c r="D2411" s="59">
        <v>1103.5999999999999</v>
      </c>
      <c r="E2411" s="59"/>
    </row>
    <row r="2412" spans="3:5" x14ac:dyDescent="0.15">
      <c r="C2412" s="255" t="s">
        <v>1001</v>
      </c>
      <c r="D2412" s="59">
        <v>440.2</v>
      </c>
      <c r="E2412" s="59"/>
    </row>
    <row r="2413" spans="3:5" x14ac:dyDescent="0.15">
      <c r="C2413" s="255" t="s">
        <v>1002</v>
      </c>
      <c r="D2413" s="59">
        <v>165.8</v>
      </c>
      <c r="E2413" s="59"/>
    </row>
    <row r="2414" spans="3:5" x14ac:dyDescent="0.15">
      <c r="C2414" s="255" t="s">
        <v>1003</v>
      </c>
      <c r="D2414" s="59">
        <v>187.9</v>
      </c>
      <c r="E2414" s="59"/>
    </row>
    <row r="2415" spans="3:5" x14ac:dyDescent="0.15">
      <c r="C2415" s="255" t="s">
        <v>1004</v>
      </c>
      <c r="D2415" s="59">
        <v>164.5</v>
      </c>
      <c r="E2415" s="59"/>
    </row>
    <row r="2416" spans="3:5" x14ac:dyDescent="0.15">
      <c r="C2416" s="255" t="s">
        <v>1005</v>
      </c>
      <c r="D2416" s="59">
        <v>276.89999999999998</v>
      </c>
      <c r="E2416" s="59"/>
    </row>
    <row r="2417" spans="3:5" x14ac:dyDescent="0.15">
      <c r="C2417" s="255" t="s">
        <v>1006</v>
      </c>
      <c r="D2417" s="59">
        <v>8315.1</v>
      </c>
      <c r="E2417" s="59"/>
    </row>
    <row r="2418" spans="3:5" x14ac:dyDescent="0.15">
      <c r="C2418" s="255" t="s">
        <v>1007</v>
      </c>
      <c r="D2418" s="59">
        <v>3139</v>
      </c>
      <c r="E2418" s="59"/>
    </row>
    <row r="2419" spans="3:5" x14ac:dyDescent="0.15">
      <c r="C2419" s="255" t="s">
        <v>1008</v>
      </c>
      <c r="D2419" s="59">
        <v>697</v>
      </c>
      <c r="E2419" s="59"/>
    </row>
    <row r="2420" spans="3:5" x14ac:dyDescent="0.15">
      <c r="C2420" s="255" t="s">
        <v>1009</v>
      </c>
      <c r="D2420" s="59">
        <v>1672.6</v>
      </c>
      <c r="E2420" s="59"/>
    </row>
    <row r="2421" spans="3:5" x14ac:dyDescent="0.15">
      <c r="C2421" s="255" t="s">
        <v>1010</v>
      </c>
      <c r="D2421" s="59">
        <v>390.4</v>
      </c>
      <c r="E2421" s="59"/>
    </row>
    <row r="2422" spans="3:5" x14ac:dyDescent="0.15">
      <c r="C2422" s="255" t="s">
        <v>1011</v>
      </c>
      <c r="D2422" s="59">
        <v>379</v>
      </c>
      <c r="E2422" s="59"/>
    </row>
    <row r="2423" spans="3:5" x14ac:dyDescent="0.15">
      <c r="C2423" s="255" t="s">
        <v>1012</v>
      </c>
      <c r="D2423" s="59">
        <v>30061</v>
      </c>
      <c r="E2423" s="59"/>
    </row>
    <row r="2424" spans="3:5" x14ac:dyDescent="0.15">
      <c r="C2424" s="255" t="s">
        <v>1013</v>
      </c>
      <c r="D2424" s="59">
        <v>16478</v>
      </c>
      <c r="E2424" s="59"/>
    </row>
    <row r="2425" spans="3:5" x14ac:dyDescent="0.15">
      <c r="C2425" s="255" t="s">
        <v>1014</v>
      </c>
      <c r="D2425" s="59">
        <v>5119</v>
      </c>
      <c r="E2425" s="59"/>
    </row>
    <row r="2426" spans="3:5" x14ac:dyDescent="0.15">
      <c r="C2426" s="255" t="s">
        <v>1015</v>
      </c>
      <c r="D2426" s="59">
        <v>1440.6</v>
      </c>
      <c r="E2426" s="59"/>
    </row>
    <row r="2427" spans="3:5" x14ac:dyDescent="0.15">
      <c r="C2427" s="255" t="s">
        <v>1016</v>
      </c>
      <c r="D2427" s="59">
        <v>3988.1</v>
      </c>
      <c r="E2427" s="59"/>
    </row>
    <row r="2428" spans="3:5" x14ac:dyDescent="0.15">
      <c r="C2428" s="255" t="s">
        <v>1017</v>
      </c>
      <c r="D2428" s="59">
        <v>2922.6</v>
      </c>
      <c r="E2428" s="59"/>
    </row>
    <row r="2429" spans="3:5" x14ac:dyDescent="0.15">
      <c r="C2429" s="255" t="s">
        <v>1018</v>
      </c>
      <c r="D2429" s="59">
        <v>112.6</v>
      </c>
      <c r="E2429" s="59"/>
    </row>
    <row r="2430" spans="3:5" x14ac:dyDescent="0.15">
      <c r="C2430" s="255" t="s">
        <v>1019</v>
      </c>
      <c r="D2430" s="59">
        <v>42658.3</v>
      </c>
      <c r="E2430" s="59"/>
    </row>
    <row r="2431" spans="3:5" x14ac:dyDescent="0.15">
      <c r="C2431" s="255" t="s">
        <v>1020</v>
      </c>
      <c r="D2431" s="59">
        <v>568.1</v>
      </c>
      <c r="E2431" s="59"/>
    </row>
    <row r="2432" spans="3:5" x14ac:dyDescent="0.15">
      <c r="C2432" s="255" t="s">
        <v>1021</v>
      </c>
      <c r="D2432" s="59">
        <v>653</v>
      </c>
      <c r="E2432" s="59"/>
    </row>
    <row r="2433" spans="3:5" x14ac:dyDescent="0.15">
      <c r="C2433" s="255" t="s">
        <v>1022</v>
      </c>
      <c r="D2433" s="59">
        <v>761.3</v>
      </c>
      <c r="E2433" s="59"/>
    </row>
    <row r="2434" spans="3:5" x14ac:dyDescent="0.15">
      <c r="C2434" s="255" t="s">
        <v>1023</v>
      </c>
      <c r="D2434" s="59">
        <v>199.1</v>
      </c>
      <c r="E2434" s="59"/>
    </row>
    <row r="2435" spans="3:5" x14ac:dyDescent="0.15">
      <c r="C2435" s="255" t="s">
        <v>1024</v>
      </c>
      <c r="D2435" s="59">
        <v>24.1</v>
      </c>
      <c r="E2435" s="59"/>
    </row>
    <row r="2436" spans="3:5" x14ac:dyDescent="0.15">
      <c r="C2436" s="255" t="s">
        <v>1025</v>
      </c>
      <c r="D2436" s="59">
        <v>376.2</v>
      </c>
      <c r="E2436" s="59"/>
    </row>
    <row r="2437" spans="3:5" x14ac:dyDescent="0.15">
      <c r="C2437" s="255" t="s">
        <v>1026</v>
      </c>
      <c r="D2437" s="59">
        <v>5952.2</v>
      </c>
      <c r="E2437" s="59"/>
    </row>
    <row r="2438" spans="3:5" x14ac:dyDescent="0.15">
      <c r="C2438" s="255" t="s">
        <v>1027</v>
      </c>
      <c r="D2438" s="59">
        <v>0</v>
      </c>
      <c r="E2438" s="59"/>
    </row>
    <row r="2439" spans="3:5" x14ac:dyDescent="0.15">
      <c r="C2439" s="255" t="s">
        <v>1028</v>
      </c>
      <c r="D2439" s="59">
        <v>818.7</v>
      </c>
      <c r="E2439" s="59"/>
    </row>
    <row r="2440" spans="3:5" x14ac:dyDescent="0.15">
      <c r="C2440" s="255" t="s">
        <v>1029</v>
      </c>
      <c r="D2440" s="59">
        <v>699.1</v>
      </c>
      <c r="E2440" s="59"/>
    </row>
    <row r="2441" spans="3:5" x14ac:dyDescent="0.15">
      <c r="C2441" s="255" t="s">
        <v>1030</v>
      </c>
      <c r="D2441" s="59">
        <v>0.6</v>
      </c>
      <c r="E2441" s="59"/>
    </row>
    <row r="2442" spans="3:5" x14ac:dyDescent="0.15">
      <c r="C2442" s="255" t="s">
        <v>1031</v>
      </c>
      <c r="D2442" s="59">
        <v>1159.4000000000001</v>
      </c>
      <c r="E2442" s="59"/>
    </row>
    <row r="2443" spans="3:5" x14ac:dyDescent="0.15">
      <c r="C2443" s="255" t="s">
        <v>1032</v>
      </c>
      <c r="D2443" s="59">
        <v>2.4</v>
      </c>
      <c r="E2443" s="59"/>
    </row>
    <row r="2444" spans="3:5" x14ac:dyDescent="0.15">
      <c r="C2444" s="255" t="s">
        <v>1033</v>
      </c>
      <c r="D2444" s="59">
        <v>0</v>
      </c>
      <c r="E2444" s="59"/>
    </row>
    <row r="2445" spans="3:5" x14ac:dyDescent="0.15">
      <c r="C2445" s="255" t="s">
        <v>1034</v>
      </c>
      <c r="D2445" s="59">
        <v>205</v>
      </c>
      <c r="E2445" s="59"/>
    </row>
    <row r="2446" spans="3:5" x14ac:dyDescent="0.15">
      <c r="C2446" s="255" t="s">
        <v>1035</v>
      </c>
      <c r="D2446" s="59">
        <v>1145.9000000000001</v>
      </c>
      <c r="E2446" s="59"/>
    </row>
    <row r="2447" spans="3:5" x14ac:dyDescent="0.15">
      <c r="C2447" s="255" t="s">
        <v>1036</v>
      </c>
      <c r="D2447" s="59">
        <v>0</v>
      </c>
      <c r="E2447" s="59"/>
    </row>
    <row r="2448" spans="3:5" x14ac:dyDescent="0.15">
      <c r="C2448" s="255" t="s">
        <v>1037</v>
      </c>
      <c r="D2448" s="59">
        <v>2302.9</v>
      </c>
      <c r="E2448" s="59"/>
    </row>
    <row r="2449" spans="2:5" x14ac:dyDescent="0.15">
      <c r="C2449" s="255" t="s">
        <v>1038</v>
      </c>
      <c r="D2449" s="59">
        <v>8328.4</v>
      </c>
      <c r="E2449" s="59"/>
    </row>
    <row r="2450" spans="2:5" x14ac:dyDescent="0.15">
      <c r="C2450" s="255" t="s">
        <v>1039</v>
      </c>
      <c r="D2450" s="59">
        <v>1894.5</v>
      </c>
      <c r="E2450" s="59"/>
    </row>
    <row r="2451" spans="2:5" x14ac:dyDescent="0.15">
      <c r="C2451" s="255" t="s">
        <v>1040</v>
      </c>
      <c r="D2451" s="59">
        <v>9477.4</v>
      </c>
      <c r="E2451" s="59"/>
    </row>
    <row r="2452" spans="2:5" x14ac:dyDescent="0.15">
      <c r="C2452" s="255" t="s">
        <v>1041</v>
      </c>
      <c r="D2452" s="59">
        <v>822.9</v>
      </c>
      <c r="E2452" s="59"/>
    </row>
    <row r="2453" spans="2:5" x14ac:dyDescent="0.15">
      <c r="C2453" s="255" t="s">
        <v>1042</v>
      </c>
      <c r="D2453" s="59">
        <v>5261</v>
      </c>
      <c r="E2453" s="59"/>
    </row>
    <row r="2454" spans="2:5" x14ac:dyDescent="0.15">
      <c r="C2454" s="255" t="s">
        <v>1043</v>
      </c>
      <c r="D2454" s="59">
        <v>1344.7</v>
      </c>
      <c r="E2454" s="59"/>
    </row>
    <row r="2455" spans="2:5" x14ac:dyDescent="0.15">
      <c r="C2455" s="255" t="s">
        <v>1044</v>
      </c>
      <c r="D2455" s="59">
        <v>177.5</v>
      </c>
      <c r="E2455" s="59"/>
    </row>
    <row r="2456" spans="2:5" x14ac:dyDescent="0.15">
      <c r="C2456" s="255" t="s">
        <v>1045</v>
      </c>
      <c r="D2456" s="59">
        <v>97.5</v>
      </c>
      <c r="E2456" s="59"/>
    </row>
    <row r="2457" spans="2:5" x14ac:dyDescent="0.15">
      <c r="C2457" s="255" t="s">
        <v>1046</v>
      </c>
      <c r="D2457" s="59">
        <v>383.1</v>
      </c>
      <c r="E2457" s="59"/>
    </row>
    <row r="2458" spans="2:5" x14ac:dyDescent="0.15">
      <c r="C2458" s="255" t="s">
        <v>1047</v>
      </c>
      <c r="D2458" s="59">
        <v>3.1</v>
      </c>
      <c r="E2458" s="59"/>
    </row>
    <row r="2459" spans="2:5" x14ac:dyDescent="0.15">
      <c r="C2459" s="255" t="s">
        <v>1048</v>
      </c>
      <c r="D2459" s="59">
        <v>0</v>
      </c>
      <c r="E2459" s="59"/>
    </row>
    <row r="2460" spans="2:5" x14ac:dyDescent="0.15">
      <c r="B2460" s="255" t="s">
        <v>1052</v>
      </c>
      <c r="C2460" s="255" t="s">
        <v>743</v>
      </c>
      <c r="D2460" s="59">
        <v>2194</v>
      </c>
      <c r="E2460" s="59"/>
    </row>
    <row r="2461" spans="2:5" x14ac:dyDescent="0.15">
      <c r="C2461" s="255" t="s">
        <v>744</v>
      </c>
      <c r="D2461" s="59">
        <v>2686</v>
      </c>
      <c r="E2461" s="59"/>
    </row>
    <row r="2462" spans="2:5" x14ac:dyDescent="0.15">
      <c r="C2462" s="255" t="s">
        <v>745</v>
      </c>
      <c r="D2462" s="59">
        <v>5683.5</v>
      </c>
      <c r="E2462" s="59"/>
    </row>
    <row r="2463" spans="2:5" x14ac:dyDescent="0.15">
      <c r="C2463" s="255" t="s">
        <v>746</v>
      </c>
      <c r="D2463" s="59">
        <v>2.1</v>
      </c>
      <c r="E2463" s="59"/>
    </row>
    <row r="2464" spans="2:5" x14ac:dyDescent="0.15">
      <c r="C2464" s="255" t="s">
        <v>747</v>
      </c>
      <c r="D2464" s="59">
        <v>1.7</v>
      </c>
      <c r="E2464" s="59"/>
    </row>
    <row r="2465" spans="3:5" x14ac:dyDescent="0.15">
      <c r="C2465" s="255" t="s">
        <v>748</v>
      </c>
      <c r="D2465" s="59">
        <v>0.4</v>
      </c>
      <c r="E2465" s="59"/>
    </row>
    <row r="2466" spans="3:5" x14ac:dyDescent="0.15">
      <c r="C2466" s="255" t="s">
        <v>749</v>
      </c>
      <c r="D2466" s="59">
        <v>0.5</v>
      </c>
      <c r="E2466" s="59"/>
    </row>
    <row r="2467" spans="3:5" x14ac:dyDescent="0.15">
      <c r="C2467" s="255" t="s">
        <v>750</v>
      </c>
      <c r="D2467" s="59">
        <v>0.4</v>
      </c>
      <c r="E2467" s="59"/>
    </row>
    <row r="2468" spans="3:5" x14ac:dyDescent="0.15">
      <c r="C2468" s="255" t="s">
        <v>751</v>
      </c>
      <c r="D2468" s="59">
        <v>52.3</v>
      </c>
      <c r="E2468" s="59"/>
    </row>
    <row r="2469" spans="3:5" x14ac:dyDescent="0.15">
      <c r="C2469" s="255" t="s">
        <v>752</v>
      </c>
      <c r="D2469" s="59">
        <v>1.5</v>
      </c>
      <c r="E2469" s="59"/>
    </row>
    <row r="2470" spans="3:5" x14ac:dyDescent="0.15">
      <c r="C2470" s="255" t="s">
        <v>753</v>
      </c>
      <c r="D2470" s="59">
        <v>112.7</v>
      </c>
      <c r="E2470" s="59"/>
    </row>
    <row r="2471" spans="3:5" x14ac:dyDescent="0.15">
      <c r="C2471" s="255" t="s">
        <v>754</v>
      </c>
      <c r="D2471" s="59">
        <v>1953.7</v>
      </c>
      <c r="E2471" s="59"/>
    </row>
    <row r="2472" spans="3:5" x14ac:dyDescent="0.15">
      <c r="C2472" s="255" t="s">
        <v>192</v>
      </c>
      <c r="D2472" s="59">
        <v>300480.3</v>
      </c>
      <c r="E2472" s="59"/>
    </row>
    <row r="2473" spans="3:5" x14ac:dyDescent="0.15">
      <c r="C2473" s="255" t="s">
        <v>755</v>
      </c>
      <c r="D2473" s="59">
        <v>36260.9</v>
      </c>
      <c r="E2473" s="59"/>
    </row>
    <row r="2474" spans="3:5" x14ac:dyDescent="0.15">
      <c r="C2474" s="255" t="s">
        <v>756</v>
      </c>
      <c r="D2474" s="59">
        <v>142.6</v>
      </c>
      <c r="E2474" s="59"/>
    </row>
    <row r="2475" spans="3:5" x14ac:dyDescent="0.15">
      <c r="C2475" s="255" t="s">
        <v>757</v>
      </c>
      <c r="D2475" s="59">
        <v>119.1</v>
      </c>
      <c r="E2475" s="59"/>
    </row>
    <row r="2476" spans="3:5" x14ac:dyDescent="0.15">
      <c r="C2476" s="255" t="s">
        <v>758</v>
      </c>
      <c r="D2476" s="59">
        <v>2221.1999999999998</v>
      </c>
      <c r="E2476" s="59"/>
    </row>
    <row r="2477" spans="3:5" x14ac:dyDescent="0.15">
      <c r="C2477" s="255" t="s">
        <v>759</v>
      </c>
      <c r="D2477" s="59">
        <v>1387</v>
      </c>
      <c r="E2477" s="59"/>
    </row>
    <row r="2478" spans="3:5" x14ac:dyDescent="0.15">
      <c r="C2478" s="255" t="s">
        <v>760</v>
      </c>
      <c r="D2478" s="59">
        <v>165</v>
      </c>
      <c r="E2478" s="59"/>
    </row>
    <row r="2479" spans="3:5" x14ac:dyDescent="0.15">
      <c r="C2479" s="255" t="s">
        <v>761</v>
      </c>
      <c r="D2479" s="59">
        <v>364.4</v>
      </c>
      <c r="E2479" s="59"/>
    </row>
    <row r="2480" spans="3:5" x14ac:dyDescent="0.15">
      <c r="C2480" s="255" t="s">
        <v>762</v>
      </c>
      <c r="D2480" s="59">
        <v>386</v>
      </c>
      <c r="E2480" s="59"/>
    </row>
    <row r="2481" spans="3:5" x14ac:dyDescent="0.15">
      <c r="C2481" s="255" t="s">
        <v>763</v>
      </c>
      <c r="D2481" s="59">
        <v>173.3</v>
      </c>
      <c r="E2481" s="59"/>
    </row>
    <row r="2482" spans="3:5" x14ac:dyDescent="0.15">
      <c r="C2482" s="255" t="s">
        <v>764</v>
      </c>
      <c r="D2482" s="59">
        <v>2187.5</v>
      </c>
      <c r="E2482" s="59"/>
    </row>
    <row r="2483" spans="3:5" x14ac:dyDescent="0.15">
      <c r="C2483" s="255" t="s">
        <v>765</v>
      </c>
      <c r="D2483" s="59">
        <v>1110.7</v>
      </c>
      <c r="E2483" s="59"/>
    </row>
    <row r="2484" spans="3:5" x14ac:dyDescent="0.15">
      <c r="C2484" s="255" t="s">
        <v>766</v>
      </c>
      <c r="D2484" s="59">
        <v>166.9</v>
      </c>
      <c r="E2484" s="59"/>
    </row>
    <row r="2485" spans="3:5" x14ac:dyDescent="0.15">
      <c r="C2485" s="255" t="s">
        <v>767</v>
      </c>
      <c r="D2485" s="59">
        <v>1140.0999999999999</v>
      </c>
      <c r="E2485" s="59"/>
    </row>
    <row r="2486" spans="3:5" x14ac:dyDescent="0.15">
      <c r="C2486" s="255" t="s">
        <v>768</v>
      </c>
      <c r="D2486" s="59">
        <v>36.1</v>
      </c>
      <c r="E2486" s="59"/>
    </row>
    <row r="2487" spans="3:5" x14ac:dyDescent="0.15">
      <c r="C2487" s="255" t="s">
        <v>769</v>
      </c>
      <c r="D2487" s="59">
        <v>27.4</v>
      </c>
      <c r="E2487" s="59"/>
    </row>
    <row r="2488" spans="3:5" x14ac:dyDescent="0.15">
      <c r="C2488" s="255" t="s">
        <v>770</v>
      </c>
      <c r="D2488" s="59">
        <v>1525.8</v>
      </c>
      <c r="E2488" s="59"/>
    </row>
    <row r="2489" spans="3:5" x14ac:dyDescent="0.15">
      <c r="C2489" s="255" t="s">
        <v>771</v>
      </c>
      <c r="D2489" s="59">
        <v>1619.8</v>
      </c>
      <c r="E2489" s="59"/>
    </row>
    <row r="2490" spans="3:5" x14ac:dyDescent="0.15">
      <c r="C2490" s="255" t="s">
        <v>772</v>
      </c>
      <c r="D2490" s="59">
        <v>556.6</v>
      </c>
      <c r="E2490" s="59"/>
    </row>
    <row r="2491" spans="3:5" x14ac:dyDescent="0.15">
      <c r="C2491" s="255" t="s">
        <v>773</v>
      </c>
      <c r="D2491" s="59">
        <v>101.1</v>
      </c>
      <c r="E2491" s="59"/>
    </row>
    <row r="2492" spans="3:5" x14ac:dyDescent="0.15">
      <c r="C2492" s="255" t="s">
        <v>774</v>
      </c>
      <c r="D2492" s="59">
        <v>92.2</v>
      </c>
      <c r="E2492" s="59"/>
    </row>
    <row r="2493" spans="3:5" x14ac:dyDescent="0.15">
      <c r="C2493" s="255" t="s">
        <v>775</v>
      </c>
      <c r="D2493" s="59">
        <v>94.5</v>
      </c>
      <c r="E2493" s="59"/>
    </row>
    <row r="2494" spans="3:5" x14ac:dyDescent="0.15">
      <c r="C2494" s="255" t="s">
        <v>776</v>
      </c>
      <c r="D2494" s="59">
        <v>300.5</v>
      </c>
      <c r="E2494" s="59"/>
    </row>
    <row r="2495" spans="3:5" x14ac:dyDescent="0.15">
      <c r="C2495" s="255" t="s">
        <v>777</v>
      </c>
      <c r="D2495" s="59">
        <v>766.5</v>
      </c>
      <c r="E2495" s="59"/>
    </row>
    <row r="2496" spans="3:5" x14ac:dyDescent="0.15">
      <c r="C2496" s="255" t="s">
        <v>778</v>
      </c>
      <c r="D2496" s="59">
        <v>430.3</v>
      </c>
      <c r="E2496" s="59"/>
    </row>
    <row r="2497" spans="3:5" x14ac:dyDescent="0.15">
      <c r="C2497" s="255" t="s">
        <v>779</v>
      </c>
      <c r="D2497" s="59">
        <v>539.70000000000005</v>
      </c>
      <c r="E2497" s="59"/>
    </row>
    <row r="2498" spans="3:5" x14ac:dyDescent="0.15">
      <c r="C2498" s="255" t="s">
        <v>780</v>
      </c>
      <c r="D2498" s="59">
        <v>9</v>
      </c>
      <c r="E2498" s="59"/>
    </row>
    <row r="2499" spans="3:5" x14ac:dyDescent="0.15">
      <c r="C2499" s="255" t="s">
        <v>781</v>
      </c>
      <c r="D2499" s="59">
        <v>756.7</v>
      </c>
      <c r="E2499" s="59"/>
    </row>
    <row r="2500" spans="3:5" x14ac:dyDescent="0.15">
      <c r="C2500" s="255" t="s">
        <v>782</v>
      </c>
      <c r="D2500" s="59">
        <v>1883.8</v>
      </c>
      <c r="E2500" s="59"/>
    </row>
    <row r="2501" spans="3:5" x14ac:dyDescent="0.15">
      <c r="C2501" s="255" t="s">
        <v>783</v>
      </c>
      <c r="D2501" s="59">
        <v>722.6</v>
      </c>
      <c r="E2501" s="59"/>
    </row>
    <row r="2502" spans="3:5" x14ac:dyDescent="0.15">
      <c r="C2502" s="255" t="s">
        <v>784</v>
      </c>
      <c r="D2502" s="59">
        <v>619.1</v>
      </c>
      <c r="E2502" s="59"/>
    </row>
    <row r="2503" spans="3:5" x14ac:dyDescent="0.15">
      <c r="C2503" s="255" t="s">
        <v>785</v>
      </c>
      <c r="D2503" s="59">
        <v>554.6</v>
      </c>
      <c r="E2503" s="59"/>
    </row>
    <row r="2504" spans="3:5" x14ac:dyDescent="0.15">
      <c r="C2504" s="255" t="s">
        <v>786</v>
      </c>
      <c r="D2504" s="59">
        <v>149</v>
      </c>
      <c r="E2504" s="59"/>
    </row>
    <row r="2505" spans="3:5" x14ac:dyDescent="0.15">
      <c r="C2505" s="255" t="s">
        <v>787</v>
      </c>
      <c r="D2505" s="59">
        <v>112.1</v>
      </c>
      <c r="E2505" s="59"/>
    </row>
    <row r="2506" spans="3:5" x14ac:dyDescent="0.15">
      <c r="C2506" s="255" t="s">
        <v>788</v>
      </c>
      <c r="D2506" s="59">
        <v>91.8</v>
      </c>
      <c r="E2506" s="59"/>
    </row>
    <row r="2507" spans="3:5" x14ac:dyDescent="0.15">
      <c r="C2507" s="255" t="s">
        <v>789</v>
      </c>
      <c r="D2507" s="59">
        <v>9.8000000000000007</v>
      </c>
      <c r="E2507" s="59"/>
    </row>
    <row r="2508" spans="3:5" x14ac:dyDescent="0.15">
      <c r="C2508" s="255" t="s">
        <v>790</v>
      </c>
      <c r="D2508" s="59">
        <v>2245.9</v>
      </c>
      <c r="E2508" s="59"/>
    </row>
    <row r="2509" spans="3:5" x14ac:dyDescent="0.15">
      <c r="C2509" s="255" t="s">
        <v>791</v>
      </c>
      <c r="D2509" s="59">
        <v>64.2</v>
      </c>
      <c r="E2509" s="59"/>
    </row>
    <row r="2510" spans="3:5" x14ac:dyDescent="0.15">
      <c r="C2510" s="255" t="s">
        <v>792</v>
      </c>
      <c r="D2510" s="59">
        <v>772.3</v>
      </c>
      <c r="E2510" s="59"/>
    </row>
    <row r="2511" spans="3:5" x14ac:dyDescent="0.15">
      <c r="C2511" s="255" t="s">
        <v>793</v>
      </c>
      <c r="D2511" s="59">
        <v>180.1</v>
      </c>
      <c r="E2511" s="59"/>
    </row>
    <row r="2512" spans="3:5" x14ac:dyDescent="0.15">
      <c r="C2512" s="255" t="s">
        <v>794</v>
      </c>
      <c r="D2512" s="59">
        <v>2353.3000000000002</v>
      </c>
      <c r="E2512" s="59"/>
    </row>
    <row r="2513" spans="3:5" x14ac:dyDescent="0.15">
      <c r="C2513" s="255" t="s">
        <v>795</v>
      </c>
      <c r="D2513" s="59">
        <v>237.6</v>
      </c>
      <c r="E2513" s="59"/>
    </row>
    <row r="2514" spans="3:5" x14ac:dyDescent="0.15">
      <c r="C2514" s="255" t="s">
        <v>796</v>
      </c>
      <c r="D2514" s="59">
        <v>565</v>
      </c>
      <c r="E2514" s="59"/>
    </row>
    <row r="2515" spans="3:5" x14ac:dyDescent="0.15">
      <c r="C2515" s="255" t="s">
        <v>797</v>
      </c>
      <c r="D2515" s="59">
        <v>628.9</v>
      </c>
      <c r="E2515" s="59"/>
    </row>
    <row r="2516" spans="3:5" x14ac:dyDescent="0.15">
      <c r="C2516" s="255" t="s">
        <v>798</v>
      </c>
      <c r="D2516" s="59">
        <v>303.60000000000002</v>
      </c>
      <c r="E2516" s="59"/>
    </row>
    <row r="2517" spans="3:5" x14ac:dyDescent="0.15">
      <c r="C2517" s="255" t="s">
        <v>799</v>
      </c>
      <c r="D2517" s="59">
        <v>99.4</v>
      </c>
      <c r="E2517" s="59"/>
    </row>
    <row r="2518" spans="3:5" x14ac:dyDescent="0.15">
      <c r="C2518" s="255" t="s">
        <v>800</v>
      </c>
      <c r="D2518" s="59">
        <v>112.7</v>
      </c>
      <c r="E2518" s="59"/>
    </row>
    <row r="2519" spans="3:5" x14ac:dyDescent="0.15">
      <c r="C2519" s="255" t="s">
        <v>801</v>
      </c>
      <c r="D2519" s="59">
        <v>266.60000000000002</v>
      </c>
      <c r="E2519" s="59"/>
    </row>
    <row r="2520" spans="3:5" x14ac:dyDescent="0.15">
      <c r="C2520" s="255" t="s">
        <v>802</v>
      </c>
      <c r="D2520" s="59">
        <v>1058.3</v>
      </c>
      <c r="E2520" s="59"/>
    </row>
    <row r="2521" spans="3:5" x14ac:dyDescent="0.15">
      <c r="C2521" s="255" t="s">
        <v>803</v>
      </c>
      <c r="D2521" s="59">
        <v>1289.2</v>
      </c>
      <c r="E2521" s="59"/>
    </row>
    <row r="2522" spans="3:5" x14ac:dyDescent="0.15">
      <c r="C2522" s="255" t="s">
        <v>804</v>
      </c>
      <c r="D2522" s="59">
        <v>724.5</v>
      </c>
      <c r="E2522" s="59"/>
    </row>
    <row r="2523" spans="3:5" x14ac:dyDescent="0.15">
      <c r="C2523" s="255" t="s">
        <v>805</v>
      </c>
      <c r="D2523" s="59">
        <v>16.100000000000001</v>
      </c>
      <c r="E2523" s="59"/>
    </row>
    <row r="2524" spans="3:5" x14ac:dyDescent="0.15">
      <c r="C2524" s="255" t="s">
        <v>806</v>
      </c>
      <c r="D2524" s="59">
        <v>755</v>
      </c>
      <c r="E2524" s="59"/>
    </row>
    <row r="2525" spans="3:5" x14ac:dyDescent="0.15">
      <c r="C2525" s="255" t="s">
        <v>807</v>
      </c>
      <c r="D2525" s="59">
        <v>360.2</v>
      </c>
      <c r="E2525" s="59"/>
    </row>
    <row r="2526" spans="3:5" x14ac:dyDescent="0.15">
      <c r="C2526" s="255" t="s">
        <v>808</v>
      </c>
      <c r="D2526" s="59">
        <v>53.8</v>
      </c>
      <c r="E2526" s="59"/>
    </row>
    <row r="2527" spans="3:5" x14ac:dyDescent="0.15">
      <c r="C2527" s="255" t="s">
        <v>809</v>
      </c>
      <c r="D2527" s="59">
        <v>348.6</v>
      </c>
      <c r="E2527" s="59"/>
    </row>
    <row r="2528" spans="3:5" x14ac:dyDescent="0.15">
      <c r="C2528" s="255" t="s">
        <v>810</v>
      </c>
      <c r="D2528" s="59">
        <v>224.6</v>
      </c>
      <c r="E2528" s="59"/>
    </row>
    <row r="2529" spans="3:5" x14ac:dyDescent="0.15">
      <c r="C2529" s="255" t="s">
        <v>811</v>
      </c>
      <c r="D2529" s="59">
        <v>1015.7</v>
      </c>
      <c r="E2529" s="59"/>
    </row>
    <row r="2530" spans="3:5" x14ac:dyDescent="0.15">
      <c r="C2530" s="255" t="s">
        <v>812</v>
      </c>
      <c r="D2530" s="59">
        <v>161.69999999999999</v>
      </c>
      <c r="E2530" s="59"/>
    </row>
    <row r="2531" spans="3:5" x14ac:dyDescent="0.15">
      <c r="C2531" s="255" t="s">
        <v>813</v>
      </c>
      <c r="D2531" s="59">
        <v>37.700000000000003</v>
      </c>
      <c r="E2531" s="59"/>
    </row>
    <row r="2532" spans="3:5" x14ac:dyDescent="0.15">
      <c r="C2532" s="255" t="s">
        <v>814</v>
      </c>
      <c r="D2532" s="59">
        <v>183.9</v>
      </c>
      <c r="E2532" s="59"/>
    </row>
    <row r="2533" spans="3:5" x14ac:dyDescent="0.15">
      <c r="C2533" s="255" t="s">
        <v>815</v>
      </c>
      <c r="D2533" s="59">
        <v>1036.3</v>
      </c>
      <c r="E2533" s="59"/>
    </row>
    <row r="2534" spans="3:5" x14ac:dyDescent="0.15">
      <c r="C2534" s="255" t="s">
        <v>816</v>
      </c>
      <c r="D2534" s="59">
        <v>603.1</v>
      </c>
      <c r="E2534" s="59"/>
    </row>
    <row r="2535" spans="3:5" x14ac:dyDescent="0.15">
      <c r="C2535" s="255" t="s">
        <v>817</v>
      </c>
      <c r="D2535" s="59">
        <v>6700.4</v>
      </c>
      <c r="E2535" s="59"/>
    </row>
    <row r="2536" spans="3:5" x14ac:dyDescent="0.15">
      <c r="C2536" s="255" t="s">
        <v>818</v>
      </c>
      <c r="D2536" s="59">
        <v>629.6</v>
      </c>
      <c r="E2536" s="59"/>
    </row>
    <row r="2537" spans="3:5" x14ac:dyDescent="0.15">
      <c r="C2537" s="255" t="s">
        <v>819</v>
      </c>
      <c r="D2537" s="59">
        <v>11</v>
      </c>
      <c r="E2537" s="59"/>
    </row>
    <row r="2538" spans="3:5" x14ac:dyDescent="0.15">
      <c r="C2538" s="255" t="s">
        <v>820</v>
      </c>
      <c r="D2538" s="59">
        <v>2409.6999999999998</v>
      </c>
      <c r="E2538" s="59"/>
    </row>
    <row r="2539" spans="3:5" x14ac:dyDescent="0.15">
      <c r="C2539" s="255" t="s">
        <v>821</v>
      </c>
      <c r="D2539" s="59">
        <v>39.700000000000003</v>
      </c>
      <c r="E2539" s="59"/>
    </row>
    <row r="2540" spans="3:5" x14ac:dyDescent="0.15">
      <c r="C2540" s="255" t="s">
        <v>822</v>
      </c>
      <c r="D2540" s="59">
        <v>140.19999999999999</v>
      </c>
      <c r="E2540" s="59"/>
    </row>
    <row r="2541" spans="3:5" x14ac:dyDescent="0.15">
      <c r="C2541" s="255" t="s">
        <v>823</v>
      </c>
      <c r="D2541" s="59">
        <v>2.7</v>
      </c>
      <c r="E2541" s="59"/>
    </row>
    <row r="2542" spans="3:5" x14ac:dyDescent="0.15">
      <c r="C2542" s="255" t="s">
        <v>824</v>
      </c>
      <c r="D2542" s="59">
        <v>578.1</v>
      </c>
      <c r="E2542" s="59"/>
    </row>
    <row r="2543" spans="3:5" x14ac:dyDescent="0.15">
      <c r="C2543" s="255" t="s">
        <v>825</v>
      </c>
      <c r="D2543" s="59">
        <v>549.5</v>
      </c>
      <c r="E2543" s="59"/>
    </row>
    <row r="2544" spans="3:5" x14ac:dyDescent="0.15">
      <c r="C2544" s="255" t="s">
        <v>826</v>
      </c>
      <c r="D2544" s="59">
        <v>5.9</v>
      </c>
      <c r="E2544" s="59"/>
    </row>
    <row r="2545" spans="3:5" x14ac:dyDescent="0.15">
      <c r="C2545" s="255" t="s">
        <v>827</v>
      </c>
      <c r="D2545" s="59">
        <v>2.4</v>
      </c>
      <c r="E2545" s="59"/>
    </row>
    <row r="2546" spans="3:5" x14ac:dyDescent="0.15">
      <c r="C2546" s="255" t="s">
        <v>828</v>
      </c>
      <c r="D2546" s="59">
        <v>1882.4</v>
      </c>
      <c r="E2546" s="59"/>
    </row>
    <row r="2547" spans="3:5" x14ac:dyDescent="0.15">
      <c r="C2547" s="255" t="s">
        <v>829</v>
      </c>
      <c r="D2547" s="59">
        <v>10</v>
      </c>
      <c r="E2547" s="59"/>
    </row>
    <row r="2548" spans="3:5" x14ac:dyDescent="0.15">
      <c r="C2548" s="255" t="s">
        <v>830</v>
      </c>
      <c r="D2548" s="59">
        <v>439</v>
      </c>
      <c r="E2548" s="59"/>
    </row>
    <row r="2549" spans="3:5" x14ac:dyDescent="0.15">
      <c r="C2549" s="255" t="s">
        <v>831</v>
      </c>
      <c r="D2549" s="59">
        <v>0</v>
      </c>
      <c r="E2549" s="59"/>
    </row>
    <row r="2550" spans="3:5" x14ac:dyDescent="0.15">
      <c r="C2550" s="255" t="s">
        <v>832</v>
      </c>
      <c r="D2550" s="59">
        <v>11324.8</v>
      </c>
      <c r="E2550" s="59"/>
    </row>
    <row r="2551" spans="3:5" x14ac:dyDescent="0.15">
      <c r="C2551" s="255" t="s">
        <v>833</v>
      </c>
      <c r="D2551" s="59">
        <v>59.7</v>
      </c>
      <c r="E2551" s="59"/>
    </row>
    <row r="2552" spans="3:5" x14ac:dyDescent="0.15">
      <c r="C2552" s="255" t="s">
        <v>834</v>
      </c>
      <c r="D2552" s="59">
        <v>2715.8</v>
      </c>
      <c r="E2552" s="59"/>
    </row>
    <row r="2553" spans="3:5" x14ac:dyDescent="0.15">
      <c r="C2553" s="255" t="s">
        <v>835</v>
      </c>
      <c r="D2553" s="59">
        <v>4500.2</v>
      </c>
      <c r="E2553" s="59"/>
    </row>
    <row r="2554" spans="3:5" x14ac:dyDescent="0.15">
      <c r="C2554" s="255" t="s">
        <v>836</v>
      </c>
      <c r="D2554" s="59">
        <v>1184.4000000000001</v>
      </c>
      <c r="E2554" s="59"/>
    </row>
    <row r="2555" spans="3:5" x14ac:dyDescent="0.15">
      <c r="C2555" s="255" t="s">
        <v>837</v>
      </c>
      <c r="D2555" s="59">
        <v>330</v>
      </c>
      <c r="E2555" s="59"/>
    </row>
    <row r="2556" spans="3:5" x14ac:dyDescent="0.15">
      <c r="C2556" s="255" t="s">
        <v>838</v>
      </c>
      <c r="D2556" s="59">
        <v>184.2</v>
      </c>
      <c r="E2556" s="59"/>
    </row>
    <row r="2557" spans="3:5" x14ac:dyDescent="0.15">
      <c r="C2557" s="255" t="s">
        <v>839</v>
      </c>
      <c r="D2557" s="59">
        <v>125</v>
      </c>
      <c r="E2557" s="59"/>
    </row>
    <row r="2558" spans="3:5" x14ac:dyDescent="0.15">
      <c r="C2558" s="255" t="s">
        <v>840</v>
      </c>
      <c r="D2558" s="59">
        <v>16.3</v>
      </c>
      <c r="E2558" s="59"/>
    </row>
    <row r="2559" spans="3:5" x14ac:dyDescent="0.15">
      <c r="C2559" s="255" t="s">
        <v>841</v>
      </c>
      <c r="D2559" s="59">
        <v>738.8</v>
      </c>
      <c r="E2559" s="59"/>
    </row>
    <row r="2560" spans="3:5" x14ac:dyDescent="0.15">
      <c r="C2560" s="255" t="s">
        <v>842</v>
      </c>
      <c r="D2560" s="59">
        <v>1203.2</v>
      </c>
      <c r="E2560" s="59"/>
    </row>
    <row r="2561" spans="3:5" x14ac:dyDescent="0.15">
      <c r="C2561" s="255" t="s">
        <v>843</v>
      </c>
      <c r="D2561" s="59">
        <v>252.3</v>
      </c>
      <c r="E2561" s="59"/>
    </row>
    <row r="2562" spans="3:5" x14ac:dyDescent="0.15">
      <c r="C2562" s="255" t="s">
        <v>844</v>
      </c>
      <c r="D2562" s="59">
        <v>14.8</v>
      </c>
      <c r="E2562" s="59"/>
    </row>
    <row r="2563" spans="3:5" x14ac:dyDescent="0.15">
      <c r="C2563" s="255" t="s">
        <v>845</v>
      </c>
      <c r="D2563" s="59">
        <v>98046</v>
      </c>
      <c r="E2563" s="59"/>
    </row>
    <row r="2564" spans="3:5" x14ac:dyDescent="0.15">
      <c r="C2564" s="255" t="s">
        <v>846</v>
      </c>
      <c r="D2564" s="59">
        <v>27080.400000000001</v>
      </c>
      <c r="E2564" s="59"/>
    </row>
    <row r="2565" spans="3:5" x14ac:dyDescent="0.15">
      <c r="C2565" s="255" t="s">
        <v>847</v>
      </c>
      <c r="D2565" s="59">
        <v>69.8</v>
      </c>
      <c r="E2565" s="59"/>
    </row>
    <row r="2566" spans="3:5" x14ac:dyDescent="0.15">
      <c r="C2566" s="255" t="s">
        <v>848</v>
      </c>
      <c r="D2566" s="59">
        <v>33878.699999999997</v>
      </c>
      <c r="E2566" s="59"/>
    </row>
    <row r="2567" spans="3:5" x14ac:dyDescent="0.15">
      <c r="C2567" s="255" t="s">
        <v>849</v>
      </c>
      <c r="D2567" s="59">
        <v>2035.1</v>
      </c>
      <c r="E2567" s="59"/>
    </row>
    <row r="2568" spans="3:5" x14ac:dyDescent="0.15">
      <c r="C2568" s="255" t="s">
        <v>850</v>
      </c>
      <c r="D2568" s="59">
        <v>1669.2</v>
      </c>
      <c r="E2568" s="59"/>
    </row>
    <row r="2569" spans="3:5" x14ac:dyDescent="0.15">
      <c r="C2569" s="255" t="s">
        <v>851</v>
      </c>
      <c r="D2569" s="59">
        <v>0</v>
      </c>
      <c r="E2569" s="59"/>
    </row>
    <row r="2570" spans="3:5" x14ac:dyDescent="0.15">
      <c r="C2570" s="255" t="s">
        <v>852</v>
      </c>
      <c r="D2570" s="59">
        <v>0</v>
      </c>
      <c r="E2570" s="59"/>
    </row>
    <row r="2571" spans="3:5" x14ac:dyDescent="0.15">
      <c r="C2571" s="255" t="s">
        <v>853</v>
      </c>
      <c r="D2571" s="59">
        <v>203.1</v>
      </c>
      <c r="E2571" s="59"/>
    </row>
    <row r="2572" spans="3:5" x14ac:dyDescent="0.15">
      <c r="C2572" s="255" t="s">
        <v>854</v>
      </c>
      <c r="D2572" s="59">
        <v>0</v>
      </c>
      <c r="E2572" s="59"/>
    </row>
    <row r="2573" spans="3:5" x14ac:dyDescent="0.15">
      <c r="C2573" s="255" t="s">
        <v>855</v>
      </c>
      <c r="D2573" s="59">
        <v>283.3</v>
      </c>
      <c r="E2573" s="59"/>
    </row>
    <row r="2574" spans="3:5" x14ac:dyDescent="0.15">
      <c r="C2574" s="255" t="s">
        <v>856</v>
      </c>
      <c r="D2574" s="59">
        <v>2389.1999999999998</v>
      </c>
      <c r="E2574" s="59"/>
    </row>
    <row r="2575" spans="3:5" x14ac:dyDescent="0.15">
      <c r="C2575" s="255" t="s">
        <v>857</v>
      </c>
      <c r="D2575" s="59">
        <v>2237.6999999999998</v>
      </c>
      <c r="E2575" s="59"/>
    </row>
    <row r="2576" spans="3:5" x14ac:dyDescent="0.15">
      <c r="C2576" s="255" t="s">
        <v>858</v>
      </c>
      <c r="D2576" s="59">
        <v>2479.1</v>
      </c>
      <c r="E2576" s="59"/>
    </row>
    <row r="2577" spans="3:5" x14ac:dyDescent="0.15">
      <c r="C2577" s="255" t="s">
        <v>859</v>
      </c>
      <c r="D2577" s="59">
        <v>2315.1999999999998</v>
      </c>
      <c r="E2577" s="59"/>
    </row>
    <row r="2578" spans="3:5" x14ac:dyDescent="0.15">
      <c r="C2578" s="255" t="s">
        <v>860</v>
      </c>
      <c r="D2578" s="59">
        <v>211.8</v>
      </c>
      <c r="E2578" s="59"/>
    </row>
    <row r="2579" spans="3:5" x14ac:dyDescent="0.15">
      <c r="C2579" s="255" t="s">
        <v>861</v>
      </c>
      <c r="D2579" s="59">
        <v>1937.2</v>
      </c>
      <c r="E2579" s="59"/>
    </row>
    <row r="2580" spans="3:5" x14ac:dyDescent="0.15">
      <c r="C2580" s="255" t="s">
        <v>862</v>
      </c>
      <c r="D2580" s="59">
        <v>7501</v>
      </c>
      <c r="E2580" s="59"/>
    </row>
    <row r="2581" spans="3:5" x14ac:dyDescent="0.15">
      <c r="C2581" s="255" t="s">
        <v>863</v>
      </c>
      <c r="D2581" s="59">
        <v>1696.7</v>
      </c>
      <c r="E2581" s="59"/>
    </row>
    <row r="2582" spans="3:5" x14ac:dyDescent="0.15">
      <c r="C2582" s="255" t="s">
        <v>864</v>
      </c>
      <c r="D2582" s="59">
        <v>93.1</v>
      </c>
      <c r="E2582" s="59"/>
    </row>
    <row r="2583" spans="3:5" x14ac:dyDescent="0.15">
      <c r="C2583" s="255" t="s">
        <v>865</v>
      </c>
      <c r="D2583" s="59">
        <v>757</v>
      </c>
      <c r="E2583" s="59"/>
    </row>
    <row r="2584" spans="3:5" x14ac:dyDescent="0.15">
      <c r="C2584" s="255" t="s">
        <v>866</v>
      </c>
      <c r="D2584" s="59">
        <v>41.3</v>
      </c>
      <c r="E2584" s="59"/>
    </row>
    <row r="2585" spans="3:5" x14ac:dyDescent="0.15">
      <c r="C2585" s="255" t="s">
        <v>867</v>
      </c>
      <c r="D2585" s="59">
        <v>1210.3</v>
      </c>
      <c r="E2585" s="59"/>
    </row>
    <row r="2586" spans="3:5" x14ac:dyDescent="0.15">
      <c r="C2586" s="255" t="s">
        <v>868</v>
      </c>
      <c r="D2586" s="59">
        <v>9956.7999999999993</v>
      </c>
      <c r="E2586" s="59"/>
    </row>
    <row r="2587" spans="3:5" x14ac:dyDescent="0.15">
      <c r="C2587" s="255" t="s">
        <v>869</v>
      </c>
      <c r="D2587" s="59">
        <v>15884.1</v>
      </c>
      <c r="E2587" s="59"/>
    </row>
    <row r="2588" spans="3:5" x14ac:dyDescent="0.15">
      <c r="C2588" s="255" t="s">
        <v>870</v>
      </c>
      <c r="D2588" s="59">
        <v>3670.6</v>
      </c>
      <c r="E2588" s="59"/>
    </row>
    <row r="2589" spans="3:5" x14ac:dyDescent="0.15">
      <c r="C2589" s="255" t="s">
        <v>871</v>
      </c>
      <c r="D2589" s="59">
        <v>576.6</v>
      </c>
      <c r="E2589" s="59"/>
    </row>
    <row r="2590" spans="3:5" x14ac:dyDescent="0.15">
      <c r="C2590" s="255" t="s">
        <v>872</v>
      </c>
      <c r="D2590" s="59">
        <v>495.5</v>
      </c>
      <c r="E2590" s="59"/>
    </row>
    <row r="2591" spans="3:5" x14ac:dyDescent="0.15">
      <c r="C2591" s="255" t="s">
        <v>873</v>
      </c>
      <c r="D2591" s="59">
        <v>850.6</v>
      </c>
      <c r="E2591" s="59"/>
    </row>
    <row r="2592" spans="3:5" x14ac:dyDescent="0.15">
      <c r="C2592" s="255" t="s">
        <v>874</v>
      </c>
      <c r="D2592" s="59">
        <v>251</v>
      </c>
      <c r="E2592" s="59"/>
    </row>
    <row r="2593" spans="3:5" x14ac:dyDescent="0.15">
      <c r="C2593" s="255" t="s">
        <v>875</v>
      </c>
      <c r="D2593" s="59">
        <v>28</v>
      </c>
      <c r="E2593" s="59"/>
    </row>
    <row r="2594" spans="3:5" x14ac:dyDescent="0.15">
      <c r="C2594" s="255" t="s">
        <v>876</v>
      </c>
      <c r="D2594" s="59">
        <v>16.100000000000001</v>
      </c>
      <c r="E2594" s="59"/>
    </row>
    <row r="2595" spans="3:5" x14ac:dyDescent="0.15">
      <c r="C2595" s="255" t="s">
        <v>877</v>
      </c>
      <c r="D2595" s="59">
        <v>20.8</v>
      </c>
      <c r="E2595" s="59"/>
    </row>
    <row r="2596" spans="3:5" x14ac:dyDescent="0.15">
      <c r="C2596" s="255" t="s">
        <v>878</v>
      </c>
      <c r="D2596" s="59">
        <v>186.4</v>
      </c>
      <c r="E2596" s="59"/>
    </row>
    <row r="2597" spans="3:5" x14ac:dyDescent="0.15">
      <c r="C2597" s="255" t="s">
        <v>879</v>
      </c>
      <c r="D2597" s="59">
        <v>837.9</v>
      </c>
      <c r="E2597" s="59"/>
    </row>
    <row r="2598" spans="3:5" x14ac:dyDescent="0.15">
      <c r="C2598" s="255" t="s">
        <v>880</v>
      </c>
      <c r="D2598" s="59">
        <v>87.1</v>
      </c>
      <c r="E2598" s="59"/>
    </row>
    <row r="2599" spans="3:5" x14ac:dyDescent="0.15">
      <c r="C2599" s="255" t="s">
        <v>881</v>
      </c>
      <c r="D2599" s="59">
        <v>0.4</v>
      </c>
      <c r="E2599" s="59"/>
    </row>
    <row r="2600" spans="3:5" x14ac:dyDescent="0.15">
      <c r="C2600" s="255" t="s">
        <v>882</v>
      </c>
      <c r="D2600" s="59">
        <v>185.6</v>
      </c>
      <c r="E2600" s="59"/>
    </row>
    <row r="2601" spans="3:5" x14ac:dyDescent="0.15">
      <c r="C2601" s="255" t="s">
        <v>883</v>
      </c>
      <c r="D2601" s="59">
        <v>454</v>
      </c>
      <c r="E2601" s="59"/>
    </row>
    <row r="2602" spans="3:5" x14ac:dyDescent="0.15">
      <c r="C2602" s="255" t="s">
        <v>884</v>
      </c>
      <c r="D2602" s="59">
        <v>784.5</v>
      </c>
      <c r="E2602" s="59"/>
    </row>
    <row r="2603" spans="3:5" x14ac:dyDescent="0.15">
      <c r="C2603" s="255" t="s">
        <v>885</v>
      </c>
      <c r="D2603" s="59">
        <v>326.5</v>
      </c>
      <c r="E2603" s="59"/>
    </row>
    <row r="2604" spans="3:5" x14ac:dyDescent="0.15">
      <c r="C2604" s="255" t="s">
        <v>886</v>
      </c>
      <c r="D2604" s="59">
        <v>149.4</v>
      </c>
      <c r="E2604" s="59"/>
    </row>
    <row r="2605" spans="3:5" x14ac:dyDescent="0.15">
      <c r="C2605" s="255" t="s">
        <v>887</v>
      </c>
      <c r="D2605" s="59">
        <v>202</v>
      </c>
      <c r="E2605" s="59"/>
    </row>
    <row r="2606" spans="3:5" x14ac:dyDescent="0.15">
      <c r="C2606" s="255" t="s">
        <v>888</v>
      </c>
      <c r="D2606" s="59">
        <v>25.8</v>
      </c>
      <c r="E2606" s="59"/>
    </row>
    <row r="2607" spans="3:5" x14ac:dyDescent="0.15">
      <c r="C2607" s="255" t="s">
        <v>889</v>
      </c>
      <c r="D2607" s="59">
        <v>198.6</v>
      </c>
      <c r="E2607" s="59"/>
    </row>
    <row r="2608" spans="3:5" x14ac:dyDescent="0.15">
      <c r="C2608" s="255" t="s">
        <v>890</v>
      </c>
      <c r="D2608" s="59">
        <v>91.7</v>
      </c>
      <c r="E2608" s="59"/>
    </row>
    <row r="2609" spans="3:5" x14ac:dyDescent="0.15">
      <c r="C2609" s="255" t="s">
        <v>891</v>
      </c>
      <c r="D2609" s="59">
        <v>19.7</v>
      </c>
      <c r="E2609" s="59"/>
    </row>
    <row r="2610" spans="3:5" x14ac:dyDescent="0.15">
      <c r="C2610" s="255" t="s">
        <v>892</v>
      </c>
      <c r="D2610" s="59">
        <v>12.9</v>
      </c>
      <c r="E2610" s="59"/>
    </row>
    <row r="2611" spans="3:5" x14ac:dyDescent="0.15">
      <c r="C2611" s="255" t="s">
        <v>893</v>
      </c>
      <c r="D2611" s="59">
        <v>166.5</v>
      </c>
      <c r="E2611" s="59"/>
    </row>
    <row r="2612" spans="3:5" x14ac:dyDescent="0.15">
      <c r="C2612" s="255" t="s">
        <v>894</v>
      </c>
      <c r="D2612" s="59">
        <v>27.6</v>
      </c>
      <c r="E2612" s="59"/>
    </row>
    <row r="2613" spans="3:5" x14ac:dyDescent="0.15">
      <c r="C2613" s="255" t="s">
        <v>895</v>
      </c>
      <c r="D2613" s="59">
        <v>453.1</v>
      </c>
      <c r="E2613" s="59"/>
    </row>
    <row r="2614" spans="3:5" x14ac:dyDescent="0.15">
      <c r="C2614" s="255" t="s">
        <v>896</v>
      </c>
      <c r="D2614" s="59">
        <v>57.5</v>
      </c>
      <c r="E2614" s="59"/>
    </row>
    <row r="2615" spans="3:5" x14ac:dyDescent="0.15">
      <c r="C2615" s="255" t="s">
        <v>897</v>
      </c>
      <c r="D2615" s="59">
        <v>1008</v>
      </c>
      <c r="E2615" s="59"/>
    </row>
    <row r="2616" spans="3:5" x14ac:dyDescent="0.15">
      <c r="C2616" s="255" t="s">
        <v>898</v>
      </c>
      <c r="D2616" s="59">
        <v>402</v>
      </c>
      <c r="E2616" s="59"/>
    </row>
    <row r="2617" spans="3:5" x14ac:dyDescent="0.15">
      <c r="C2617" s="255" t="s">
        <v>899</v>
      </c>
      <c r="D2617" s="59">
        <v>91.3</v>
      </c>
      <c r="E2617" s="59"/>
    </row>
    <row r="2618" spans="3:5" x14ac:dyDescent="0.15">
      <c r="C2618" s="255" t="s">
        <v>900</v>
      </c>
      <c r="D2618" s="59">
        <v>348</v>
      </c>
      <c r="E2618" s="59"/>
    </row>
    <row r="2619" spans="3:5" x14ac:dyDescent="0.15">
      <c r="C2619" s="255" t="s">
        <v>901</v>
      </c>
      <c r="D2619" s="59">
        <v>812.6</v>
      </c>
      <c r="E2619" s="59"/>
    </row>
    <row r="2620" spans="3:5" x14ac:dyDescent="0.15">
      <c r="C2620" s="255" t="s">
        <v>902</v>
      </c>
      <c r="D2620" s="59">
        <v>22</v>
      </c>
      <c r="E2620" s="59"/>
    </row>
    <row r="2621" spans="3:5" x14ac:dyDescent="0.15">
      <c r="C2621" s="255" t="s">
        <v>903</v>
      </c>
      <c r="D2621" s="59">
        <v>852.3</v>
      </c>
      <c r="E2621" s="59"/>
    </row>
    <row r="2622" spans="3:5" x14ac:dyDescent="0.15">
      <c r="C2622" s="255" t="s">
        <v>904</v>
      </c>
      <c r="D2622" s="59">
        <v>1134.9000000000001</v>
      </c>
      <c r="E2622" s="59"/>
    </row>
    <row r="2623" spans="3:5" x14ac:dyDescent="0.15">
      <c r="C2623" s="255" t="s">
        <v>905</v>
      </c>
      <c r="D2623" s="59">
        <v>278.39999999999998</v>
      </c>
      <c r="E2623" s="59"/>
    </row>
    <row r="2624" spans="3:5" x14ac:dyDescent="0.15">
      <c r="C2624" s="255" t="s">
        <v>906</v>
      </c>
      <c r="D2624" s="59">
        <v>86.2</v>
      </c>
      <c r="E2624" s="59"/>
    </row>
    <row r="2625" spans="3:5" x14ac:dyDescent="0.15">
      <c r="C2625" s="255" t="s">
        <v>907</v>
      </c>
      <c r="D2625" s="59">
        <v>672</v>
      </c>
      <c r="E2625" s="59"/>
    </row>
    <row r="2626" spans="3:5" x14ac:dyDescent="0.15">
      <c r="C2626" s="255" t="s">
        <v>908</v>
      </c>
      <c r="D2626" s="59">
        <v>7715.7</v>
      </c>
      <c r="E2626" s="59"/>
    </row>
    <row r="2627" spans="3:5" x14ac:dyDescent="0.15">
      <c r="C2627" s="255" t="s">
        <v>909</v>
      </c>
      <c r="D2627" s="59">
        <v>2250</v>
      </c>
      <c r="E2627" s="59"/>
    </row>
    <row r="2628" spans="3:5" x14ac:dyDescent="0.15">
      <c r="C2628" s="255" t="s">
        <v>910</v>
      </c>
      <c r="D2628" s="59">
        <v>7.3</v>
      </c>
      <c r="E2628" s="59"/>
    </row>
    <row r="2629" spans="3:5" x14ac:dyDescent="0.15">
      <c r="C2629" s="255" t="s">
        <v>911</v>
      </c>
      <c r="D2629" s="59">
        <v>232.3</v>
      </c>
      <c r="E2629" s="59"/>
    </row>
    <row r="2630" spans="3:5" x14ac:dyDescent="0.15">
      <c r="C2630" s="255" t="s">
        <v>912</v>
      </c>
      <c r="D2630" s="59">
        <v>1054.2</v>
      </c>
      <c r="E2630" s="59"/>
    </row>
    <row r="2631" spans="3:5" x14ac:dyDescent="0.15">
      <c r="C2631" s="255" t="s">
        <v>913</v>
      </c>
      <c r="D2631" s="59">
        <v>0</v>
      </c>
      <c r="E2631" s="59"/>
    </row>
    <row r="2632" spans="3:5" x14ac:dyDescent="0.15">
      <c r="C2632" s="255" t="s">
        <v>914</v>
      </c>
      <c r="D2632" s="59">
        <v>2.2000000000000002</v>
      </c>
      <c r="E2632" s="59"/>
    </row>
    <row r="2633" spans="3:5" x14ac:dyDescent="0.15">
      <c r="C2633" s="255" t="s">
        <v>915</v>
      </c>
      <c r="D2633" s="59">
        <v>38.9</v>
      </c>
      <c r="E2633" s="59"/>
    </row>
    <row r="2634" spans="3:5" x14ac:dyDescent="0.15">
      <c r="C2634" s="255" t="s">
        <v>916</v>
      </c>
      <c r="D2634" s="59">
        <v>213.3</v>
      </c>
      <c r="E2634" s="59"/>
    </row>
    <row r="2635" spans="3:5" x14ac:dyDescent="0.15">
      <c r="C2635" s="255" t="s">
        <v>917</v>
      </c>
      <c r="D2635" s="59">
        <v>97.2</v>
      </c>
      <c r="E2635" s="59"/>
    </row>
    <row r="2636" spans="3:5" x14ac:dyDescent="0.15">
      <c r="C2636" s="255" t="s">
        <v>918</v>
      </c>
      <c r="D2636" s="59">
        <v>2629.1</v>
      </c>
      <c r="E2636" s="59"/>
    </row>
    <row r="2637" spans="3:5" x14ac:dyDescent="0.15">
      <c r="C2637" s="255" t="s">
        <v>919</v>
      </c>
      <c r="D2637" s="59">
        <v>1.9</v>
      </c>
      <c r="E2637" s="59"/>
    </row>
    <row r="2638" spans="3:5" x14ac:dyDescent="0.15">
      <c r="C2638" s="255" t="s">
        <v>920</v>
      </c>
      <c r="D2638" s="59">
        <v>1189.3</v>
      </c>
      <c r="E2638" s="59"/>
    </row>
    <row r="2639" spans="3:5" x14ac:dyDescent="0.15">
      <c r="C2639" s="255" t="s">
        <v>921</v>
      </c>
      <c r="D2639" s="59">
        <v>0</v>
      </c>
      <c r="E2639" s="59"/>
    </row>
    <row r="2640" spans="3:5" x14ac:dyDescent="0.15">
      <c r="C2640" s="255" t="s">
        <v>922</v>
      </c>
      <c r="D2640" s="59">
        <v>40731.699999999997</v>
      </c>
      <c r="E2640" s="59"/>
    </row>
    <row r="2641" spans="3:5" x14ac:dyDescent="0.15">
      <c r="C2641" s="255" t="s">
        <v>923</v>
      </c>
      <c r="D2641" s="59">
        <v>11013.6</v>
      </c>
      <c r="E2641" s="59"/>
    </row>
    <row r="2642" spans="3:5" x14ac:dyDescent="0.15">
      <c r="C2642" s="255" t="s">
        <v>924</v>
      </c>
      <c r="D2642" s="59">
        <v>3506.1</v>
      </c>
      <c r="E2642" s="59"/>
    </row>
    <row r="2643" spans="3:5" x14ac:dyDescent="0.15">
      <c r="C2643" s="255" t="s">
        <v>925</v>
      </c>
      <c r="D2643" s="59">
        <v>354.3</v>
      </c>
      <c r="E2643" s="59"/>
    </row>
    <row r="2644" spans="3:5" x14ac:dyDescent="0.15">
      <c r="C2644" s="255" t="s">
        <v>926</v>
      </c>
      <c r="D2644" s="59">
        <v>941.4</v>
      </c>
      <c r="E2644" s="59"/>
    </row>
    <row r="2645" spans="3:5" x14ac:dyDescent="0.15">
      <c r="C2645" s="255" t="s">
        <v>927</v>
      </c>
      <c r="D2645" s="59">
        <v>559</v>
      </c>
      <c r="E2645" s="59"/>
    </row>
    <row r="2646" spans="3:5" x14ac:dyDescent="0.15">
      <c r="C2646" s="255" t="s">
        <v>928</v>
      </c>
      <c r="D2646" s="59">
        <v>827.8</v>
      </c>
      <c r="E2646" s="59"/>
    </row>
    <row r="2647" spans="3:5" x14ac:dyDescent="0.15">
      <c r="C2647" s="255" t="s">
        <v>929</v>
      </c>
      <c r="D2647" s="59">
        <v>220.8</v>
      </c>
      <c r="E2647" s="59"/>
    </row>
    <row r="2648" spans="3:5" x14ac:dyDescent="0.15">
      <c r="C2648" s="255" t="s">
        <v>930</v>
      </c>
      <c r="D2648" s="59">
        <v>1793.2</v>
      </c>
      <c r="E2648" s="59"/>
    </row>
    <row r="2649" spans="3:5" x14ac:dyDescent="0.15">
      <c r="C2649" s="255" t="s">
        <v>931</v>
      </c>
      <c r="D2649" s="59">
        <v>5455.7</v>
      </c>
      <c r="E2649" s="59"/>
    </row>
    <row r="2650" spans="3:5" x14ac:dyDescent="0.15">
      <c r="C2650" s="255" t="s">
        <v>932</v>
      </c>
      <c r="D2650" s="59">
        <v>0</v>
      </c>
      <c r="E2650" s="59"/>
    </row>
    <row r="2651" spans="3:5" x14ac:dyDescent="0.15">
      <c r="C2651" s="255" t="s">
        <v>933</v>
      </c>
      <c r="D2651" s="59">
        <v>41.3</v>
      </c>
      <c r="E2651" s="59"/>
    </row>
    <row r="2652" spans="3:5" x14ac:dyDescent="0.15">
      <c r="C2652" s="255" t="s">
        <v>934</v>
      </c>
      <c r="D2652" s="59">
        <v>4822.6000000000004</v>
      </c>
      <c r="E2652" s="59"/>
    </row>
    <row r="2653" spans="3:5" x14ac:dyDescent="0.15">
      <c r="C2653" s="255" t="s">
        <v>935</v>
      </c>
      <c r="D2653" s="59">
        <v>2433.9</v>
      </c>
      <c r="E2653" s="59"/>
    </row>
    <row r="2654" spans="3:5" x14ac:dyDescent="0.15">
      <c r="C2654" s="255" t="s">
        <v>936</v>
      </c>
      <c r="D2654" s="59">
        <v>3599.4</v>
      </c>
      <c r="E2654" s="59"/>
    </row>
    <row r="2655" spans="3:5" x14ac:dyDescent="0.15">
      <c r="C2655" s="255" t="s">
        <v>937</v>
      </c>
      <c r="D2655" s="59">
        <v>679.9</v>
      </c>
      <c r="E2655" s="59"/>
    </row>
    <row r="2656" spans="3:5" x14ac:dyDescent="0.15">
      <c r="C2656" s="255" t="s">
        <v>938</v>
      </c>
      <c r="D2656" s="59">
        <v>350.4</v>
      </c>
      <c r="E2656" s="59"/>
    </row>
    <row r="2657" spans="3:5" x14ac:dyDescent="0.15">
      <c r="C2657" s="255" t="s">
        <v>939</v>
      </c>
      <c r="D2657" s="59">
        <v>4.5</v>
      </c>
      <c r="E2657" s="59"/>
    </row>
    <row r="2658" spans="3:5" x14ac:dyDescent="0.15">
      <c r="C2658" s="255" t="s">
        <v>940</v>
      </c>
      <c r="D2658" s="59">
        <v>110.4</v>
      </c>
      <c r="E2658" s="59"/>
    </row>
    <row r="2659" spans="3:5" x14ac:dyDescent="0.15">
      <c r="C2659" s="255" t="s">
        <v>941</v>
      </c>
      <c r="D2659" s="59">
        <v>329.3</v>
      </c>
      <c r="E2659" s="59"/>
    </row>
    <row r="2660" spans="3:5" x14ac:dyDescent="0.15">
      <c r="C2660" s="255" t="s">
        <v>942</v>
      </c>
      <c r="D2660" s="59">
        <v>17.3</v>
      </c>
      <c r="E2660" s="59"/>
    </row>
    <row r="2661" spans="3:5" x14ac:dyDescent="0.15">
      <c r="C2661" s="255" t="s">
        <v>943</v>
      </c>
      <c r="D2661" s="59">
        <v>1456.4</v>
      </c>
      <c r="E2661" s="59"/>
    </row>
    <row r="2662" spans="3:5" x14ac:dyDescent="0.15">
      <c r="C2662" s="255" t="s">
        <v>944</v>
      </c>
      <c r="D2662" s="59">
        <v>442.1</v>
      </c>
      <c r="E2662" s="59"/>
    </row>
    <row r="2663" spans="3:5" x14ac:dyDescent="0.15">
      <c r="C2663" s="255" t="s">
        <v>945</v>
      </c>
      <c r="D2663" s="59">
        <v>1678.6</v>
      </c>
      <c r="E2663" s="59"/>
    </row>
    <row r="2664" spans="3:5" x14ac:dyDescent="0.15">
      <c r="C2664" s="255" t="s">
        <v>946</v>
      </c>
      <c r="D2664" s="59">
        <v>70.3</v>
      </c>
      <c r="E2664" s="59"/>
    </row>
    <row r="2665" spans="3:5" x14ac:dyDescent="0.15">
      <c r="C2665" s="255" t="s">
        <v>947</v>
      </c>
      <c r="D2665" s="59">
        <v>23.4</v>
      </c>
      <c r="E2665" s="59"/>
    </row>
    <row r="2666" spans="3:5" x14ac:dyDescent="0.15">
      <c r="C2666" s="255" t="s">
        <v>948</v>
      </c>
      <c r="D2666" s="59">
        <v>8497.1</v>
      </c>
      <c r="E2666" s="59"/>
    </row>
    <row r="2667" spans="3:5" x14ac:dyDescent="0.15">
      <c r="C2667" s="255" t="s">
        <v>949</v>
      </c>
      <c r="D2667" s="59">
        <v>175.5</v>
      </c>
      <c r="E2667" s="59"/>
    </row>
    <row r="2668" spans="3:5" x14ac:dyDescent="0.15">
      <c r="C2668" s="255" t="s">
        <v>950</v>
      </c>
      <c r="D2668" s="59">
        <v>1</v>
      </c>
      <c r="E2668" s="59"/>
    </row>
    <row r="2669" spans="3:5" x14ac:dyDescent="0.15">
      <c r="C2669" s="255" t="s">
        <v>951</v>
      </c>
      <c r="D2669" s="59">
        <v>1360.2</v>
      </c>
      <c r="E2669" s="59"/>
    </row>
    <row r="2670" spans="3:5" x14ac:dyDescent="0.15">
      <c r="C2670" s="255" t="s">
        <v>952</v>
      </c>
      <c r="D2670" s="59">
        <v>53.6</v>
      </c>
      <c r="E2670" s="59"/>
    </row>
    <row r="2671" spans="3:5" x14ac:dyDescent="0.15">
      <c r="C2671" s="255" t="s">
        <v>953</v>
      </c>
      <c r="D2671" s="59">
        <v>246.5</v>
      </c>
      <c r="E2671" s="59"/>
    </row>
    <row r="2672" spans="3:5" x14ac:dyDescent="0.15">
      <c r="C2672" s="255" t="s">
        <v>954</v>
      </c>
      <c r="D2672" s="59">
        <v>2576.6</v>
      </c>
      <c r="E2672" s="59"/>
    </row>
    <row r="2673" spans="3:5" x14ac:dyDescent="0.15">
      <c r="C2673" s="255" t="s">
        <v>955</v>
      </c>
      <c r="D2673" s="59">
        <v>1561.6</v>
      </c>
      <c r="E2673" s="59"/>
    </row>
    <row r="2674" spans="3:5" x14ac:dyDescent="0.15">
      <c r="C2674" s="255" t="s">
        <v>956</v>
      </c>
      <c r="D2674" s="59">
        <v>2522.1</v>
      </c>
      <c r="E2674" s="59"/>
    </row>
    <row r="2675" spans="3:5" x14ac:dyDescent="0.15">
      <c r="C2675" s="255" t="s">
        <v>957</v>
      </c>
      <c r="D2675" s="59">
        <v>29052.6</v>
      </c>
      <c r="E2675" s="59"/>
    </row>
    <row r="2676" spans="3:5" x14ac:dyDescent="0.15">
      <c r="C2676" s="255" t="s">
        <v>958</v>
      </c>
      <c r="D2676" s="59">
        <v>153.1</v>
      </c>
      <c r="E2676" s="59"/>
    </row>
    <row r="2677" spans="3:5" x14ac:dyDescent="0.15">
      <c r="C2677" s="255" t="s">
        <v>959</v>
      </c>
      <c r="D2677" s="59">
        <v>978.6</v>
      </c>
      <c r="E2677" s="59"/>
    </row>
    <row r="2678" spans="3:5" x14ac:dyDescent="0.15">
      <c r="C2678" s="255" t="s">
        <v>960</v>
      </c>
      <c r="D2678" s="59">
        <v>91.6</v>
      </c>
      <c r="E2678" s="59"/>
    </row>
    <row r="2679" spans="3:5" x14ac:dyDescent="0.15">
      <c r="C2679" s="255" t="s">
        <v>961</v>
      </c>
      <c r="D2679" s="59">
        <v>90.4</v>
      </c>
      <c r="E2679" s="59"/>
    </row>
    <row r="2680" spans="3:5" x14ac:dyDescent="0.15">
      <c r="C2680" s="255" t="s">
        <v>962</v>
      </c>
      <c r="D2680" s="59">
        <v>1.9</v>
      </c>
      <c r="E2680" s="59"/>
    </row>
    <row r="2681" spans="3:5" x14ac:dyDescent="0.15">
      <c r="C2681" s="255" t="s">
        <v>963</v>
      </c>
      <c r="D2681" s="59">
        <v>1125</v>
      </c>
      <c r="E2681" s="59"/>
    </row>
    <row r="2682" spans="3:5" x14ac:dyDescent="0.15">
      <c r="C2682" s="255" t="s">
        <v>964</v>
      </c>
      <c r="D2682" s="59">
        <v>577.70000000000005</v>
      </c>
      <c r="E2682" s="59"/>
    </row>
    <row r="2683" spans="3:5" x14ac:dyDescent="0.15">
      <c r="C2683" s="255" t="s">
        <v>965</v>
      </c>
      <c r="D2683" s="59">
        <v>90.9</v>
      </c>
      <c r="E2683" s="59"/>
    </row>
    <row r="2684" spans="3:5" x14ac:dyDescent="0.15">
      <c r="C2684" s="255" t="s">
        <v>966</v>
      </c>
      <c r="D2684" s="59">
        <v>10.1</v>
      </c>
      <c r="E2684" s="59"/>
    </row>
    <row r="2685" spans="3:5" x14ac:dyDescent="0.15">
      <c r="C2685" s="255" t="s">
        <v>967</v>
      </c>
      <c r="D2685" s="59">
        <v>179.3</v>
      </c>
      <c r="E2685" s="59"/>
    </row>
    <row r="2686" spans="3:5" x14ac:dyDescent="0.15">
      <c r="C2686" s="255" t="s">
        <v>968</v>
      </c>
      <c r="D2686" s="59">
        <v>2.2999999999999998</v>
      </c>
      <c r="E2686" s="59"/>
    </row>
    <row r="2687" spans="3:5" x14ac:dyDescent="0.15">
      <c r="C2687" s="255" t="s">
        <v>969</v>
      </c>
      <c r="D2687" s="59">
        <v>33.299999999999997</v>
      </c>
      <c r="E2687" s="59"/>
    </row>
    <row r="2688" spans="3:5" x14ac:dyDescent="0.15">
      <c r="C2688" s="255" t="s">
        <v>970</v>
      </c>
      <c r="D2688" s="59">
        <v>113.9</v>
      </c>
      <c r="E2688" s="59"/>
    </row>
    <row r="2689" spans="3:5" x14ac:dyDescent="0.15">
      <c r="C2689" s="255" t="s">
        <v>971</v>
      </c>
      <c r="D2689" s="59">
        <v>444.9</v>
      </c>
      <c r="E2689" s="59"/>
    </row>
    <row r="2690" spans="3:5" x14ac:dyDescent="0.15">
      <c r="C2690" s="255" t="s">
        <v>972</v>
      </c>
      <c r="D2690" s="59">
        <v>601.79999999999995</v>
      </c>
      <c r="E2690" s="59"/>
    </row>
    <row r="2691" spans="3:5" x14ac:dyDescent="0.15">
      <c r="C2691" s="255" t="s">
        <v>973</v>
      </c>
      <c r="D2691" s="59">
        <v>42.5</v>
      </c>
      <c r="E2691" s="59"/>
    </row>
    <row r="2692" spans="3:5" x14ac:dyDescent="0.15">
      <c r="C2692" s="255" t="s">
        <v>974</v>
      </c>
      <c r="D2692" s="59">
        <v>68</v>
      </c>
      <c r="E2692" s="59"/>
    </row>
    <row r="2693" spans="3:5" x14ac:dyDescent="0.15">
      <c r="C2693" s="255" t="s">
        <v>975</v>
      </c>
      <c r="D2693" s="59">
        <v>168.3</v>
      </c>
      <c r="E2693" s="59"/>
    </row>
    <row r="2694" spans="3:5" x14ac:dyDescent="0.15">
      <c r="C2694" s="255" t="s">
        <v>976</v>
      </c>
      <c r="D2694" s="59">
        <v>30.9</v>
      </c>
      <c r="E2694" s="59"/>
    </row>
    <row r="2695" spans="3:5" x14ac:dyDescent="0.15">
      <c r="C2695" s="255" t="s">
        <v>977</v>
      </c>
      <c r="D2695" s="59">
        <v>584</v>
      </c>
      <c r="E2695" s="59"/>
    </row>
    <row r="2696" spans="3:5" x14ac:dyDescent="0.15">
      <c r="C2696" s="255" t="s">
        <v>978</v>
      </c>
      <c r="D2696" s="59">
        <v>1129</v>
      </c>
      <c r="E2696" s="59"/>
    </row>
    <row r="2697" spans="3:5" x14ac:dyDescent="0.15">
      <c r="C2697" s="255" t="s">
        <v>979</v>
      </c>
      <c r="D2697" s="59">
        <v>352.8</v>
      </c>
      <c r="E2697" s="59"/>
    </row>
    <row r="2698" spans="3:5" x14ac:dyDescent="0.15">
      <c r="C2698" s="255" t="s">
        <v>980</v>
      </c>
      <c r="D2698" s="59">
        <v>320.8</v>
      </c>
      <c r="E2698" s="59"/>
    </row>
    <row r="2699" spans="3:5" x14ac:dyDescent="0.15">
      <c r="C2699" s="255" t="s">
        <v>981</v>
      </c>
      <c r="D2699" s="59">
        <v>0</v>
      </c>
      <c r="E2699" s="59"/>
    </row>
    <row r="2700" spans="3:5" x14ac:dyDescent="0.15">
      <c r="C2700" s="255" t="s">
        <v>982</v>
      </c>
      <c r="D2700" s="59">
        <v>411.9</v>
      </c>
      <c r="E2700" s="59"/>
    </row>
    <row r="2701" spans="3:5" x14ac:dyDescent="0.15">
      <c r="C2701" s="255" t="s">
        <v>983</v>
      </c>
      <c r="D2701" s="59">
        <v>1788.9</v>
      </c>
      <c r="E2701" s="59"/>
    </row>
    <row r="2702" spans="3:5" x14ac:dyDescent="0.15">
      <c r="C2702" s="255" t="s">
        <v>984</v>
      </c>
      <c r="D2702" s="59">
        <v>42.4</v>
      </c>
      <c r="E2702" s="59"/>
    </row>
    <row r="2703" spans="3:5" x14ac:dyDescent="0.15">
      <c r="C2703" s="255" t="s">
        <v>985</v>
      </c>
      <c r="D2703" s="59">
        <v>1002.7</v>
      </c>
      <c r="E2703" s="59"/>
    </row>
    <row r="2704" spans="3:5" x14ac:dyDescent="0.15">
      <c r="C2704" s="255" t="s">
        <v>986</v>
      </c>
      <c r="D2704" s="59">
        <v>657.8</v>
      </c>
      <c r="E2704" s="59"/>
    </row>
    <row r="2705" spans="3:5" x14ac:dyDescent="0.15">
      <c r="C2705" s="255" t="s">
        <v>987</v>
      </c>
      <c r="D2705" s="59">
        <v>406.1</v>
      </c>
      <c r="E2705" s="59"/>
    </row>
    <row r="2706" spans="3:5" x14ac:dyDescent="0.15">
      <c r="C2706" s="255" t="s">
        <v>988</v>
      </c>
      <c r="D2706" s="59">
        <v>1440.8</v>
      </c>
      <c r="E2706" s="59"/>
    </row>
    <row r="2707" spans="3:5" x14ac:dyDescent="0.15">
      <c r="C2707" s="255" t="s">
        <v>989</v>
      </c>
      <c r="D2707" s="59">
        <v>1233.7</v>
      </c>
      <c r="E2707" s="59"/>
    </row>
    <row r="2708" spans="3:5" x14ac:dyDescent="0.15">
      <c r="C2708" s="255" t="s">
        <v>990</v>
      </c>
      <c r="D2708" s="59">
        <v>371.6</v>
      </c>
      <c r="E2708" s="59"/>
    </row>
    <row r="2709" spans="3:5" x14ac:dyDescent="0.15">
      <c r="C2709" s="255" t="s">
        <v>991</v>
      </c>
      <c r="D2709" s="59">
        <v>5360.4</v>
      </c>
      <c r="E2709" s="59"/>
    </row>
    <row r="2710" spans="3:5" x14ac:dyDescent="0.15">
      <c r="C2710" s="255" t="s">
        <v>992</v>
      </c>
      <c r="D2710" s="59">
        <v>13.2</v>
      </c>
      <c r="E2710" s="59"/>
    </row>
    <row r="2711" spans="3:5" x14ac:dyDescent="0.15">
      <c r="C2711" s="255" t="s">
        <v>993</v>
      </c>
      <c r="D2711" s="59">
        <v>151.5</v>
      </c>
      <c r="E2711" s="59"/>
    </row>
    <row r="2712" spans="3:5" x14ac:dyDescent="0.15">
      <c r="C2712" s="255" t="s">
        <v>994</v>
      </c>
      <c r="D2712" s="59">
        <v>0</v>
      </c>
      <c r="E2712" s="59"/>
    </row>
    <row r="2713" spans="3:5" x14ac:dyDescent="0.15">
      <c r="C2713" s="255" t="s">
        <v>995</v>
      </c>
      <c r="D2713" s="59">
        <v>899.9</v>
      </c>
      <c r="E2713" s="59"/>
    </row>
    <row r="2714" spans="3:5" x14ac:dyDescent="0.15">
      <c r="C2714" s="255" t="s">
        <v>996</v>
      </c>
      <c r="D2714" s="59">
        <v>413.3</v>
      </c>
      <c r="E2714" s="59"/>
    </row>
    <row r="2715" spans="3:5" x14ac:dyDescent="0.15">
      <c r="C2715" s="255" t="s">
        <v>997</v>
      </c>
      <c r="D2715" s="59">
        <v>299.10000000000002</v>
      </c>
      <c r="E2715" s="59"/>
    </row>
    <row r="2716" spans="3:5" x14ac:dyDescent="0.15">
      <c r="C2716" s="255" t="s">
        <v>998</v>
      </c>
      <c r="D2716" s="59">
        <v>104.9</v>
      </c>
      <c r="E2716" s="59"/>
    </row>
    <row r="2717" spans="3:5" x14ac:dyDescent="0.15">
      <c r="C2717" s="255" t="s">
        <v>999</v>
      </c>
      <c r="D2717" s="59">
        <v>5.4</v>
      </c>
      <c r="E2717" s="59"/>
    </row>
    <row r="2718" spans="3:5" x14ac:dyDescent="0.15">
      <c r="C2718" s="255" t="s">
        <v>1000</v>
      </c>
      <c r="D2718" s="59">
        <v>1015.9</v>
      </c>
      <c r="E2718" s="59"/>
    </row>
    <row r="2719" spans="3:5" x14ac:dyDescent="0.15">
      <c r="C2719" s="255" t="s">
        <v>1001</v>
      </c>
      <c r="D2719" s="59">
        <v>447</v>
      </c>
      <c r="E2719" s="59"/>
    </row>
    <row r="2720" spans="3:5" x14ac:dyDescent="0.15">
      <c r="C2720" s="255" t="s">
        <v>1002</v>
      </c>
      <c r="D2720" s="59">
        <v>154.4</v>
      </c>
      <c r="E2720" s="59"/>
    </row>
    <row r="2721" spans="3:5" x14ac:dyDescent="0.15">
      <c r="C2721" s="255" t="s">
        <v>1003</v>
      </c>
      <c r="D2721" s="59">
        <v>110.9</v>
      </c>
      <c r="E2721" s="59"/>
    </row>
    <row r="2722" spans="3:5" x14ac:dyDescent="0.15">
      <c r="C2722" s="255" t="s">
        <v>1004</v>
      </c>
      <c r="D2722" s="59">
        <v>95</v>
      </c>
      <c r="E2722" s="59"/>
    </row>
    <row r="2723" spans="3:5" x14ac:dyDescent="0.15">
      <c r="C2723" s="255" t="s">
        <v>1005</v>
      </c>
      <c r="D2723" s="59">
        <v>133.19999999999999</v>
      </c>
      <c r="E2723" s="59"/>
    </row>
    <row r="2724" spans="3:5" x14ac:dyDescent="0.15">
      <c r="C2724" s="255" t="s">
        <v>1006</v>
      </c>
      <c r="D2724" s="59">
        <v>5301.8</v>
      </c>
      <c r="E2724" s="59"/>
    </row>
    <row r="2725" spans="3:5" x14ac:dyDescent="0.15">
      <c r="C2725" s="255" t="s">
        <v>1007</v>
      </c>
      <c r="D2725" s="59">
        <v>1446</v>
      </c>
      <c r="E2725" s="59"/>
    </row>
    <row r="2726" spans="3:5" x14ac:dyDescent="0.15">
      <c r="C2726" s="255" t="s">
        <v>1008</v>
      </c>
      <c r="D2726" s="59">
        <v>556</v>
      </c>
      <c r="E2726" s="59"/>
    </row>
    <row r="2727" spans="3:5" x14ac:dyDescent="0.15">
      <c r="C2727" s="255" t="s">
        <v>1009</v>
      </c>
      <c r="D2727" s="59">
        <v>341.7</v>
      </c>
      <c r="E2727" s="59"/>
    </row>
    <row r="2728" spans="3:5" x14ac:dyDescent="0.15">
      <c r="C2728" s="255" t="s">
        <v>1010</v>
      </c>
      <c r="D2728" s="59">
        <v>179.1</v>
      </c>
      <c r="E2728" s="59"/>
    </row>
    <row r="2729" spans="3:5" x14ac:dyDescent="0.15">
      <c r="C2729" s="255" t="s">
        <v>1011</v>
      </c>
      <c r="D2729" s="59">
        <v>369.2</v>
      </c>
      <c r="E2729" s="59"/>
    </row>
    <row r="2730" spans="3:5" x14ac:dyDescent="0.15">
      <c r="C2730" s="255" t="s">
        <v>1012</v>
      </c>
      <c r="D2730" s="59">
        <v>16942.400000000001</v>
      </c>
      <c r="E2730" s="59"/>
    </row>
    <row r="2731" spans="3:5" x14ac:dyDescent="0.15">
      <c r="C2731" s="255" t="s">
        <v>1013</v>
      </c>
      <c r="D2731" s="59">
        <v>9249.1</v>
      </c>
      <c r="E2731" s="59"/>
    </row>
    <row r="2732" spans="3:5" x14ac:dyDescent="0.15">
      <c r="C2732" s="255" t="s">
        <v>1014</v>
      </c>
      <c r="D2732" s="59">
        <v>3029.9</v>
      </c>
      <c r="E2732" s="59"/>
    </row>
    <row r="2733" spans="3:5" x14ac:dyDescent="0.15">
      <c r="C2733" s="255" t="s">
        <v>1015</v>
      </c>
      <c r="D2733" s="59">
        <v>791.1</v>
      </c>
      <c r="E2733" s="59"/>
    </row>
    <row r="2734" spans="3:5" x14ac:dyDescent="0.15">
      <c r="C2734" s="255" t="s">
        <v>1016</v>
      </c>
      <c r="D2734" s="59">
        <v>2071.5</v>
      </c>
      <c r="E2734" s="59"/>
    </row>
    <row r="2735" spans="3:5" x14ac:dyDescent="0.15">
      <c r="C2735" s="255" t="s">
        <v>1017</v>
      </c>
      <c r="D2735" s="59">
        <v>1779</v>
      </c>
      <c r="E2735" s="59"/>
    </row>
    <row r="2736" spans="3:5" x14ac:dyDescent="0.15">
      <c r="C2736" s="255" t="s">
        <v>1018</v>
      </c>
      <c r="D2736" s="59">
        <v>21.8</v>
      </c>
      <c r="E2736" s="59"/>
    </row>
    <row r="2737" spans="3:5" x14ac:dyDescent="0.15">
      <c r="C2737" s="255" t="s">
        <v>1019</v>
      </c>
      <c r="D2737" s="59">
        <v>27878.5</v>
      </c>
      <c r="E2737" s="59"/>
    </row>
    <row r="2738" spans="3:5" x14ac:dyDescent="0.15">
      <c r="C2738" s="255" t="s">
        <v>1020</v>
      </c>
      <c r="D2738" s="59">
        <v>470.7</v>
      </c>
      <c r="E2738" s="59"/>
    </row>
    <row r="2739" spans="3:5" x14ac:dyDescent="0.15">
      <c r="C2739" s="255" t="s">
        <v>1021</v>
      </c>
      <c r="D2739" s="59">
        <v>1295.8</v>
      </c>
      <c r="E2739" s="59"/>
    </row>
    <row r="2740" spans="3:5" x14ac:dyDescent="0.15">
      <c r="C2740" s="255" t="s">
        <v>1022</v>
      </c>
      <c r="D2740" s="59">
        <v>402.2</v>
      </c>
      <c r="E2740" s="59"/>
    </row>
    <row r="2741" spans="3:5" x14ac:dyDescent="0.15">
      <c r="C2741" s="255" t="s">
        <v>1023</v>
      </c>
      <c r="D2741" s="59">
        <v>137.69999999999999</v>
      </c>
      <c r="E2741" s="59"/>
    </row>
    <row r="2742" spans="3:5" x14ac:dyDescent="0.15">
      <c r="C2742" s="255" t="s">
        <v>1024</v>
      </c>
      <c r="D2742" s="59">
        <v>22.4</v>
      </c>
      <c r="E2742" s="59"/>
    </row>
    <row r="2743" spans="3:5" x14ac:dyDescent="0.15">
      <c r="C2743" s="255" t="s">
        <v>1025</v>
      </c>
      <c r="D2743" s="59">
        <v>249.4</v>
      </c>
      <c r="E2743" s="59"/>
    </row>
    <row r="2744" spans="3:5" x14ac:dyDescent="0.15">
      <c r="C2744" s="255" t="s">
        <v>1026</v>
      </c>
      <c r="D2744" s="59">
        <v>3423.4</v>
      </c>
      <c r="E2744" s="59"/>
    </row>
    <row r="2745" spans="3:5" x14ac:dyDescent="0.15">
      <c r="C2745" s="255" t="s">
        <v>1027</v>
      </c>
      <c r="D2745" s="59">
        <v>0</v>
      </c>
      <c r="E2745" s="59"/>
    </row>
    <row r="2746" spans="3:5" x14ac:dyDescent="0.15">
      <c r="C2746" s="255" t="s">
        <v>1028</v>
      </c>
      <c r="D2746" s="59">
        <v>571.70000000000005</v>
      </c>
      <c r="E2746" s="59"/>
    </row>
    <row r="2747" spans="3:5" x14ac:dyDescent="0.15">
      <c r="C2747" s="255" t="s">
        <v>1029</v>
      </c>
      <c r="D2747" s="59">
        <v>371</v>
      </c>
      <c r="E2747" s="59"/>
    </row>
    <row r="2748" spans="3:5" x14ac:dyDescent="0.15">
      <c r="C2748" s="255" t="s">
        <v>1030</v>
      </c>
      <c r="D2748" s="59">
        <v>39.9</v>
      </c>
      <c r="E2748" s="59"/>
    </row>
    <row r="2749" spans="3:5" x14ac:dyDescent="0.15">
      <c r="C2749" s="255" t="s">
        <v>1031</v>
      </c>
      <c r="D2749" s="59">
        <v>544.6</v>
      </c>
      <c r="E2749" s="59"/>
    </row>
    <row r="2750" spans="3:5" x14ac:dyDescent="0.15">
      <c r="C2750" s="255" t="s">
        <v>1032</v>
      </c>
      <c r="D2750" s="59">
        <v>202.9</v>
      </c>
      <c r="E2750" s="59"/>
    </row>
    <row r="2751" spans="3:5" x14ac:dyDescent="0.15">
      <c r="C2751" s="255" t="s">
        <v>1033</v>
      </c>
      <c r="D2751" s="59">
        <v>2.8</v>
      </c>
      <c r="E2751" s="59"/>
    </row>
    <row r="2752" spans="3:5" x14ac:dyDescent="0.15">
      <c r="C2752" s="255" t="s">
        <v>1034</v>
      </c>
      <c r="D2752" s="59">
        <v>126.9</v>
      </c>
      <c r="E2752" s="59"/>
    </row>
    <row r="2753" spans="2:5" x14ac:dyDescent="0.15">
      <c r="C2753" s="255" t="s">
        <v>1035</v>
      </c>
      <c r="D2753" s="59">
        <v>3405.6</v>
      </c>
      <c r="E2753" s="59"/>
    </row>
    <row r="2754" spans="2:5" x14ac:dyDescent="0.15">
      <c r="C2754" s="255" t="s">
        <v>1036</v>
      </c>
      <c r="D2754" s="59">
        <v>303.39999999999998</v>
      </c>
      <c r="E2754" s="59"/>
    </row>
    <row r="2755" spans="2:5" x14ac:dyDescent="0.15">
      <c r="C2755" s="255" t="s">
        <v>1037</v>
      </c>
      <c r="D2755" s="59">
        <v>887.8</v>
      </c>
      <c r="E2755" s="59"/>
    </row>
    <row r="2756" spans="2:5" x14ac:dyDescent="0.15">
      <c r="C2756" s="255" t="s">
        <v>1038</v>
      </c>
      <c r="D2756" s="59">
        <v>4874.5</v>
      </c>
      <c r="E2756" s="59"/>
    </row>
    <row r="2757" spans="2:5" x14ac:dyDescent="0.15">
      <c r="C2757" s="255" t="s">
        <v>1039</v>
      </c>
      <c r="D2757" s="59">
        <v>1235.8</v>
      </c>
      <c r="E2757" s="59"/>
    </row>
    <row r="2758" spans="2:5" x14ac:dyDescent="0.15">
      <c r="C2758" s="255" t="s">
        <v>1040</v>
      </c>
      <c r="D2758" s="59">
        <v>4924</v>
      </c>
      <c r="E2758" s="59"/>
    </row>
    <row r="2759" spans="2:5" x14ac:dyDescent="0.15">
      <c r="C2759" s="255" t="s">
        <v>1041</v>
      </c>
      <c r="D2759" s="59">
        <v>394.2</v>
      </c>
      <c r="E2759" s="59"/>
    </row>
    <row r="2760" spans="2:5" x14ac:dyDescent="0.15">
      <c r="C2760" s="255" t="s">
        <v>1042</v>
      </c>
      <c r="D2760" s="59">
        <v>2485.4</v>
      </c>
      <c r="E2760" s="59"/>
    </row>
    <row r="2761" spans="2:5" x14ac:dyDescent="0.15">
      <c r="C2761" s="255" t="s">
        <v>1043</v>
      </c>
      <c r="D2761" s="59">
        <v>719.1</v>
      </c>
      <c r="E2761" s="59"/>
    </row>
    <row r="2762" spans="2:5" x14ac:dyDescent="0.15">
      <c r="C2762" s="255" t="s">
        <v>1044</v>
      </c>
      <c r="D2762" s="59">
        <v>187.8</v>
      </c>
      <c r="E2762" s="59"/>
    </row>
    <row r="2763" spans="2:5" x14ac:dyDescent="0.15">
      <c r="C2763" s="255" t="s">
        <v>1045</v>
      </c>
      <c r="D2763" s="59">
        <v>56.7</v>
      </c>
      <c r="E2763" s="59"/>
    </row>
    <row r="2764" spans="2:5" x14ac:dyDescent="0.15">
      <c r="C2764" s="255" t="s">
        <v>1046</v>
      </c>
      <c r="D2764" s="59">
        <v>215.7</v>
      </c>
      <c r="E2764" s="59"/>
    </row>
    <row r="2765" spans="2:5" x14ac:dyDescent="0.15">
      <c r="C2765" s="255" t="s">
        <v>1047</v>
      </c>
      <c r="D2765" s="59">
        <v>250.6</v>
      </c>
      <c r="E2765" s="59"/>
    </row>
    <row r="2766" spans="2:5" x14ac:dyDescent="0.15">
      <c r="C2766" s="255" t="s">
        <v>1048</v>
      </c>
      <c r="D2766" s="59">
        <v>76.400000000000006</v>
      </c>
      <c r="E2766" s="59"/>
    </row>
    <row r="2767" spans="2:5" x14ac:dyDescent="0.15">
      <c r="B2767" s="255" t="s">
        <v>1053</v>
      </c>
      <c r="C2767" s="255" t="s">
        <v>743</v>
      </c>
      <c r="D2767" s="59">
        <v>72</v>
      </c>
      <c r="E2767" s="59"/>
    </row>
    <row r="2768" spans="2:5" x14ac:dyDescent="0.15">
      <c r="C2768" s="255" t="s">
        <v>744</v>
      </c>
      <c r="D2768" s="59">
        <v>100.6</v>
      </c>
      <c r="E2768" s="59"/>
    </row>
    <row r="2769" spans="3:5" x14ac:dyDescent="0.15">
      <c r="C2769" s="255" t="s">
        <v>745</v>
      </c>
      <c r="D2769" s="59">
        <v>228.3</v>
      </c>
      <c r="E2769" s="59"/>
    </row>
    <row r="2770" spans="3:5" x14ac:dyDescent="0.15">
      <c r="C2770" s="255" t="s">
        <v>746</v>
      </c>
      <c r="D2770" s="59">
        <v>2.2999999999999998</v>
      </c>
      <c r="E2770" s="59"/>
    </row>
    <row r="2771" spans="3:5" x14ac:dyDescent="0.15">
      <c r="C2771" s="255" t="s">
        <v>747</v>
      </c>
      <c r="D2771" s="59">
        <v>1.8</v>
      </c>
      <c r="E2771" s="59"/>
    </row>
    <row r="2772" spans="3:5" x14ac:dyDescent="0.15">
      <c r="C2772" s="255" t="s">
        <v>748</v>
      </c>
      <c r="D2772" s="59">
        <v>0.4</v>
      </c>
      <c r="E2772" s="59"/>
    </row>
    <row r="2773" spans="3:5" x14ac:dyDescent="0.15">
      <c r="C2773" s="255" t="s">
        <v>749</v>
      </c>
      <c r="D2773" s="59">
        <v>0.8</v>
      </c>
      <c r="E2773" s="59"/>
    </row>
    <row r="2774" spans="3:5" x14ac:dyDescent="0.15">
      <c r="C2774" s="255" t="s">
        <v>750</v>
      </c>
      <c r="D2774" s="59">
        <v>0.3</v>
      </c>
      <c r="E2774" s="59"/>
    </row>
    <row r="2775" spans="3:5" x14ac:dyDescent="0.15">
      <c r="C2775" s="255" t="s">
        <v>751</v>
      </c>
      <c r="D2775" s="59">
        <v>51.4</v>
      </c>
      <c r="E2775" s="59"/>
    </row>
    <row r="2776" spans="3:5" x14ac:dyDescent="0.15">
      <c r="C2776" s="255" t="s">
        <v>752</v>
      </c>
      <c r="D2776" s="59">
        <v>1.6</v>
      </c>
      <c r="E2776" s="59"/>
    </row>
    <row r="2777" spans="3:5" x14ac:dyDescent="0.15">
      <c r="C2777" s="255" t="s">
        <v>753</v>
      </c>
      <c r="D2777" s="59">
        <v>141</v>
      </c>
      <c r="E2777" s="59"/>
    </row>
    <row r="2778" spans="3:5" x14ac:dyDescent="0.15">
      <c r="C2778" s="255" t="s">
        <v>754</v>
      </c>
      <c r="D2778" s="59">
        <v>1937.9</v>
      </c>
      <c r="E2778" s="59"/>
    </row>
    <row r="2779" spans="3:5" x14ac:dyDescent="0.15">
      <c r="C2779" s="255" t="s">
        <v>192</v>
      </c>
      <c r="D2779" s="59">
        <v>349771.1</v>
      </c>
      <c r="E2779" s="59"/>
    </row>
    <row r="2780" spans="3:5" x14ac:dyDescent="0.15">
      <c r="C2780" s="255" t="s">
        <v>755</v>
      </c>
      <c r="D2780" s="59">
        <v>46374.5</v>
      </c>
      <c r="E2780" s="59"/>
    </row>
    <row r="2781" spans="3:5" x14ac:dyDescent="0.15">
      <c r="C2781" s="255" t="s">
        <v>756</v>
      </c>
      <c r="D2781" s="59">
        <v>88.4</v>
      </c>
      <c r="E2781" s="59"/>
    </row>
    <row r="2782" spans="3:5" x14ac:dyDescent="0.15">
      <c r="C2782" s="255" t="s">
        <v>757</v>
      </c>
      <c r="D2782" s="59">
        <v>121.5</v>
      </c>
      <c r="E2782" s="59"/>
    </row>
    <row r="2783" spans="3:5" x14ac:dyDescent="0.15">
      <c r="C2783" s="255" t="s">
        <v>758</v>
      </c>
      <c r="D2783" s="59">
        <v>3051</v>
      </c>
      <c r="E2783" s="59"/>
    </row>
    <row r="2784" spans="3:5" x14ac:dyDescent="0.15">
      <c r="C2784" s="255" t="s">
        <v>759</v>
      </c>
      <c r="D2784" s="59">
        <v>1737.5</v>
      </c>
      <c r="E2784" s="59"/>
    </row>
    <row r="2785" spans="3:5" x14ac:dyDescent="0.15">
      <c r="C2785" s="255" t="s">
        <v>760</v>
      </c>
      <c r="D2785" s="59">
        <v>85.2</v>
      </c>
      <c r="E2785" s="59"/>
    </row>
    <row r="2786" spans="3:5" x14ac:dyDescent="0.15">
      <c r="C2786" s="255" t="s">
        <v>761</v>
      </c>
      <c r="D2786" s="59">
        <v>890.5</v>
      </c>
      <c r="E2786" s="59"/>
    </row>
    <row r="2787" spans="3:5" x14ac:dyDescent="0.15">
      <c r="C2787" s="255" t="s">
        <v>762</v>
      </c>
      <c r="D2787" s="59">
        <v>466.3</v>
      </c>
      <c r="E2787" s="59"/>
    </row>
    <row r="2788" spans="3:5" x14ac:dyDescent="0.15">
      <c r="C2788" s="255" t="s">
        <v>763</v>
      </c>
      <c r="D2788" s="59">
        <v>188.4</v>
      </c>
      <c r="E2788" s="59"/>
    </row>
    <row r="2789" spans="3:5" x14ac:dyDescent="0.15">
      <c r="C2789" s="255" t="s">
        <v>764</v>
      </c>
      <c r="D2789" s="59">
        <v>3752.1</v>
      </c>
      <c r="E2789" s="59"/>
    </row>
    <row r="2790" spans="3:5" x14ac:dyDescent="0.15">
      <c r="C2790" s="255" t="s">
        <v>765</v>
      </c>
      <c r="D2790" s="59">
        <v>1504.5</v>
      </c>
      <c r="E2790" s="59"/>
    </row>
    <row r="2791" spans="3:5" x14ac:dyDescent="0.15">
      <c r="C2791" s="255" t="s">
        <v>766</v>
      </c>
      <c r="D2791" s="59">
        <v>215.6</v>
      </c>
      <c r="E2791" s="59"/>
    </row>
    <row r="2792" spans="3:5" x14ac:dyDescent="0.15">
      <c r="C2792" s="255" t="s">
        <v>767</v>
      </c>
      <c r="D2792" s="59">
        <v>1819.1</v>
      </c>
      <c r="E2792" s="59"/>
    </row>
    <row r="2793" spans="3:5" x14ac:dyDescent="0.15">
      <c r="C2793" s="255" t="s">
        <v>768</v>
      </c>
      <c r="D2793" s="59">
        <v>11.6</v>
      </c>
      <c r="E2793" s="59"/>
    </row>
    <row r="2794" spans="3:5" x14ac:dyDescent="0.15">
      <c r="C2794" s="255" t="s">
        <v>769</v>
      </c>
      <c r="D2794" s="59">
        <v>79.099999999999994</v>
      </c>
      <c r="E2794" s="59"/>
    </row>
    <row r="2795" spans="3:5" x14ac:dyDescent="0.15">
      <c r="C2795" s="255" t="s">
        <v>770</v>
      </c>
      <c r="D2795" s="59">
        <v>1882.9</v>
      </c>
      <c r="E2795" s="59"/>
    </row>
    <row r="2796" spans="3:5" x14ac:dyDescent="0.15">
      <c r="C2796" s="255" t="s">
        <v>771</v>
      </c>
      <c r="D2796" s="59">
        <v>1837.3</v>
      </c>
      <c r="E2796" s="59"/>
    </row>
    <row r="2797" spans="3:5" x14ac:dyDescent="0.15">
      <c r="C2797" s="255" t="s">
        <v>772</v>
      </c>
      <c r="D2797" s="59">
        <v>971.6</v>
      </c>
      <c r="E2797" s="59"/>
    </row>
    <row r="2798" spans="3:5" x14ac:dyDescent="0.15">
      <c r="C2798" s="255" t="s">
        <v>773</v>
      </c>
      <c r="D2798" s="59">
        <v>111.6</v>
      </c>
      <c r="E2798" s="59"/>
    </row>
    <row r="2799" spans="3:5" x14ac:dyDescent="0.15">
      <c r="C2799" s="255" t="s">
        <v>774</v>
      </c>
      <c r="D2799" s="59">
        <v>87.8</v>
      </c>
      <c r="E2799" s="59"/>
    </row>
    <row r="2800" spans="3:5" x14ac:dyDescent="0.15">
      <c r="C2800" s="255" t="s">
        <v>775</v>
      </c>
      <c r="D2800" s="59">
        <v>133.19999999999999</v>
      </c>
      <c r="E2800" s="59"/>
    </row>
    <row r="2801" spans="3:5" x14ac:dyDescent="0.15">
      <c r="C2801" s="255" t="s">
        <v>776</v>
      </c>
      <c r="D2801" s="59">
        <v>267.8</v>
      </c>
      <c r="E2801" s="59"/>
    </row>
    <row r="2802" spans="3:5" x14ac:dyDescent="0.15">
      <c r="C2802" s="255" t="s">
        <v>777</v>
      </c>
      <c r="D2802" s="59">
        <v>876</v>
      </c>
      <c r="E2802" s="59"/>
    </row>
    <row r="2803" spans="3:5" x14ac:dyDescent="0.15">
      <c r="C2803" s="255" t="s">
        <v>778</v>
      </c>
      <c r="D2803" s="59">
        <v>668.7</v>
      </c>
      <c r="E2803" s="59"/>
    </row>
    <row r="2804" spans="3:5" x14ac:dyDescent="0.15">
      <c r="C2804" s="255" t="s">
        <v>779</v>
      </c>
      <c r="D2804" s="59">
        <v>425.7</v>
      </c>
      <c r="E2804" s="59"/>
    </row>
    <row r="2805" spans="3:5" x14ac:dyDescent="0.15">
      <c r="C2805" s="255" t="s">
        <v>780</v>
      </c>
      <c r="D2805" s="59">
        <v>21</v>
      </c>
      <c r="E2805" s="59"/>
    </row>
    <row r="2806" spans="3:5" x14ac:dyDescent="0.15">
      <c r="C2806" s="255" t="s">
        <v>781</v>
      </c>
      <c r="D2806" s="59">
        <v>1139</v>
      </c>
      <c r="E2806" s="59"/>
    </row>
    <row r="2807" spans="3:5" x14ac:dyDescent="0.15">
      <c r="C2807" s="255" t="s">
        <v>782</v>
      </c>
      <c r="D2807" s="59">
        <v>1990.4</v>
      </c>
      <c r="E2807" s="59"/>
    </row>
    <row r="2808" spans="3:5" x14ac:dyDescent="0.15">
      <c r="C2808" s="255" t="s">
        <v>783</v>
      </c>
      <c r="D2808" s="59">
        <v>914</v>
      </c>
      <c r="E2808" s="59"/>
    </row>
    <row r="2809" spans="3:5" x14ac:dyDescent="0.15">
      <c r="C2809" s="255" t="s">
        <v>784</v>
      </c>
      <c r="D2809" s="59">
        <v>569.9</v>
      </c>
      <c r="E2809" s="59"/>
    </row>
    <row r="2810" spans="3:5" x14ac:dyDescent="0.15">
      <c r="C2810" s="255" t="s">
        <v>785</v>
      </c>
      <c r="D2810" s="59">
        <v>658.1</v>
      </c>
      <c r="E2810" s="59"/>
    </row>
    <row r="2811" spans="3:5" x14ac:dyDescent="0.15">
      <c r="C2811" s="255" t="s">
        <v>786</v>
      </c>
      <c r="D2811" s="59">
        <v>136.30000000000001</v>
      </c>
      <c r="E2811" s="59"/>
    </row>
    <row r="2812" spans="3:5" x14ac:dyDescent="0.15">
      <c r="C2812" s="255" t="s">
        <v>787</v>
      </c>
      <c r="D2812" s="59">
        <v>115.2</v>
      </c>
      <c r="E2812" s="59"/>
    </row>
    <row r="2813" spans="3:5" x14ac:dyDescent="0.15">
      <c r="C2813" s="255" t="s">
        <v>788</v>
      </c>
      <c r="D2813" s="59">
        <v>148.30000000000001</v>
      </c>
      <c r="E2813" s="59"/>
    </row>
    <row r="2814" spans="3:5" x14ac:dyDescent="0.15">
      <c r="C2814" s="255" t="s">
        <v>789</v>
      </c>
      <c r="D2814" s="59">
        <v>5.8</v>
      </c>
      <c r="E2814" s="59"/>
    </row>
    <row r="2815" spans="3:5" x14ac:dyDescent="0.15">
      <c r="C2815" s="255" t="s">
        <v>790</v>
      </c>
      <c r="D2815" s="59">
        <v>3049.1</v>
      </c>
      <c r="E2815" s="59"/>
    </row>
    <row r="2816" spans="3:5" x14ac:dyDescent="0.15">
      <c r="C2816" s="255" t="s">
        <v>791</v>
      </c>
      <c r="D2816" s="59">
        <v>88.2</v>
      </c>
      <c r="E2816" s="59"/>
    </row>
    <row r="2817" spans="3:5" x14ac:dyDescent="0.15">
      <c r="C2817" s="255" t="s">
        <v>792</v>
      </c>
      <c r="D2817" s="59">
        <v>858</v>
      </c>
      <c r="E2817" s="59"/>
    </row>
    <row r="2818" spans="3:5" x14ac:dyDescent="0.15">
      <c r="C2818" s="255" t="s">
        <v>793</v>
      </c>
      <c r="D2818" s="59">
        <v>389.5</v>
      </c>
      <c r="E2818" s="59"/>
    </row>
    <row r="2819" spans="3:5" x14ac:dyDescent="0.15">
      <c r="C2819" s="255" t="s">
        <v>794</v>
      </c>
      <c r="D2819" s="59">
        <v>3294.4</v>
      </c>
      <c r="E2819" s="59"/>
    </row>
    <row r="2820" spans="3:5" x14ac:dyDescent="0.15">
      <c r="C2820" s="255" t="s">
        <v>795</v>
      </c>
      <c r="D2820" s="59">
        <v>356.8</v>
      </c>
      <c r="E2820" s="59"/>
    </row>
    <row r="2821" spans="3:5" x14ac:dyDescent="0.15">
      <c r="C2821" s="255" t="s">
        <v>796</v>
      </c>
      <c r="D2821" s="59">
        <v>651.20000000000005</v>
      </c>
      <c r="E2821" s="59"/>
    </row>
    <row r="2822" spans="3:5" x14ac:dyDescent="0.15">
      <c r="C2822" s="255" t="s">
        <v>797</v>
      </c>
      <c r="D2822" s="59">
        <v>764.6</v>
      </c>
      <c r="E2822" s="59"/>
    </row>
    <row r="2823" spans="3:5" x14ac:dyDescent="0.15">
      <c r="C2823" s="255" t="s">
        <v>798</v>
      </c>
      <c r="D2823" s="59">
        <v>362.1</v>
      </c>
      <c r="E2823" s="59"/>
    </row>
    <row r="2824" spans="3:5" x14ac:dyDescent="0.15">
      <c r="C2824" s="255" t="s">
        <v>799</v>
      </c>
      <c r="D2824" s="59">
        <v>124</v>
      </c>
      <c r="E2824" s="59"/>
    </row>
    <row r="2825" spans="3:5" x14ac:dyDescent="0.15">
      <c r="C2825" s="255" t="s">
        <v>800</v>
      </c>
      <c r="D2825" s="59">
        <v>112.4</v>
      </c>
      <c r="E2825" s="59"/>
    </row>
    <row r="2826" spans="3:5" x14ac:dyDescent="0.15">
      <c r="C2826" s="255" t="s">
        <v>801</v>
      </c>
      <c r="D2826" s="59">
        <v>338.2</v>
      </c>
      <c r="E2826" s="59"/>
    </row>
    <row r="2827" spans="3:5" x14ac:dyDescent="0.15">
      <c r="C2827" s="255" t="s">
        <v>802</v>
      </c>
      <c r="D2827" s="59">
        <v>1350.7</v>
      </c>
      <c r="E2827" s="59"/>
    </row>
    <row r="2828" spans="3:5" x14ac:dyDescent="0.15">
      <c r="C2828" s="255" t="s">
        <v>803</v>
      </c>
      <c r="D2828" s="59">
        <v>1521.9</v>
      </c>
      <c r="E2828" s="59"/>
    </row>
    <row r="2829" spans="3:5" x14ac:dyDescent="0.15">
      <c r="C2829" s="255" t="s">
        <v>804</v>
      </c>
      <c r="D2829" s="59">
        <v>942.4</v>
      </c>
      <c r="E2829" s="59"/>
    </row>
    <row r="2830" spans="3:5" x14ac:dyDescent="0.15">
      <c r="C2830" s="255" t="s">
        <v>805</v>
      </c>
      <c r="D2830" s="59">
        <v>2.8</v>
      </c>
      <c r="E2830" s="59"/>
    </row>
    <row r="2831" spans="3:5" x14ac:dyDescent="0.15">
      <c r="C2831" s="255" t="s">
        <v>806</v>
      </c>
      <c r="D2831" s="59">
        <v>935.7</v>
      </c>
      <c r="E2831" s="59"/>
    </row>
    <row r="2832" spans="3:5" x14ac:dyDescent="0.15">
      <c r="C2832" s="255" t="s">
        <v>807</v>
      </c>
      <c r="D2832" s="59">
        <v>406.9</v>
      </c>
      <c r="E2832" s="59"/>
    </row>
    <row r="2833" spans="3:5" x14ac:dyDescent="0.15">
      <c r="C2833" s="255" t="s">
        <v>808</v>
      </c>
      <c r="D2833" s="59">
        <v>25.8</v>
      </c>
      <c r="E2833" s="59"/>
    </row>
    <row r="2834" spans="3:5" x14ac:dyDescent="0.15">
      <c r="C2834" s="255" t="s">
        <v>809</v>
      </c>
      <c r="D2834" s="59">
        <v>141.5</v>
      </c>
      <c r="E2834" s="59"/>
    </row>
    <row r="2835" spans="3:5" x14ac:dyDescent="0.15">
      <c r="C2835" s="255" t="s">
        <v>810</v>
      </c>
      <c r="D2835" s="59">
        <v>250.3</v>
      </c>
      <c r="E2835" s="59"/>
    </row>
    <row r="2836" spans="3:5" x14ac:dyDescent="0.15">
      <c r="C2836" s="255" t="s">
        <v>811</v>
      </c>
      <c r="D2836" s="59">
        <v>1155.4000000000001</v>
      </c>
      <c r="E2836" s="59"/>
    </row>
    <row r="2837" spans="3:5" x14ac:dyDescent="0.15">
      <c r="C2837" s="255" t="s">
        <v>812</v>
      </c>
      <c r="D2837" s="59">
        <v>174.7</v>
      </c>
      <c r="E2837" s="59"/>
    </row>
    <row r="2838" spans="3:5" x14ac:dyDescent="0.15">
      <c r="C2838" s="255" t="s">
        <v>813</v>
      </c>
      <c r="D2838" s="59">
        <v>10.5</v>
      </c>
      <c r="E2838" s="59"/>
    </row>
    <row r="2839" spans="3:5" x14ac:dyDescent="0.15">
      <c r="C2839" s="255" t="s">
        <v>814</v>
      </c>
      <c r="D2839" s="59">
        <v>307.8</v>
      </c>
      <c r="E2839" s="59"/>
    </row>
    <row r="2840" spans="3:5" x14ac:dyDescent="0.15">
      <c r="C2840" s="255" t="s">
        <v>815</v>
      </c>
      <c r="D2840" s="59">
        <v>1165.3</v>
      </c>
      <c r="E2840" s="59"/>
    </row>
    <row r="2841" spans="3:5" x14ac:dyDescent="0.15">
      <c r="C2841" s="255" t="s">
        <v>816</v>
      </c>
      <c r="D2841" s="59">
        <v>623.20000000000005</v>
      </c>
      <c r="E2841" s="59"/>
    </row>
    <row r="2842" spans="3:5" x14ac:dyDescent="0.15">
      <c r="C2842" s="255" t="s">
        <v>817</v>
      </c>
      <c r="D2842" s="59">
        <v>8689</v>
      </c>
      <c r="E2842" s="59"/>
    </row>
    <row r="2843" spans="3:5" x14ac:dyDescent="0.15">
      <c r="C2843" s="255" t="s">
        <v>818</v>
      </c>
      <c r="D2843" s="59">
        <v>1214.0999999999999</v>
      </c>
      <c r="E2843" s="59"/>
    </row>
    <row r="2844" spans="3:5" x14ac:dyDescent="0.15">
      <c r="C2844" s="255" t="s">
        <v>819</v>
      </c>
      <c r="D2844" s="59">
        <v>3</v>
      </c>
      <c r="E2844" s="59"/>
    </row>
    <row r="2845" spans="3:5" x14ac:dyDescent="0.15">
      <c r="C2845" s="255" t="s">
        <v>820</v>
      </c>
      <c r="D2845" s="59">
        <v>2328.6999999999998</v>
      </c>
      <c r="E2845" s="59"/>
    </row>
    <row r="2846" spans="3:5" x14ac:dyDescent="0.15">
      <c r="C2846" s="255" t="s">
        <v>821</v>
      </c>
      <c r="D2846" s="59">
        <v>29.4</v>
      </c>
      <c r="E2846" s="59"/>
    </row>
    <row r="2847" spans="3:5" x14ac:dyDescent="0.15">
      <c r="C2847" s="255" t="s">
        <v>822</v>
      </c>
      <c r="D2847" s="59">
        <v>195</v>
      </c>
      <c r="E2847" s="59"/>
    </row>
    <row r="2848" spans="3:5" x14ac:dyDescent="0.15">
      <c r="C2848" s="255" t="s">
        <v>823</v>
      </c>
      <c r="D2848" s="59">
        <v>4.0999999999999996</v>
      </c>
      <c r="E2848" s="59"/>
    </row>
    <row r="2849" spans="3:5" x14ac:dyDescent="0.15">
      <c r="C2849" s="255" t="s">
        <v>824</v>
      </c>
      <c r="D2849" s="59">
        <v>770.2</v>
      </c>
      <c r="E2849" s="59"/>
    </row>
    <row r="2850" spans="3:5" x14ac:dyDescent="0.15">
      <c r="C2850" s="255" t="s">
        <v>825</v>
      </c>
      <c r="D2850" s="59">
        <v>547.9</v>
      </c>
      <c r="E2850" s="59"/>
    </row>
    <row r="2851" spans="3:5" x14ac:dyDescent="0.15">
      <c r="C2851" s="255" t="s">
        <v>826</v>
      </c>
      <c r="D2851" s="59">
        <v>2.2999999999999998</v>
      </c>
      <c r="E2851" s="59"/>
    </row>
    <row r="2852" spans="3:5" x14ac:dyDescent="0.15">
      <c r="C2852" s="255" t="s">
        <v>827</v>
      </c>
      <c r="D2852" s="59">
        <v>0</v>
      </c>
      <c r="E2852" s="59"/>
    </row>
    <row r="2853" spans="3:5" x14ac:dyDescent="0.15">
      <c r="C2853" s="255" t="s">
        <v>828</v>
      </c>
      <c r="D2853" s="59">
        <v>2829.5</v>
      </c>
      <c r="E2853" s="59"/>
    </row>
    <row r="2854" spans="3:5" x14ac:dyDescent="0.15">
      <c r="C2854" s="255" t="s">
        <v>829</v>
      </c>
      <c r="D2854" s="59">
        <v>8.8000000000000007</v>
      </c>
      <c r="E2854" s="59"/>
    </row>
    <row r="2855" spans="3:5" x14ac:dyDescent="0.15">
      <c r="C2855" s="255" t="s">
        <v>830</v>
      </c>
      <c r="D2855" s="59">
        <v>756</v>
      </c>
      <c r="E2855" s="59"/>
    </row>
    <row r="2856" spans="3:5" x14ac:dyDescent="0.15">
      <c r="C2856" s="255" t="s">
        <v>831</v>
      </c>
      <c r="D2856" s="59">
        <v>0</v>
      </c>
      <c r="E2856" s="59"/>
    </row>
    <row r="2857" spans="3:5" x14ac:dyDescent="0.15">
      <c r="C2857" s="255" t="s">
        <v>832</v>
      </c>
      <c r="D2857" s="59">
        <v>15360.8</v>
      </c>
      <c r="E2857" s="59"/>
    </row>
    <row r="2858" spans="3:5" x14ac:dyDescent="0.15">
      <c r="C2858" s="255" t="s">
        <v>833</v>
      </c>
      <c r="D2858" s="59">
        <v>61.8</v>
      </c>
      <c r="E2858" s="59"/>
    </row>
    <row r="2859" spans="3:5" x14ac:dyDescent="0.15">
      <c r="C2859" s="255" t="s">
        <v>834</v>
      </c>
      <c r="D2859" s="59">
        <v>4038.2</v>
      </c>
      <c r="E2859" s="59"/>
    </row>
    <row r="2860" spans="3:5" x14ac:dyDescent="0.15">
      <c r="C2860" s="255" t="s">
        <v>835</v>
      </c>
      <c r="D2860" s="59">
        <v>5677.5</v>
      </c>
      <c r="E2860" s="59"/>
    </row>
    <row r="2861" spans="3:5" x14ac:dyDescent="0.15">
      <c r="C2861" s="255" t="s">
        <v>836</v>
      </c>
      <c r="D2861" s="59">
        <v>1914.9</v>
      </c>
      <c r="E2861" s="59"/>
    </row>
    <row r="2862" spans="3:5" x14ac:dyDescent="0.15">
      <c r="C2862" s="255" t="s">
        <v>837</v>
      </c>
      <c r="D2862" s="59">
        <v>1027.9000000000001</v>
      </c>
      <c r="E2862" s="59"/>
    </row>
    <row r="2863" spans="3:5" x14ac:dyDescent="0.15">
      <c r="C2863" s="255" t="s">
        <v>838</v>
      </c>
      <c r="D2863" s="59">
        <v>18.600000000000001</v>
      </c>
      <c r="E2863" s="59"/>
    </row>
    <row r="2864" spans="3:5" x14ac:dyDescent="0.15">
      <c r="C2864" s="255" t="s">
        <v>839</v>
      </c>
      <c r="D2864" s="59">
        <v>0</v>
      </c>
      <c r="E2864" s="59"/>
    </row>
    <row r="2865" spans="3:5" x14ac:dyDescent="0.15">
      <c r="C2865" s="255" t="s">
        <v>840</v>
      </c>
      <c r="D2865" s="59">
        <v>0</v>
      </c>
      <c r="E2865" s="59"/>
    </row>
    <row r="2866" spans="3:5" x14ac:dyDescent="0.15">
      <c r="C2866" s="255" t="s">
        <v>841</v>
      </c>
      <c r="D2866" s="59">
        <v>892.9</v>
      </c>
      <c r="E2866" s="59"/>
    </row>
    <row r="2867" spans="3:5" x14ac:dyDescent="0.15">
      <c r="C2867" s="255" t="s">
        <v>842</v>
      </c>
      <c r="D2867" s="59">
        <v>1676.4</v>
      </c>
      <c r="E2867" s="59"/>
    </row>
    <row r="2868" spans="3:5" x14ac:dyDescent="0.15">
      <c r="C2868" s="255" t="s">
        <v>843</v>
      </c>
      <c r="D2868" s="59">
        <v>52.6</v>
      </c>
      <c r="E2868" s="59"/>
    </row>
    <row r="2869" spans="3:5" x14ac:dyDescent="0.15">
      <c r="C2869" s="255" t="s">
        <v>844</v>
      </c>
      <c r="D2869" s="59">
        <v>0</v>
      </c>
      <c r="E2869" s="59"/>
    </row>
    <row r="2870" spans="3:5" x14ac:dyDescent="0.15">
      <c r="C2870" s="255" t="s">
        <v>845</v>
      </c>
      <c r="D2870" s="59">
        <v>108393.4</v>
      </c>
      <c r="E2870" s="59"/>
    </row>
    <row r="2871" spans="3:5" x14ac:dyDescent="0.15">
      <c r="C2871" s="255" t="s">
        <v>846</v>
      </c>
      <c r="D2871" s="59">
        <v>13028.9</v>
      </c>
      <c r="E2871" s="59"/>
    </row>
    <row r="2872" spans="3:5" x14ac:dyDescent="0.15">
      <c r="C2872" s="255" t="s">
        <v>847</v>
      </c>
      <c r="D2872" s="59">
        <v>161.30000000000001</v>
      </c>
      <c r="E2872" s="59"/>
    </row>
    <row r="2873" spans="3:5" x14ac:dyDescent="0.15">
      <c r="C2873" s="255" t="s">
        <v>848</v>
      </c>
      <c r="D2873" s="59">
        <v>50461</v>
      </c>
      <c r="E2873" s="59"/>
    </row>
    <row r="2874" spans="3:5" x14ac:dyDescent="0.15">
      <c r="C2874" s="255" t="s">
        <v>849</v>
      </c>
      <c r="D2874" s="59">
        <v>3216.9</v>
      </c>
      <c r="E2874" s="59"/>
    </row>
    <row r="2875" spans="3:5" x14ac:dyDescent="0.15">
      <c r="C2875" s="255" t="s">
        <v>850</v>
      </c>
      <c r="D2875" s="59">
        <v>1535.8</v>
      </c>
      <c r="E2875" s="59"/>
    </row>
    <row r="2876" spans="3:5" x14ac:dyDescent="0.15">
      <c r="C2876" s="255" t="s">
        <v>851</v>
      </c>
      <c r="D2876" s="59">
        <v>0</v>
      </c>
      <c r="E2876" s="59"/>
    </row>
    <row r="2877" spans="3:5" x14ac:dyDescent="0.15">
      <c r="C2877" s="255" t="s">
        <v>852</v>
      </c>
      <c r="D2877" s="59">
        <v>0</v>
      </c>
      <c r="E2877" s="59"/>
    </row>
    <row r="2878" spans="3:5" x14ac:dyDescent="0.15">
      <c r="C2878" s="255" t="s">
        <v>853</v>
      </c>
      <c r="D2878" s="59">
        <v>230</v>
      </c>
      <c r="E2878" s="59"/>
    </row>
    <row r="2879" spans="3:5" x14ac:dyDescent="0.15">
      <c r="C2879" s="255" t="s">
        <v>854</v>
      </c>
      <c r="D2879" s="59">
        <v>0</v>
      </c>
      <c r="E2879" s="59"/>
    </row>
    <row r="2880" spans="3:5" x14ac:dyDescent="0.15">
      <c r="C2880" s="255" t="s">
        <v>855</v>
      </c>
      <c r="D2880" s="59">
        <v>390.7</v>
      </c>
      <c r="E2880" s="59"/>
    </row>
    <row r="2881" spans="3:5" x14ac:dyDescent="0.15">
      <c r="C2881" s="255" t="s">
        <v>856</v>
      </c>
      <c r="D2881" s="59">
        <v>5412.9</v>
      </c>
      <c r="E2881" s="59"/>
    </row>
    <row r="2882" spans="3:5" x14ac:dyDescent="0.15">
      <c r="C2882" s="255" t="s">
        <v>857</v>
      </c>
      <c r="D2882" s="59">
        <v>2384</v>
      </c>
      <c r="E2882" s="59"/>
    </row>
    <row r="2883" spans="3:5" x14ac:dyDescent="0.15">
      <c r="C2883" s="255" t="s">
        <v>858</v>
      </c>
      <c r="D2883" s="59">
        <v>2852.2</v>
      </c>
      <c r="E2883" s="59"/>
    </row>
    <row r="2884" spans="3:5" x14ac:dyDescent="0.15">
      <c r="C2884" s="255" t="s">
        <v>859</v>
      </c>
      <c r="D2884" s="59">
        <v>2942.1</v>
      </c>
      <c r="E2884" s="59"/>
    </row>
    <row r="2885" spans="3:5" x14ac:dyDescent="0.15">
      <c r="C2885" s="255" t="s">
        <v>860</v>
      </c>
      <c r="D2885" s="59">
        <v>491.3</v>
      </c>
      <c r="E2885" s="59"/>
    </row>
    <row r="2886" spans="3:5" x14ac:dyDescent="0.15">
      <c r="C2886" s="255" t="s">
        <v>861</v>
      </c>
      <c r="D2886" s="59">
        <v>1552.3</v>
      </c>
      <c r="E2886" s="59"/>
    </row>
    <row r="2887" spans="3:5" x14ac:dyDescent="0.15">
      <c r="C2887" s="255" t="s">
        <v>862</v>
      </c>
      <c r="D2887" s="59">
        <v>9738.1</v>
      </c>
      <c r="E2887" s="59"/>
    </row>
    <row r="2888" spans="3:5" x14ac:dyDescent="0.15">
      <c r="C2888" s="255" t="s">
        <v>863</v>
      </c>
      <c r="D2888" s="59">
        <v>2751.5</v>
      </c>
      <c r="E2888" s="59"/>
    </row>
    <row r="2889" spans="3:5" x14ac:dyDescent="0.15">
      <c r="C2889" s="255" t="s">
        <v>864</v>
      </c>
      <c r="D2889" s="59">
        <v>148.80000000000001</v>
      </c>
      <c r="E2889" s="59"/>
    </row>
    <row r="2890" spans="3:5" x14ac:dyDescent="0.15">
      <c r="C2890" s="255" t="s">
        <v>865</v>
      </c>
      <c r="D2890" s="59">
        <v>2147.8000000000002</v>
      </c>
      <c r="E2890" s="59"/>
    </row>
    <row r="2891" spans="3:5" x14ac:dyDescent="0.15">
      <c r="C2891" s="255" t="s">
        <v>866</v>
      </c>
      <c r="D2891" s="59">
        <v>91.4</v>
      </c>
      <c r="E2891" s="59"/>
    </row>
    <row r="2892" spans="3:5" x14ac:dyDescent="0.15">
      <c r="C2892" s="255" t="s">
        <v>867</v>
      </c>
      <c r="D2892" s="59">
        <v>1748.8</v>
      </c>
      <c r="E2892" s="59"/>
    </row>
    <row r="2893" spans="3:5" x14ac:dyDescent="0.15">
      <c r="C2893" s="255" t="s">
        <v>868</v>
      </c>
      <c r="D2893" s="59">
        <v>7107.7</v>
      </c>
      <c r="E2893" s="59"/>
    </row>
    <row r="2894" spans="3:5" x14ac:dyDescent="0.15">
      <c r="C2894" s="255" t="s">
        <v>869</v>
      </c>
      <c r="D2894" s="59">
        <v>15653.4</v>
      </c>
      <c r="E2894" s="59"/>
    </row>
    <row r="2895" spans="3:5" x14ac:dyDescent="0.15">
      <c r="C2895" s="255" t="s">
        <v>870</v>
      </c>
      <c r="D2895" s="59">
        <v>3617.3</v>
      </c>
      <c r="E2895" s="59"/>
    </row>
    <row r="2896" spans="3:5" x14ac:dyDescent="0.15">
      <c r="C2896" s="255" t="s">
        <v>871</v>
      </c>
      <c r="D2896" s="59">
        <v>702.3</v>
      </c>
      <c r="E2896" s="59"/>
    </row>
    <row r="2897" spans="3:5" x14ac:dyDescent="0.15">
      <c r="C2897" s="255" t="s">
        <v>872</v>
      </c>
      <c r="D2897" s="59">
        <v>220.2</v>
      </c>
      <c r="E2897" s="59"/>
    </row>
    <row r="2898" spans="3:5" x14ac:dyDescent="0.15">
      <c r="C2898" s="255" t="s">
        <v>873</v>
      </c>
      <c r="D2898" s="59">
        <v>418.5</v>
      </c>
      <c r="E2898" s="59"/>
    </row>
    <row r="2899" spans="3:5" x14ac:dyDescent="0.15">
      <c r="C2899" s="255" t="s">
        <v>874</v>
      </c>
      <c r="D2899" s="59">
        <v>74.3</v>
      </c>
      <c r="E2899" s="59"/>
    </row>
    <row r="2900" spans="3:5" x14ac:dyDescent="0.15">
      <c r="C2900" s="255" t="s">
        <v>875</v>
      </c>
      <c r="D2900" s="59">
        <v>126.5</v>
      </c>
      <c r="E2900" s="59"/>
    </row>
    <row r="2901" spans="3:5" x14ac:dyDescent="0.15">
      <c r="C2901" s="255" t="s">
        <v>876</v>
      </c>
      <c r="D2901" s="59">
        <v>15.9</v>
      </c>
      <c r="E2901" s="59"/>
    </row>
    <row r="2902" spans="3:5" x14ac:dyDescent="0.15">
      <c r="C2902" s="255" t="s">
        <v>877</v>
      </c>
      <c r="D2902" s="59">
        <v>9</v>
      </c>
      <c r="E2902" s="59"/>
    </row>
    <row r="2903" spans="3:5" x14ac:dyDescent="0.15">
      <c r="C2903" s="255" t="s">
        <v>878</v>
      </c>
      <c r="D2903" s="59">
        <v>9.3000000000000007</v>
      </c>
      <c r="E2903" s="59"/>
    </row>
    <row r="2904" spans="3:5" x14ac:dyDescent="0.15">
      <c r="C2904" s="255" t="s">
        <v>879</v>
      </c>
      <c r="D2904" s="59">
        <v>766.5</v>
      </c>
      <c r="E2904" s="59"/>
    </row>
    <row r="2905" spans="3:5" x14ac:dyDescent="0.15">
      <c r="C2905" s="255" t="s">
        <v>880</v>
      </c>
      <c r="D2905" s="59">
        <v>144</v>
      </c>
      <c r="E2905" s="59"/>
    </row>
    <row r="2906" spans="3:5" x14ac:dyDescent="0.15">
      <c r="C2906" s="255" t="s">
        <v>881</v>
      </c>
      <c r="D2906" s="59">
        <v>0</v>
      </c>
      <c r="E2906" s="59"/>
    </row>
    <row r="2907" spans="3:5" x14ac:dyDescent="0.15">
      <c r="C2907" s="255" t="s">
        <v>882</v>
      </c>
      <c r="D2907" s="59">
        <v>289</v>
      </c>
      <c r="E2907" s="59"/>
    </row>
    <row r="2908" spans="3:5" x14ac:dyDescent="0.15">
      <c r="C2908" s="255" t="s">
        <v>883</v>
      </c>
      <c r="D2908" s="59">
        <v>453.4</v>
      </c>
      <c r="E2908" s="59"/>
    </row>
    <row r="2909" spans="3:5" x14ac:dyDescent="0.15">
      <c r="C2909" s="255" t="s">
        <v>884</v>
      </c>
      <c r="D2909" s="59">
        <v>793.3</v>
      </c>
      <c r="E2909" s="59"/>
    </row>
    <row r="2910" spans="3:5" x14ac:dyDescent="0.15">
      <c r="C2910" s="255" t="s">
        <v>885</v>
      </c>
      <c r="D2910" s="59">
        <v>366</v>
      </c>
      <c r="E2910" s="59"/>
    </row>
    <row r="2911" spans="3:5" x14ac:dyDescent="0.15">
      <c r="C2911" s="255" t="s">
        <v>886</v>
      </c>
      <c r="D2911" s="59">
        <v>1</v>
      </c>
      <c r="E2911" s="59"/>
    </row>
    <row r="2912" spans="3:5" x14ac:dyDescent="0.15">
      <c r="C2912" s="255" t="s">
        <v>887</v>
      </c>
      <c r="D2912" s="59">
        <v>4.7</v>
      </c>
      <c r="E2912" s="59"/>
    </row>
    <row r="2913" spans="3:5" x14ac:dyDescent="0.15">
      <c r="C2913" s="255" t="s">
        <v>888</v>
      </c>
      <c r="D2913" s="59">
        <v>0.6</v>
      </c>
      <c r="E2913" s="59"/>
    </row>
    <row r="2914" spans="3:5" x14ac:dyDescent="0.15">
      <c r="C2914" s="255" t="s">
        <v>889</v>
      </c>
      <c r="D2914" s="59">
        <v>351.4</v>
      </c>
      <c r="E2914" s="59"/>
    </row>
    <row r="2915" spans="3:5" x14ac:dyDescent="0.15">
      <c r="C2915" s="255" t="s">
        <v>890</v>
      </c>
      <c r="D2915" s="59">
        <v>61.2</v>
      </c>
      <c r="E2915" s="59"/>
    </row>
    <row r="2916" spans="3:5" x14ac:dyDescent="0.15">
      <c r="C2916" s="255" t="s">
        <v>891</v>
      </c>
      <c r="D2916" s="59">
        <v>221.7</v>
      </c>
      <c r="E2916" s="59"/>
    </row>
    <row r="2917" spans="3:5" x14ac:dyDescent="0.15">
      <c r="C2917" s="255" t="s">
        <v>892</v>
      </c>
      <c r="D2917" s="59">
        <v>33.299999999999997</v>
      </c>
      <c r="E2917" s="59"/>
    </row>
    <row r="2918" spans="3:5" x14ac:dyDescent="0.15">
      <c r="C2918" s="255" t="s">
        <v>893</v>
      </c>
      <c r="D2918" s="59">
        <v>552.20000000000005</v>
      </c>
      <c r="E2918" s="59"/>
    </row>
    <row r="2919" spans="3:5" x14ac:dyDescent="0.15">
      <c r="C2919" s="255" t="s">
        <v>894</v>
      </c>
      <c r="D2919" s="59">
        <v>0</v>
      </c>
      <c r="E2919" s="59"/>
    </row>
    <row r="2920" spans="3:5" x14ac:dyDescent="0.15">
      <c r="C2920" s="255" t="s">
        <v>895</v>
      </c>
      <c r="D2920" s="59">
        <v>428.6</v>
      </c>
      <c r="E2920" s="59"/>
    </row>
    <row r="2921" spans="3:5" x14ac:dyDescent="0.15">
      <c r="C2921" s="255" t="s">
        <v>896</v>
      </c>
      <c r="D2921" s="59">
        <v>2.2000000000000002</v>
      </c>
      <c r="E2921" s="59"/>
    </row>
    <row r="2922" spans="3:5" x14ac:dyDescent="0.15">
      <c r="C2922" s="255" t="s">
        <v>897</v>
      </c>
      <c r="D2922" s="59">
        <v>1280.5</v>
      </c>
      <c r="E2922" s="59"/>
    </row>
    <row r="2923" spans="3:5" x14ac:dyDescent="0.15">
      <c r="C2923" s="255" t="s">
        <v>898</v>
      </c>
      <c r="D2923" s="59">
        <v>478.7</v>
      </c>
      <c r="E2923" s="59"/>
    </row>
    <row r="2924" spans="3:5" x14ac:dyDescent="0.15">
      <c r="C2924" s="255" t="s">
        <v>899</v>
      </c>
      <c r="D2924" s="59">
        <v>1.6</v>
      </c>
      <c r="E2924" s="59"/>
    </row>
    <row r="2925" spans="3:5" x14ac:dyDescent="0.15">
      <c r="C2925" s="255" t="s">
        <v>900</v>
      </c>
      <c r="D2925" s="59">
        <v>225.5</v>
      </c>
      <c r="E2925" s="59"/>
    </row>
    <row r="2926" spans="3:5" x14ac:dyDescent="0.15">
      <c r="C2926" s="255" t="s">
        <v>901</v>
      </c>
      <c r="D2926" s="59">
        <v>867</v>
      </c>
      <c r="E2926" s="59"/>
    </row>
    <row r="2927" spans="3:5" x14ac:dyDescent="0.15">
      <c r="C2927" s="255" t="s">
        <v>902</v>
      </c>
      <c r="D2927" s="59">
        <v>0.1</v>
      </c>
      <c r="E2927" s="59"/>
    </row>
    <row r="2928" spans="3:5" x14ac:dyDescent="0.15">
      <c r="C2928" s="255" t="s">
        <v>903</v>
      </c>
      <c r="D2928" s="59">
        <v>891.6</v>
      </c>
      <c r="E2928" s="59"/>
    </row>
    <row r="2929" spans="3:5" x14ac:dyDescent="0.15">
      <c r="C2929" s="255" t="s">
        <v>904</v>
      </c>
      <c r="D2929" s="59">
        <v>1359.6</v>
      </c>
      <c r="E2929" s="59"/>
    </row>
    <row r="2930" spans="3:5" x14ac:dyDescent="0.15">
      <c r="C2930" s="255" t="s">
        <v>905</v>
      </c>
      <c r="D2930" s="59">
        <v>141.69999999999999</v>
      </c>
      <c r="E2930" s="59"/>
    </row>
    <row r="2931" spans="3:5" x14ac:dyDescent="0.15">
      <c r="C2931" s="255" t="s">
        <v>906</v>
      </c>
      <c r="D2931" s="59">
        <v>99.6</v>
      </c>
      <c r="E2931" s="59"/>
    </row>
    <row r="2932" spans="3:5" x14ac:dyDescent="0.15">
      <c r="C2932" s="255" t="s">
        <v>907</v>
      </c>
      <c r="D2932" s="59">
        <v>644.79999999999995</v>
      </c>
      <c r="E2932" s="59"/>
    </row>
    <row r="2933" spans="3:5" x14ac:dyDescent="0.15">
      <c r="C2933" s="255" t="s">
        <v>908</v>
      </c>
      <c r="D2933" s="59">
        <v>7899</v>
      </c>
      <c r="E2933" s="59"/>
    </row>
    <row r="2934" spans="3:5" x14ac:dyDescent="0.15">
      <c r="C2934" s="255" t="s">
        <v>909</v>
      </c>
      <c r="D2934" s="59">
        <v>2163.1999999999998</v>
      </c>
      <c r="E2934" s="59"/>
    </row>
    <row r="2935" spans="3:5" x14ac:dyDescent="0.15">
      <c r="C2935" s="255" t="s">
        <v>910</v>
      </c>
      <c r="D2935" s="59">
        <v>32.299999999999997</v>
      </c>
      <c r="E2935" s="59"/>
    </row>
    <row r="2936" spans="3:5" x14ac:dyDescent="0.15">
      <c r="C2936" s="255" t="s">
        <v>911</v>
      </c>
      <c r="D2936" s="59">
        <v>175.5</v>
      </c>
      <c r="E2936" s="59"/>
    </row>
    <row r="2937" spans="3:5" x14ac:dyDescent="0.15">
      <c r="C2937" s="255" t="s">
        <v>912</v>
      </c>
      <c r="D2937" s="59">
        <v>42.7</v>
      </c>
      <c r="E2937" s="59"/>
    </row>
    <row r="2938" spans="3:5" x14ac:dyDescent="0.15">
      <c r="C2938" s="255" t="s">
        <v>913</v>
      </c>
      <c r="D2938" s="59">
        <v>0</v>
      </c>
      <c r="E2938" s="59"/>
    </row>
    <row r="2939" spans="3:5" x14ac:dyDescent="0.15">
      <c r="C2939" s="255" t="s">
        <v>914</v>
      </c>
      <c r="D2939" s="59">
        <v>0</v>
      </c>
      <c r="E2939" s="59"/>
    </row>
    <row r="2940" spans="3:5" x14ac:dyDescent="0.15">
      <c r="C2940" s="255" t="s">
        <v>915</v>
      </c>
      <c r="D2940" s="59">
        <v>103.3</v>
      </c>
      <c r="E2940" s="59"/>
    </row>
    <row r="2941" spans="3:5" x14ac:dyDescent="0.15">
      <c r="C2941" s="255" t="s">
        <v>916</v>
      </c>
      <c r="D2941" s="59">
        <v>1351</v>
      </c>
      <c r="E2941" s="59"/>
    </row>
    <row r="2942" spans="3:5" x14ac:dyDescent="0.15">
      <c r="C2942" s="255" t="s">
        <v>917</v>
      </c>
      <c r="D2942" s="59">
        <v>0</v>
      </c>
      <c r="E2942" s="59"/>
    </row>
    <row r="2943" spans="3:5" x14ac:dyDescent="0.15">
      <c r="C2943" s="255" t="s">
        <v>918</v>
      </c>
      <c r="D2943" s="59">
        <v>2073.4</v>
      </c>
      <c r="E2943" s="59"/>
    </row>
    <row r="2944" spans="3:5" x14ac:dyDescent="0.15">
      <c r="C2944" s="255" t="s">
        <v>919</v>
      </c>
      <c r="D2944" s="59">
        <v>0</v>
      </c>
      <c r="E2944" s="59"/>
    </row>
    <row r="2945" spans="3:5" x14ac:dyDescent="0.15">
      <c r="C2945" s="255" t="s">
        <v>920</v>
      </c>
      <c r="D2945" s="59">
        <v>1957.6</v>
      </c>
      <c r="E2945" s="59"/>
    </row>
    <row r="2946" spans="3:5" x14ac:dyDescent="0.15">
      <c r="C2946" s="255" t="s">
        <v>921</v>
      </c>
      <c r="D2946" s="59">
        <v>0</v>
      </c>
      <c r="E2946" s="59"/>
    </row>
    <row r="2947" spans="3:5" x14ac:dyDescent="0.15">
      <c r="C2947" s="255" t="s">
        <v>922</v>
      </c>
      <c r="D2947" s="59">
        <v>44222.9</v>
      </c>
      <c r="E2947" s="59"/>
    </row>
    <row r="2948" spans="3:5" x14ac:dyDescent="0.15">
      <c r="C2948" s="255" t="s">
        <v>923</v>
      </c>
      <c r="D2948" s="59">
        <v>16227.9</v>
      </c>
      <c r="E2948" s="59"/>
    </row>
    <row r="2949" spans="3:5" x14ac:dyDescent="0.15">
      <c r="C2949" s="255" t="s">
        <v>924</v>
      </c>
      <c r="D2949" s="59">
        <v>-4176.3999999999996</v>
      </c>
      <c r="E2949" s="59"/>
    </row>
    <row r="2950" spans="3:5" x14ac:dyDescent="0.15">
      <c r="C2950" s="255" t="s">
        <v>925</v>
      </c>
      <c r="D2950" s="59">
        <v>249.9</v>
      </c>
      <c r="E2950" s="59"/>
    </row>
    <row r="2951" spans="3:5" x14ac:dyDescent="0.15">
      <c r="C2951" s="255" t="s">
        <v>926</v>
      </c>
      <c r="D2951" s="59">
        <v>727.6</v>
      </c>
      <c r="E2951" s="59"/>
    </row>
    <row r="2952" spans="3:5" x14ac:dyDescent="0.15">
      <c r="C2952" s="255" t="s">
        <v>927</v>
      </c>
      <c r="D2952" s="59">
        <v>794.8</v>
      </c>
      <c r="E2952" s="59"/>
    </row>
    <row r="2953" spans="3:5" x14ac:dyDescent="0.15">
      <c r="C2953" s="255" t="s">
        <v>928</v>
      </c>
      <c r="D2953" s="59">
        <v>410.5</v>
      </c>
      <c r="E2953" s="59"/>
    </row>
    <row r="2954" spans="3:5" x14ac:dyDescent="0.15">
      <c r="C2954" s="255" t="s">
        <v>929</v>
      </c>
      <c r="D2954" s="59">
        <v>478.6</v>
      </c>
      <c r="E2954" s="59"/>
    </row>
    <row r="2955" spans="3:5" x14ac:dyDescent="0.15">
      <c r="C2955" s="255" t="s">
        <v>930</v>
      </c>
      <c r="D2955" s="59">
        <v>3431.2</v>
      </c>
      <c r="E2955" s="59"/>
    </row>
    <row r="2956" spans="3:5" x14ac:dyDescent="0.15">
      <c r="C2956" s="255" t="s">
        <v>931</v>
      </c>
      <c r="D2956" s="59">
        <v>7940.2</v>
      </c>
      <c r="E2956" s="59"/>
    </row>
    <row r="2957" spans="3:5" x14ac:dyDescent="0.15">
      <c r="C2957" s="255" t="s">
        <v>932</v>
      </c>
      <c r="D2957" s="59">
        <v>0</v>
      </c>
      <c r="E2957" s="59"/>
    </row>
    <row r="2958" spans="3:5" x14ac:dyDescent="0.15">
      <c r="C2958" s="255" t="s">
        <v>933</v>
      </c>
      <c r="D2958" s="59">
        <v>113.8</v>
      </c>
      <c r="E2958" s="59"/>
    </row>
    <row r="2959" spans="3:5" x14ac:dyDescent="0.15">
      <c r="C2959" s="255" t="s">
        <v>934</v>
      </c>
      <c r="D2959" s="59">
        <v>4282.1000000000004</v>
      </c>
      <c r="E2959" s="59"/>
    </row>
    <row r="2960" spans="3:5" x14ac:dyDescent="0.15">
      <c r="C2960" s="255" t="s">
        <v>935</v>
      </c>
      <c r="D2960" s="59">
        <v>2274</v>
      </c>
      <c r="E2960" s="59"/>
    </row>
    <row r="2961" spans="3:5" x14ac:dyDescent="0.15">
      <c r="C2961" s="255" t="s">
        <v>936</v>
      </c>
      <c r="D2961" s="59">
        <v>5297.8</v>
      </c>
      <c r="E2961" s="59"/>
    </row>
    <row r="2962" spans="3:5" x14ac:dyDescent="0.15">
      <c r="C2962" s="255" t="s">
        <v>937</v>
      </c>
      <c r="D2962" s="59">
        <v>715.6</v>
      </c>
      <c r="E2962" s="59"/>
    </row>
    <row r="2963" spans="3:5" x14ac:dyDescent="0.15">
      <c r="C2963" s="255" t="s">
        <v>938</v>
      </c>
      <c r="D2963" s="59">
        <v>173.6</v>
      </c>
      <c r="E2963" s="59"/>
    </row>
    <row r="2964" spans="3:5" x14ac:dyDescent="0.15">
      <c r="C2964" s="255" t="s">
        <v>939</v>
      </c>
      <c r="D2964" s="59">
        <v>42</v>
      </c>
      <c r="E2964" s="59"/>
    </row>
    <row r="2965" spans="3:5" x14ac:dyDescent="0.15">
      <c r="C2965" s="255" t="s">
        <v>940</v>
      </c>
      <c r="D2965" s="59">
        <v>0</v>
      </c>
      <c r="E2965" s="59"/>
    </row>
    <row r="2966" spans="3:5" x14ac:dyDescent="0.15">
      <c r="C2966" s="255" t="s">
        <v>941</v>
      </c>
      <c r="D2966" s="59">
        <v>549.6</v>
      </c>
      <c r="E2966" s="59"/>
    </row>
    <row r="2967" spans="3:5" x14ac:dyDescent="0.15">
      <c r="C2967" s="255" t="s">
        <v>942</v>
      </c>
      <c r="D2967" s="59">
        <v>0</v>
      </c>
      <c r="E2967" s="59"/>
    </row>
    <row r="2968" spans="3:5" x14ac:dyDescent="0.15">
      <c r="C2968" s="255" t="s">
        <v>943</v>
      </c>
      <c r="D2968" s="59">
        <v>2996.6</v>
      </c>
      <c r="E2968" s="59"/>
    </row>
    <row r="2969" spans="3:5" x14ac:dyDescent="0.15">
      <c r="C2969" s="255" t="s">
        <v>944</v>
      </c>
      <c r="D2969" s="59">
        <v>142.69999999999999</v>
      </c>
      <c r="E2969" s="59"/>
    </row>
    <row r="2970" spans="3:5" x14ac:dyDescent="0.15">
      <c r="C2970" s="255" t="s">
        <v>945</v>
      </c>
      <c r="D2970" s="59">
        <v>1289.4000000000001</v>
      </c>
      <c r="E2970" s="59"/>
    </row>
    <row r="2971" spans="3:5" x14ac:dyDescent="0.15">
      <c r="C2971" s="255" t="s">
        <v>946</v>
      </c>
      <c r="D2971" s="59">
        <v>261.39999999999998</v>
      </c>
      <c r="E2971" s="59"/>
    </row>
    <row r="2972" spans="3:5" x14ac:dyDescent="0.15">
      <c r="C2972" s="255" t="s">
        <v>947</v>
      </c>
      <c r="D2972" s="59">
        <v>0</v>
      </c>
      <c r="E2972" s="59"/>
    </row>
    <row r="2973" spans="3:5" x14ac:dyDescent="0.15">
      <c r="C2973" s="255" t="s">
        <v>948</v>
      </c>
      <c r="D2973" s="59">
        <v>9010.2000000000007</v>
      </c>
      <c r="E2973" s="59"/>
    </row>
    <row r="2974" spans="3:5" x14ac:dyDescent="0.15">
      <c r="C2974" s="255" t="s">
        <v>949</v>
      </c>
      <c r="D2974" s="59">
        <v>121.5</v>
      </c>
      <c r="E2974" s="59"/>
    </row>
    <row r="2975" spans="3:5" x14ac:dyDescent="0.15">
      <c r="C2975" s="255" t="s">
        <v>950</v>
      </c>
      <c r="D2975" s="59">
        <v>0.8</v>
      </c>
      <c r="E2975" s="59"/>
    </row>
    <row r="2976" spans="3:5" x14ac:dyDescent="0.15">
      <c r="C2976" s="255" t="s">
        <v>951</v>
      </c>
      <c r="D2976" s="59">
        <v>1574.3</v>
      </c>
      <c r="E2976" s="59"/>
    </row>
    <row r="2977" spans="3:5" x14ac:dyDescent="0.15">
      <c r="C2977" s="255" t="s">
        <v>952</v>
      </c>
      <c r="D2977" s="59">
        <v>0</v>
      </c>
      <c r="E2977" s="59"/>
    </row>
    <row r="2978" spans="3:5" x14ac:dyDescent="0.15">
      <c r="C2978" s="255" t="s">
        <v>953</v>
      </c>
      <c r="D2978" s="59">
        <v>182.9</v>
      </c>
      <c r="E2978" s="59"/>
    </row>
    <row r="2979" spans="3:5" x14ac:dyDescent="0.15">
      <c r="C2979" s="255" t="s">
        <v>954</v>
      </c>
      <c r="D2979" s="59">
        <v>2925.5</v>
      </c>
      <c r="E2979" s="59"/>
    </row>
    <row r="2980" spans="3:5" x14ac:dyDescent="0.15">
      <c r="C2980" s="255" t="s">
        <v>955</v>
      </c>
      <c r="D2980" s="59">
        <v>1636.9</v>
      </c>
      <c r="E2980" s="59"/>
    </row>
    <row r="2981" spans="3:5" x14ac:dyDescent="0.15">
      <c r="C2981" s="255" t="s">
        <v>956</v>
      </c>
      <c r="D2981" s="59">
        <v>2568.3000000000002</v>
      </c>
      <c r="E2981" s="59"/>
    </row>
    <row r="2982" spans="3:5" x14ac:dyDescent="0.15">
      <c r="C2982" s="255" t="s">
        <v>957</v>
      </c>
      <c r="D2982" s="59">
        <v>30074.3</v>
      </c>
      <c r="E2982" s="59"/>
    </row>
    <row r="2983" spans="3:5" x14ac:dyDescent="0.15">
      <c r="C2983" s="255" t="s">
        <v>958</v>
      </c>
      <c r="D2983" s="59">
        <v>1.1000000000000001</v>
      </c>
      <c r="E2983" s="59"/>
    </row>
    <row r="2984" spans="3:5" x14ac:dyDescent="0.15">
      <c r="C2984" s="255" t="s">
        <v>959</v>
      </c>
      <c r="D2984" s="59">
        <v>350.2</v>
      </c>
      <c r="E2984" s="59"/>
    </row>
    <row r="2985" spans="3:5" x14ac:dyDescent="0.15">
      <c r="C2985" s="255" t="s">
        <v>960</v>
      </c>
      <c r="D2985" s="59">
        <v>0.1</v>
      </c>
      <c r="E2985" s="59"/>
    </row>
    <row r="2986" spans="3:5" x14ac:dyDescent="0.15">
      <c r="C2986" s="255" t="s">
        <v>961</v>
      </c>
      <c r="D2986" s="59">
        <v>1.6</v>
      </c>
      <c r="E2986" s="59"/>
    </row>
    <row r="2987" spans="3:5" x14ac:dyDescent="0.15">
      <c r="C2987" s="255" t="s">
        <v>962</v>
      </c>
      <c r="D2987" s="59">
        <v>0</v>
      </c>
      <c r="E2987" s="59"/>
    </row>
    <row r="2988" spans="3:5" x14ac:dyDescent="0.15">
      <c r="C2988" s="255" t="s">
        <v>963</v>
      </c>
      <c r="D2988" s="59">
        <v>1121.8</v>
      </c>
      <c r="E2988" s="59"/>
    </row>
    <row r="2989" spans="3:5" x14ac:dyDescent="0.15">
      <c r="C2989" s="255" t="s">
        <v>964</v>
      </c>
      <c r="D2989" s="59">
        <v>442.6</v>
      </c>
      <c r="E2989" s="59"/>
    </row>
    <row r="2990" spans="3:5" x14ac:dyDescent="0.15">
      <c r="C2990" s="255" t="s">
        <v>965</v>
      </c>
      <c r="D2990" s="59">
        <v>1.5</v>
      </c>
      <c r="E2990" s="59"/>
    </row>
    <row r="2991" spans="3:5" x14ac:dyDescent="0.15">
      <c r="C2991" s="255" t="s">
        <v>966</v>
      </c>
      <c r="D2991" s="59">
        <v>0.6</v>
      </c>
      <c r="E2991" s="59"/>
    </row>
    <row r="2992" spans="3:5" x14ac:dyDescent="0.15">
      <c r="C2992" s="255" t="s">
        <v>967</v>
      </c>
      <c r="D2992" s="59">
        <v>290.8</v>
      </c>
      <c r="E2992" s="59"/>
    </row>
    <row r="2993" spans="3:5" x14ac:dyDescent="0.15">
      <c r="C2993" s="255" t="s">
        <v>968</v>
      </c>
      <c r="D2993" s="59">
        <v>0</v>
      </c>
      <c r="E2993" s="59"/>
    </row>
    <row r="2994" spans="3:5" x14ac:dyDescent="0.15">
      <c r="C2994" s="255" t="s">
        <v>969</v>
      </c>
      <c r="D2994" s="59">
        <v>9.6999999999999993</v>
      </c>
      <c r="E2994" s="59"/>
    </row>
    <row r="2995" spans="3:5" x14ac:dyDescent="0.15">
      <c r="C2995" s="255" t="s">
        <v>970</v>
      </c>
      <c r="D2995" s="59">
        <v>0</v>
      </c>
      <c r="E2995" s="59"/>
    </row>
    <row r="2996" spans="3:5" x14ac:dyDescent="0.15">
      <c r="C2996" s="255" t="s">
        <v>971</v>
      </c>
      <c r="D2996" s="59">
        <v>244.1</v>
      </c>
      <c r="E2996" s="59"/>
    </row>
    <row r="2997" spans="3:5" x14ac:dyDescent="0.15">
      <c r="C2997" s="255" t="s">
        <v>972</v>
      </c>
      <c r="D2997" s="59">
        <v>0</v>
      </c>
      <c r="E2997" s="59"/>
    </row>
    <row r="2998" spans="3:5" x14ac:dyDescent="0.15">
      <c r="C2998" s="255" t="s">
        <v>973</v>
      </c>
      <c r="D2998" s="59">
        <v>0</v>
      </c>
      <c r="E2998" s="59"/>
    </row>
    <row r="2999" spans="3:5" x14ac:dyDescent="0.15">
      <c r="C2999" s="255" t="s">
        <v>974</v>
      </c>
      <c r="D2999" s="59">
        <v>0</v>
      </c>
      <c r="E2999" s="59"/>
    </row>
    <row r="3000" spans="3:5" x14ac:dyDescent="0.15">
      <c r="C3000" s="255" t="s">
        <v>975</v>
      </c>
      <c r="D3000" s="59">
        <v>206.7</v>
      </c>
      <c r="E3000" s="59"/>
    </row>
    <row r="3001" spans="3:5" x14ac:dyDescent="0.15">
      <c r="C3001" s="255" t="s">
        <v>976</v>
      </c>
      <c r="D3001" s="59">
        <v>1</v>
      </c>
      <c r="E3001" s="59"/>
    </row>
    <row r="3002" spans="3:5" x14ac:dyDescent="0.15">
      <c r="C3002" s="255" t="s">
        <v>977</v>
      </c>
      <c r="D3002" s="59">
        <v>259.89999999999998</v>
      </c>
      <c r="E3002" s="59"/>
    </row>
    <row r="3003" spans="3:5" x14ac:dyDescent="0.15">
      <c r="C3003" s="255" t="s">
        <v>978</v>
      </c>
      <c r="D3003" s="59">
        <v>1720.3</v>
      </c>
      <c r="E3003" s="59"/>
    </row>
    <row r="3004" spans="3:5" x14ac:dyDescent="0.15">
      <c r="C3004" s="255" t="s">
        <v>979</v>
      </c>
      <c r="D3004" s="59">
        <v>1566.9</v>
      </c>
      <c r="E3004" s="59"/>
    </row>
    <row r="3005" spans="3:5" x14ac:dyDescent="0.15">
      <c r="C3005" s="255" t="s">
        <v>980</v>
      </c>
      <c r="D3005" s="59">
        <v>587.4</v>
      </c>
      <c r="E3005" s="59"/>
    </row>
    <row r="3006" spans="3:5" x14ac:dyDescent="0.15">
      <c r="C3006" s="255" t="s">
        <v>981</v>
      </c>
      <c r="D3006" s="59">
        <v>0</v>
      </c>
      <c r="E3006" s="59"/>
    </row>
    <row r="3007" spans="3:5" x14ac:dyDescent="0.15">
      <c r="C3007" s="255" t="s">
        <v>982</v>
      </c>
      <c r="D3007" s="59">
        <v>582.9</v>
      </c>
      <c r="E3007" s="59"/>
    </row>
    <row r="3008" spans="3:5" x14ac:dyDescent="0.15">
      <c r="C3008" s="255" t="s">
        <v>983</v>
      </c>
      <c r="D3008" s="59">
        <v>1883.3</v>
      </c>
      <c r="E3008" s="59"/>
    </row>
    <row r="3009" spans="3:5" x14ac:dyDescent="0.15">
      <c r="C3009" s="255" t="s">
        <v>984</v>
      </c>
      <c r="D3009" s="59">
        <v>0</v>
      </c>
      <c r="E3009" s="59"/>
    </row>
    <row r="3010" spans="3:5" x14ac:dyDescent="0.15">
      <c r="C3010" s="255" t="s">
        <v>985</v>
      </c>
      <c r="D3010" s="59">
        <v>608.70000000000005</v>
      </c>
      <c r="E3010" s="59"/>
    </row>
    <row r="3011" spans="3:5" x14ac:dyDescent="0.15">
      <c r="C3011" s="255" t="s">
        <v>986</v>
      </c>
      <c r="D3011" s="59">
        <v>455.6</v>
      </c>
      <c r="E3011" s="59"/>
    </row>
    <row r="3012" spans="3:5" x14ac:dyDescent="0.15">
      <c r="C3012" s="255" t="s">
        <v>987</v>
      </c>
      <c r="D3012" s="59">
        <v>472.9</v>
      </c>
      <c r="E3012" s="59"/>
    </row>
    <row r="3013" spans="3:5" x14ac:dyDescent="0.15">
      <c r="C3013" s="255" t="s">
        <v>988</v>
      </c>
      <c r="D3013" s="59">
        <v>2734</v>
      </c>
      <c r="E3013" s="59"/>
    </row>
    <row r="3014" spans="3:5" x14ac:dyDescent="0.15">
      <c r="C3014" s="255" t="s">
        <v>989</v>
      </c>
      <c r="D3014" s="59">
        <v>2001.2</v>
      </c>
      <c r="E3014" s="59"/>
    </row>
    <row r="3015" spans="3:5" x14ac:dyDescent="0.15">
      <c r="C3015" s="255" t="s">
        <v>990</v>
      </c>
      <c r="D3015" s="59">
        <v>1088.0999999999999</v>
      </c>
      <c r="E3015" s="59"/>
    </row>
    <row r="3016" spans="3:5" x14ac:dyDescent="0.15">
      <c r="C3016" s="255" t="s">
        <v>991</v>
      </c>
      <c r="D3016" s="59">
        <v>5143.3999999999996</v>
      </c>
      <c r="E3016" s="59"/>
    </row>
    <row r="3017" spans="3:5" x14ac:dyDescent="0.15">
      <c r="C3017" s="255" t="s">
        <v>992</v>
      </c>
      <c r="D3017" s="59">
        <v>0</v>
      </c>
      <c r="E3017" s="59"/>
    </row>
    <row r="3018" spans="3:5" x14ac:dyDescent="0.15">
      <c r="C3018" s="255" t="s">
        <v>993</v>
      </c>
      <c r="D3018" s="59">
        <v>56.9</v>
      </c>
      <c r="E3018" s="59"/>
    </row>
    <row r="3019" spans="3:5" x14ac:dyDescent="0.15">
      <c r="C3019" s="255" t="s">
        <v>994</v>
      </c>
      <c r="D3019" s="59">
        <v>0</v>
      </c>
      <c r="E3019" s="59"/>
    </row>
    <row r="3020" spans="3:5" x14ac:dyDescent="0.15">
      <c r="C3020" s="255" t="s">
        <v>995</v>
      </c>
      <c r="D3020" s="59">
        <v>1304.7</v>
      </c>
      <c r="E3020" s="59"/>
    </row>
    <row r="3021" spans="3:5" x14ac:dyDescent="0.15">
      <c r="C3021" s="255" t="s">
        <v>996</v>
      </c>
      <c r="D3021" s="59">
        <v>388.8</v>
      </c>
      <c r="E3021" s="59"/>
    </row>
    <row r="3022" spans="3:5" x14ac:dyDescent="0.15">
      <c r="C3022" s="255" t="s">
        <v>997</v>
      </c>
      <c r="D3022" s="59">
        <v>224.5</v>
      </c>
      <c r="E3022" s="59"/>
    </row>
    <row r="3023" spans="3:5" x14ac:dyDescent="0.15">
      <c r="C3023" s="255" t="s">
        <v>998</v>
      </c>
      <c r="D3023" s="59">
        <v>271.7</v>
      </c>
      <c r="E3023" s="59"/>
    </row>
    <row r="3024" spans="3:5" x14ac:dyDescent="0.15">
      <c r="C3024" s="255" t="s">
        <v>999</v>
      </c>
      <c r="D3024" s="59">
        <v>103.5</v>
      </c>
      <c r="E3024" s="59"/>
    </row>
    <row r="3025" spans="3:5" x14ac:dyDescent="0.15">
      <c r="C3025" s="255" t="s">
        <v>1000</v>
      </c>
      <c r="D3025" s="59">
        <v>1966.2</v>
      </c>
      <c r="E3025" s="59"/>
    </row>
    <row r="3026" spans="3:5" x14ac:dyDescent="0.15">
      <c r="C3026" s="255" t="s">
        <v>1001</v>
      </c>
      <c r="D3026" s="59">
        <v>351.9</v>
      </c>
      <c r="E3026" s="59"/>
    </row>
    <row r="3027" spans="3:5" x14ac:dyDescent="0.15">
      <c r="C3027" s="255" t="s">
        <v>1002</v>
      </c>
      <c r="D3027" s="59">
        <v>92.9</v>
      </c>
      <c r="E3027" s="59"/>
    </row>
    <row r="3028" spans="3:5" x14ac:dyDescent="0.15">
      <c r="C3028" s="255" t="s">
        <v>1003</v>
      </c>
      <c r="D3028" s="59">
        <v>253.6</v>
      </c>
      <c r="E3028" s="59"/>
    </row>
    <row r="3029" spans="3:5" x14ac:dyDescent="0.15">
      <c r="C3029" s="255" t="s">
        <v>1004</v>
      </c>
      <c r="D3029" s="59">
        <v>62.4</v>
      </c>
      <c r="E3029" s="59"/>
    </row>
    <row r="3030" spans="3:5" x14ac:dyDescent="0.15">
      <c r="C3030" s="255" t="s">
        <v>1005</v>
      </c>
      <c r="D3030" s="59">
        <v>43.1</v>
      </c>
      <c r="E3030" s="59"/>
    </row>
    <row r="3031" spans="3:5" x14ac:dyDescent="0.15">
      <c r="C3031" s="255" t="s">
        <v>1006</v>
      </c>
      <c r="D3031" s="59">
        <v>3177.6</v>
      </c>
      <c r="E3031" s="59"/>
    </row>
    <row r="3032" spans="3:5" x14ac:dyDescent="0.15">
      <c r="C3032" s="255" t="s">
        <v>1007</v>
      </c>
      <c r="D3032" s="59">
        <v>1721.9</v>
      </c>
      <c r="E3032" s="59"/>
    </row>
    <row r="3033" spans="3:5" x14ac:dyDescent="0.15">
      <c r="C3033" s="255" t="s">
        <v>1008</v>
      </c>
      <c r="D3033" s="59">
        <v>11.2</v>
      </c>
      <c r="E3033" s="59"/>
    </row>
    <row r="3034" spans="3:5" x14ac:dyDescent="0.15">
      <c r="C3034" s="255" t="s">
        <v>1009</v>
      </c>
      <c r="D3034" s="59">
        <v>1089</v>
      </c>
      <c r="E3034" s="59"/>
    </row>
    <row r="3035" spans="3:5" x14ac:dyDescent="0.15">
      <c r="C3035" s="255" t="s">
        <v>1010</v>
      </c>
      <c r="D3035" s="59">
        <v>0</v>
      </c>
      <c r="E3035" s="59"/>
    </row>
    <row r="3036" spans="3:5" x14ac:dyDescent="0.15">
      <c r="C3036" s="255" t="s">
        <v>1011</v>
      </c>
      <c r="D3036" s="59">
        <v>621.6</v>
      </c>
      <c r="E3036" s="59"/>
    </row>
    <row r="3037" spans="3:5" x14ac:dyDescent="0.15">
      <c r="C3037" s="255" t="s">
        <v>1012</v>
      </c>
      <c r="D3037" s="59">
        <v>29731.3</v>
      </c>
      <c r="E3037" s="59"/>
    </row>
    <row r="3038" spans="3:5" x14ac:dyDescent="0.15">
      <c r="C3038" s="255" t="s">
        <v>1013</v>
      </c>
      <c r="D3038" s="59">
        <v>19982.599999999999</v>
      </c>
      <c r="E3038" s="59"/>
    </row>
    <row r="3039" spans="3:5" x14ac:dyDescent="0.15">
      <c r="C3039" s="255" t="s">
        <v>1014</v>
      </c>
      <c r="D3039" s="59">
        <v>3765.9</v>
      </c>
      <c r="E3039" s="59"/>
    </row>
    <row r="3040" spans="3:5" x14ac:dyDescent="0.15">
      <c r="C3040" s="255" t="s">
        <v>1015</v>
      </c>
      <c r="D3040" s="59">
        <v>649.1</v>
      </c>
      <c r="E3040" s="59"/>
    </row>
    <row r="3041" spans="3:5" x14ac:dyDescent="0.15">
      <c r="C3041" s="255" t="s">
        <v>1016</v>
      </c>
      <c r="D3041" s="59">
        <v>2289.9</v>
      </c>
      <c r="E3041" s="59"/>
    </row>
    <row r="3042" spans="3:5" x14ac:dyDescent="0.15">
      <c r="C3042" s="255" t="s">
        <v>1017</v>
      </c>
      <c r="D3042" s="59">
        <v>2756.5</v>
      </c>
      <c r="E3042" s="59"/>
    </row>
    <row r="3043" spans="3:5" x14ac:dyDescent="0.15">
      <c r="C3043" s="255" t="s">
        <v>1018</v>
      </c>
      <c r="D3043" s="59">
        <v>287.3</v>
      </c>
      <c r="E3043" s="59"/>
    </row>
    <row r="3044" spans="3:5" x14ac:dyDescent="0.15">
      <c r="C3044" s="255" t="s">
        <v>1019</v>
      </c>
      <c r="D3044" s="59">
        <v>32640.3</v>
      </c>
      <c r="E3044" s="59"/>
    </row>
    <row r="3045" spans="3:5" x14ac:dyDescent="0.15">
      <c r="C3045" s="255" t="s">
        <v>1020</v>
      </c>
      <c r="D3045" s="59">
        <v>950.4</v>
      </c>
      <c r="E3045" s="59"/>
    </row>
    <row r="3046" spans="3:5" x14ac:dyDescent="0.15">
      <c r="C3046" s="255" t="s">
        <v>1021</v>
      </c>
      <c r="D3046" s="59">
        <v>1386</v>
      </c>
      <c r="E3046" s="59"/>
    </row>
    <row r="3047" spans="3:5" x14ac:dyDescent="0.15">
      <c r="C3047" s="255" t="s">
        <v>1022</v>
      </c>
      <c r="D3047" s="59">
        <v>704.5</v>
      </c>
      <c r="E3047" s="59"/>
    </row>
    <row r="3048" spans="3:5" x14ac:dyDescent="0.15">
      <c r="C3048" s="255" t="s">
        <v>1023</v>
      </c>
      <c r="D3048" s="59">
        <v>10</v>
      </c>
      <c r="E3048" s="59"/>
    </row>
    <row r="3049" spans="3:5" x14ac:dyDescent="0.15">
      <c r="C3049" s="255" t="s">
        <v>1024</v>
      </c>
      <c r="D3049" s="59">
        <v>1.3</v>
      </c>
      <c r="E3049" s="59"/>
    </row>
    <row r="3050" spans="3:5" x14ac:dyDescent="0.15">
      <c r="C3050" s="255" t="s">
        <v>1025</v>
      </c>
      <c r="D3050" s="59">
        <v>215.2</v>
      </c>
      <c r="E3050" s="59"/>
    </row>
    <row r="3051" spans="3:5" x14ac:dyDescent="0.15">
      <c r="C3051" s="255" t="s">
        <v>1026</v>
      </c>
      <c r="D3051" s="59">
        <v>3222.2</v>
      </c>
      <c r="E3051" s="59"/>
    </row>
    <row r="3052" spans="3:5" x14ac:dyDescent="0.15">
      <c r="C3052" s="255" t="s">
        <v>1027</v>
      </c>
      <c r="D3052" s="59">
        <v>0</v>
      </c>
      <c r="E3052" s="59"/>
    </row>
    <row r="3053" spans="3:5" x14ac:dyDescent="0.15">
      <c r="C3053" s="255" t="s">
        <v>1028</v>
      </c>
      <c r="D3053" s="59">
        <v>314</v>
      </c>
      <c r="E3053" s="59"/>
    </row>
    <row r="3054" spans="3:5" x14ac:dyDescent="0.15">
      <c r="C3054" s="255" t="s">
        <v>1029</v>
      </c>
      <c r="D3054" s="59">
        <v>941.3</v>
      </c>
      <c r="E3054" s="59"/>
    </row>
    <row r="3055" spans="3:5" x14ac:dyDescent="0.15">
      <c r="C3055" s="255" t="s">
        <v>1030</v>
      </c>
      <c r="D3055" s="59">
        <v>0.1</v>
      </c>
      <c r="E3055" s="59"/>
    </row>
    <row r="3056" spans="3:5" x14ac:dyDescent="0.15">
      <c r="C3056" s="255" t="s">
        <v>1031</v>
      </c>
      <c r="D3056" s="59">
        <v>738.7</v>
      </c>
      <c r="E3056" s="59"/>
    </row>
    <row r="3057" spans="3:5" x14ac:dyDescent="0.15">
      <c r="C3057" s="255" t="s">
        <v>1032</v>
      </c>
      <c r="D3057" s="59">
        <v>2.1</v>
      </c>
      <c r="E3057" s="59"/>
    </row>
    <row r="3058" spans="3:5" x14ac:dyDescent="0.15">
      <c r="C3058" s="255" t="s">
        <v>1033</v>
      </c>
      <c r="D3058" s="59">
        <v>0</v>
      </c>
      <c r="E3058" s="59"/>
    </row>
    <row r="3059" spans="3:5" x14ac:dyDescent="0.15">
      <c r="C3059" s="255" t="s">
        <v>1034</v>
      </c>
      <c r="D3059" s="59">
        <v>32.6</v>
      </c>
      <c r="E3059" s="59"/>
    </row>
    <row r="3060" spans="3:5" x14ac:dyDescent="0.15">
      <c r="C3060" s="255" t="s">
        <v>1035</v>
      </c>
      <c r="D3060" s="59">
        <v>1465.7</v>
      </c>
      <c r="E3060" s="59"/>
    </row>
    <row r="3061" spans="3:5" x14ac:dyDescent="0.15">
      <c r="C3061" s="255" t="s">
        <v>1036</v>
      </c>
      <c r="D3061" s="59">
        <v>0</v>
      </c>
      <c r="E3061" s="59"/>
    </row>
    <row r="3062" spans="3:5" x14ac:dyDescent="0.15">
      <c r="C3062" s="255" t="s">
        <v>1037</v>
      </c>
      <c r="D3062" s="59">
        <v>2237</v>
      </c>
      <c r="E3062" s="59"/>
    </row>
    <row r="3063" spans="3:5" x14ac:dyDescent="0.15">
      <c r="C3063" s="255" t="s">
        <v>1038</v>
      </c>
      <c r="D3063" s="59">
        <v>6195.8</v>
      </c>
      <c r="E3063" s="59"/>
    </row>
    <row r="3064" spans="3:5" x14ac:dyDescent="0.15">
      <c r="C3064" s="255" t="s">
        <v>1039</v>
      </c>
      <c r="D3064" s="59">
        <v>1305.4000000000001</v>
      </c>
      <c r="E3064" s="59"/>
    </row>
    <row r="3065" spans="3:5" x14ac:dyDescent="0.15">
      <c r="C3065" s="255" t="s">
        <v>1040</v>
      </c>
      <c r="D3065" s="59">
        <v>5720.9</v>
      </c>
      <c r="E3065" s="59"/>
    </row>
    <row r="3066" spans="3:5" x14ac:dyDescent="0.15">
      <c r="C3066" s="255" t="s">
        <v>1041</v>
      </c>
      <c r="D3066" s="59">
        <v>452.5</v>
      </c>
      <c r="E3066" s="59"/>
    </row>
    <row r="3067" spans="3:5" x14ac:dyDescent="0.15">
      <c r="C3067" s="255" t="s">
        <v>1042</v>
      </c>
      <c r="D3067" s="59">
        <v>4637.3999999999996</v>
      </c>
      <c r="E3067" s="59"/>
    </row>
    <row r="3068" spans="3:5" x14ac:dyDescent="0.15">
      <c r="C3068" s="255" t="s">
        <v>1043</v>
      </c>
      <c r="D3068" s="59">
        <v>363.8</v>
      </c>
      <c r="E3068" s="59"/>
    </row>
    <row r="3069" spans="3:5" x14ac:dyDescent="0.15">
      <c r="C3069" s="255" t="s">
        <v>1044</v>
      </c>
      <c r="D3069" s="59">
        <v>1328.4</v>
      </c>
      <c r="E3069" s="59"/>
    </row>
    <row r="3070" spans="3:5" x14ac:dyDescent="0.15">
      <c r="C3070" s="255" t="s">
        <v>1045</v>
      </c>
      <c r="D3070" s="59">
        <v>29.6</v>
      </c>
      <c r="E3070" s="59"/>
    </row>
    <row r="3071" spans="3:5" x14ac:dyDescent="0.15">
      <c r="C3071" s="255" t="s">
        <v>1046</v>
      </c>
      <c r="D3071" s="59">
        <v>217.8</v>
      </c>
      <c r="E3071" s="59"/>
    </row>
    <row r="3072" spans="3:5" x14ac:dyDescent="0.15">
      <c r="C3072" s="255" t="s">
        <v>1047</v>
      </c>
      <c r="D3072" s="59">
        <v>167.4</v>
      </c>
      <c r="E3072" s="59"/>
    </row>
    <row r="3073" spans="2:5" x14ac:dyDescent="0.15">
      <c r="C3073" s="255" t="s">
        <v>1048</v>
      </c>
      <c r="D3073" s="59">
        <v>0</v>
      </c>
      <c r="E3073" s="59"/>
    </row>
    <row r="3074" spans="2:5" x14ac:dyDescent="0.15">
      <c r="B3074" s="255" t="s">
        <v>1054</v>
      </c>
      <c r="C3074" s="255" t="s">
        <v>743</v>
      </c>
      <c r="D3074" s="59">
        <v>385</v>
      </c>
      <c r="E3074" s="59"/>
    </row>
    <row r="3075" spans="2:5" x14ac:dyDescent="0.15">
      <c r="C3075" s="255" t="s">
        <v>744</v>
      </c>
      <c r="D3075" s="59">
        <v>368.6</v>
      </c>
      <c r="E3075" s="59"/>
    </row>
    <row r="3076" spans="2:5" x14ac:dyDescent="0.15">
      <c r="C3076" s="255" t="s">
        <v>745</v>
      </c>
      <c r="D3076" s="59">
        <v>1055.5999999999999</v>
      </c>
      <c r="E3076" s="59"/>
    </row>
    <row r="3077" spans="2:5" x14ac:dyDescent="0.15">
      <c r="C3077" s="255" t="s">
        <v>746</v>
      </c>
      <c r="D3077" s="59">
        <v>2.9</v>
      </c>
      <c r="E3077" s="59"/>
    </row>
    <row r="3078" spans="2:5" x14ac:dyDescent="0.15">
      <c r="C3078" s="255" t="s">
        <v>747</v>
      </c>
      <c r="D3078" s="59">
        <v>2</v>
      </c>
      <c r="E3078" s="59"/>
    </row>
    <row r="3079" spans="2:5" x14ac:dyDescent="0.15">
      <c r="C3079" s="255" t="s">
        <v>748</v>
      </c>
      <c r="D3079" s="59">
        <v>0.9</v>
      </c>
      <c r="E3079" s="59"/>
    </row>
    <row r="3080" spans="2:5" x14ac:dyDescent="0.15">
      <c r="C3080" s="255" t="s">
        <v>749</v>
      </c>
      <c r="D3080" s="59">
        <v>0.7</v>
      </c>
      <c r="E3080" s="59"/>
    </row>
    <row r="3081" spans="2:5" x14ac:dyDescent="0.15">
      <c r="C3081" s="255" t="s">
        <v>750</v>
      </c>
      <c r="D3081" s="59">
        <v>0.4</v>
      </c>
      <c r="E3081" s="59"/>
    </row>
    <row r="3082" spans="2:5" x14ac:dyDescent="0.15">
      <c r="C3082" s="255" t="s">
        <v>751</v>
      </c>
      <c r="D3082" s="59">
        <v>46.6</v>
      </c>
      <c r="E3082" s="59"/>
    </row>
    <row r="3083" spans="2:5" x14ac:dyDescent="0.15">
      <c r="C3083" s="255" t="s">
        <v>752</v>
      </c>
      <c r="D3083" s="59">
        <v>1.8</v>
      </c>
      <c r="E3083" s="59"/>
    </row>
    <row r="3084" spans="2:5" x14ac:dyDescent="0.15">
      <c r="C3084" s="255" t="s">
        <v>753</v>
      </c>
      <c r="D3084" s="59">
        <v>135.30000000000001</v>
      </c>
      <c r="E3084" s="59"/>
    </row>
    <row r="3085" spans="2:5" x14ac:dyDescent="0.15">
      <c r="C3085" s="255" t="s">
        <v>754</v>
      </c>
      <c r="D3085" s="59">
        <v>1947.3</v>
      </c>
      <c r="E3085" s="59"/>
    </row>
    <row r="3086" spans="2:5" x14ac:dyDescent="0.15">
      <c r="C3086" s="255" t="s">
        <v>192</v>
      </c>
      <c r="D3086" s="59">
        <v>437705.8</v>
      </c>
      <c r="E3086" s="59"/>
    </row>
    <row r="3087" spans="2:5" x14ac:dyDescent="0.15">
      <c r="C3087" s="255" t="s">
        <v>755</v>
      </c>
      <c r="D3087" s="59">
        <v>52046.2</v>
      </c>
      <c r="E3087" s="59"/>
    </row>
    <row r="3088" spans="2:5" x14ac:dyDescent="0.15">
      <c r="C3088" s="255" t="s">
        <v>756</v>
      </c>
      <c r="D3088" s="59">
        <v>163.5</v>
      </c>
      <c r="E3088" s="59"/>
    </row>
    <row r="3089" spans="3:5" x14ac:dyDescent="0.15">
      <c r="C3089" s="255" t="s">
        <v>757</v>
      </c>
      <c r="D3089" s="59">
        <v>174.4</v>
      </c>
      <c r="E3089" s="59"/>
    </row>
    <row r="3090" spans="3:5" x14ac:dyDescent="0.15">
      <c r="C3090" s="255" t="s">
        <v>758</v>
      </c>
      <c r="D3090" s="59">
        <v>3009.2</v>
      </c>
      <c r="E3090" s="59"/>
    </row>
    <row r="3091" spans="3:5" x14ac:dyDescent="0.15">
      <c r="C3091" s="255" t="s">
        <v>759</v>
      </c>
      <c r="D3091" s="59">
        <v>1856.2</v>
      </c>
      <c r="E3091" s="59"/>
    </row>
    <row r="3092" spans="3:5" x14ac:dyDescent="0.15">
      <c r="C3092" s="255" t="s">
        <v>760</v>
      </c>
      <c r="D3092" s="59">
        <v>166.8</v>
      </c>
      <c r="E3092" s="59"/>
    </row>
    <row r="3093" spans="3:5" x14ac:dyDescent="0.15">
      <c r="C3093" s="255" t="s">
        <v>761</v>
      </c>
      <c r="D3093" s="59">
        <v>549</v>
      </c>
      <c r="E3093" s="59"/>
    </row>
    <row r="3094" spans="3:5" x14ac:dyDescent="0.15">
      <c r="C3094" s="255" t="s">
        <v>762</v>
      </c>
      <c r="D3094" s="59">
        <v>574.79999999999995</v>
      </c>
      <c r="E3094" s="59"/>
    </row>
    <row r="3095" spans="3:5" x14ac:dyDescent="0.15">
      <c r="C3095" s="255" t="s">
        <v>763</v>
      </c>
      <c r="D3095" s="59">
        <v>270.8</v>
      </c>
      <c r="E3095" s="59"/>
    </row>
    <row r="3096" spans="3:5" x14ac:dyDescent="0.15">
      <c r="C3096" s="255" t="s">
        <v>764</v>
      </c>
      <c r="D3096" s="59">
        <v>3082.7</v>
      </c>
      <c r="E3096" s="59"/>
    </row>
    <row r="3097" spans="3:5" x14ac:dyDescent="0.15">
      <c r="C3097" s="255" t="s">
        <v>765</v>
      </c>
      <c r="D3097" s="59">
        <v>1166.4000000000001</v>
      </c>
      <c r="E3097" s="59"/>
    </row>
    <row r="3098" spans="3:5" x14ac:dyDescent="0.15">
      <c r="C3098" s="255" t="s">
        <v>766</v>
      </c>
      <c r="D3098" s="59">
        <v>433.8</v>
      </c>
      <c r="E3098" s="59"/>
    </row>
    <row r="3099" spans="3:5" x14ac:dyDescent="0.15">
      <c r="C3099" s="255" t="s">
        <v>767</v>
      </c>
      <c r="D3099" s="59">
        <v>1532.6</v>
      </c>
      <c r="E3099" s="59"/>
    </row>
    <row r="3100" spans="3:5" x14ac:dyDescent="0.15">
      <c r="C3100" s="255" t="s">
        <v>768</v>
      </c>
      <c r="D3100" s="59">
        <v>46.7</v>
      </c>
      <c r="E3100" s="59"/>
    </row>
    <row r="3101" spans="3:5" x14ac:dyDescent="0.15">
      <c r="C3101" s="255" t="s">
        <v>769</v>
      </c>
      <c r="D3101" s="59">
        <v>23.9</v>
      </c>
      <c r="E3101" s="59"/>
    </row>
    <row r="3102" spans="3:5" x14ac:dyDescent="0.15">
      <c r="C3102" s="255" t="s">
        <v>770</v>
      </c>
      <c r="D3102" s="59">
        <v>2093.1999999999998</v>
      </c>
      <c r="E3102" s="59"/>
    </row>
    <row r="3103" spans="3:5" x14ac:dyDescent="0.15">
      <c r="C3103" s="255" t="s">
        <v>771</v>
      </c>
      <c r="D3103" s="59">
        <v>1962</v>
      </c>
      <c r="E3103" s="59"/>
    </row>
    <row r="3104" spans="3:5" x14ac:dyDescent="0.15">
      <c r="C3104" s="255" t="s">
        <v>772</v>
      </c>
      <c r="D3104" s="59">
        <v>790.3</v>
      </c>
      <c r="E3104" s="59"/>
    </row>
    <row r="3105" spans="3:5" x14ac:dyDescent="0.15">
      <c r="C3105" s="255" t="s">
        <v>773</v>
      </c>
      <c r="D3105" s="59">
        <v>101.3</v>
      </c>
      <c r="E3105" s="59"/>
    </row>
    <row r="3106" spans="3:5" x14ac:dyDescent="0.15">
      <c r="C3106" s="255" t="s">
        <v>774</v>
      </c>
      <c r="D3106" s="59">
        <v>142.30000000000001</v>
      </c>
      <c r="E3106" s="59"/>
    </row>
    <row r="3107" spans="3:5" x14ac:dyDescent="0.15">
      <c r="C3107" s="255" t="s">
        <v>775</v>
      </c>
      <c r="D3107" s="59">
        <v>121.5</v>
      </c>
      <c r="E3107" s="59"/>
    </row>
    <row r="3108" spans="3:5" x14ac:dyDescent="0.15">
      <c r="C3108" s="255" t="s">
        <v>776</v>
      </c>
      <c r="D3108" s="59">
        <v>402.9</v>
      </c>
      <c r="E3108" s="59"/>
    </row>
    <row r="3109" spans="3:5" x14ac:dyDescent="0.15">
      <c r="C3109" s="255" t="s">
        <v>777</v>
      </c>
      <c r="D3109" s="59">
        <v>1077.4000000000001</v>
      </c>
      <c r="E3109" s="59"/>
    </row>
    <row r="3110" spans="3:5" x14ac:dyDescent="0.15">
      <c r="C3110" s="255" t="s">
        <v>778</v>
      </c>
      <c r="D3110" s="59">
        <v>578.20000000000005</v>
      </c>
      <c r="E3110" s="59"/>
    </row>
    <row r="3111" spans="3:5" x14ac:dyDescent="0.15">
      <c r="C3111" s="255" t="s">
        <v>779</v>
      </c>
      <c r="D3111" s="59">
        <v>899.4</v>
      </c>
      <c r="E3111" s="59"/>
    </row>
    <row r="3112" spans="3:5" x14ac:dyDescent="0.15">
      <c r="C3112" s="255" t="s">
        <v>780</v>
      </c>
      <c r="D3112" s="59">
        <v>13.6</v>
      </c>
      <c r="E3112" s="59"/>
    </row>
    <row r="3113" spans="3:5" x14ac:dyDescent="0.15">
      <c r="C3113" s="255" t="s">
        <v>781</v>
      </c>
      <c r="D3113" s="59">
        <v>1114.3</v>
      </c>
      <c r="E3113" s="59"/>
    </row>
    <row r="3114" spans="3:5" x14ac:dyDescent="0.15">
      <c r="C3114" s="255" t="s">
        <v>782</v>
      </c>
      <c r="D3114" s="59">
        <v>2741.9</v>
      </c>
      <c r="E3114" s="59"/>
    </row>
    <row r="3115" spans="3:5" x14ac:dyDescent="0.15">
      <c r="C3115" s="255" t="s">
        <v>783</v>
      </c>
      <c r="D3115" s="59">
        <v>975.1</v>
      </c>
      <c r="E3115" s="59"/>
    </row>
    <row r="3116" spans="3:5" x14ac:dyDescent="0.15">
      <c r="C3116" s="255" t="s">
        <v>784</v>
      </c>
      <c r="D3116" s="59">
        <v>915.3</v>
      </c>
      <c r="E3116" s="59"/>
    </row>
    <row r="3117" spans="3:5" x14ac:dyDescent="0.15">
      <c r="C3117" s="255" t="s">
        <v>785</v>
      </c>
      <c r="D3117" s="59">
        <v>641.29999999999995</v>
      </c>
      <c r="E3117" s="59"/>
    </row>
    <row r="3118" spans="3:5" x14ac:dyDescent="0.15">
      <c r="C3118" s="255" t="s">
        <v>786</v>
      </c>
      <c r="D3118" s="59">
        <v>148.1</v>
      </c>
      <c r="E3118" s="59"/>
    </row>
    <row r="3119" spans="3:5" x14ac:dyDescent="0.15">
      <c r="C3119" s="255" t="s">
        <v>787</v>
      </c>
      <c r="D3119" s="59">
        <v>182.3</v>
      </c>
      <c r="E3119" s="59"/>
    </row>
    <row r="3120" spans="3:5" x14ac:dyDescent="0.15">
      <c r="C3120" s="255" t="s">
        <v>788</v>
      </c>
      <c r="D3120" s="59">
        <v>122.1</v>
      </c>
      <c r="E3120" s="59"/>
    </row>
    <row r="3121" spans="3:5" x14ac:dyDescent="0.15">
      <c r="C3121" s="255" t="s">
        <v>789</v>
      </c>
      <c r="D3121" s="59">
        <v>5.2</v>
      </c>
      <c r="E3121" s="59"/>
    </row>
    <row r="3122" spans="3:5" x14ac:dyDescent="0.15">
      <c r="C3122" s="255" t="s">
        <v>790</v>
      </c>
      <c r="D3122" s="59">
        <v>3541.4</v>
      </c>
      <c r="E3122" s="59"/>
    </row>
    <row r="3123" spans="3:5" x14ac:dyDescent="0.15">
      <c r="C3123" s="255" t="s">
        <v>791</v>
      </c>
      <c r="D3123" s="59">
        <v>97.2</v>
      </c>
      <c r="E3123" s="59"/>
    </row>
    <row r="3124" spans="3:5" x14ac:dyDescent="0.15">
      <c r="C3124" s="255" t="s">
        <v>792</v>
      </c>
      <c r="D3124" s="59">
        <v>1259.5</v>
      </c>
      <c r="E3124" s="59"/>
    </row>
    <row r="3125" spans="3:5" x14ac:dyDescent="0.15">
      <c r="C3125" s="255" t="s">
        <v>793</v>
      </c>
      <c r="D3125" s="59">
        <v>329.8</v>
      </c>
      <c r="E3125" s="59"/>
    </row>
    <row r="3126" spans="3:5" x14ac:dyDescent="0.15">
      <c r="C3126" s="255" t="s">
        <v>794</v>
      </c>
      <c r="D3126" s="59">
        <v>3884</v>
      </c>
      <c r="E3126" s="59"/>
    </row>
    <row r="3127" spans="3:5" x14ac:dyDescent="0.15">
      <c r="C3127" s="255" t="s">
        <v>795</v>
      </c>
      <c r="D3127" s="59">
        <v>249.8</v>
      </c>
      <c r="E3127" s="59"/>
    </row>
    <row r="3128" spans="3:5" x14ac:dyDescent="0.15">
      <c r="C3128" s="255" t="s">
        <v>796</v>
      </c>
      <c r="D3128" s="59">
        <v>851.2</v>
      </c>
      <c r="E3128" s="59"/>
    </row>
    <row r="3129" spans="3:5" x14ac:dyDescent="0.15">
      <c r="C3129" s="255" t="s">
        <v>797</v>
      </c>
      <c r="D3129" s="59">
        <v>813.5</v>
      </c>
      <c r="E3129" s="59"/>
    </row>
    <row r="3130" spans="3:5" x14ac:dyDescent="0.15">
      <c r="C3130" s="255" t="s">
        <v>798</v>
      </c>
      <c r="D3130" s="59">
        <v>447.8</v>
      </c>
      <c r="E3130" s="59"/>
    </row>
    <row r="3131" spans="3:5" x14ac:dyDescent="0.15">
      <c r="C3131" s="255" t="s">
        <v>799</v>
      </c>
      <c r="D3131" s="59">
        <v>177.9</v>
      </c>
      <c r="E3131" s="59"/>
    </row>
    <row r="3132" spans="3:5" x14ac:dyDescent="0.15">
      <c r="C3132" s="255" t="s">
        <v>800</v>
      </c>
      <c r="D3132" s="59">
        <v>122.5</v>
      </c>
      <c r="E3132" s="59"/>
    </row>
    <row r="3133" spans="3:5" x14ac:dyDescent="0.15">
      <c r="C3133" s="255" t="s">
        <v>801</v>
      </c>
      <c r="D3133" s="59">
        <v>333</v>
      </c>
      <c r="E3133" s="59"/>
    </row>
    <row r="3134" spans="3:5" x14ac:dyDescent="0.15">
      <c r="C3134" s="255" t="s">
        <v>802</v>
      </c>
      <c r="D3134" s="59">
        <v>1697.5</v>
      </c>
      <c r="E3134" s="59"/>
    </row>
    <row r="3135" spans="3:5" x14ac:dyDescent="0.15">
      <c r="C3135" s="255" t="s">
        <v>803</v>
      </c>
      <c r="D3135" s="59">
        <v>2130.1</v>
      </c>
      <c r="E3135" s="59"/>
    </row>
    <row r="3136" spans="3:5" x14ac:dyDescent="0.15">
      <c r="C3136" s="255" t="s">
        <v>804</v>
      </c>
      <c r="D3136" s="59">
        <v>1177</v>
      </c>
      <c r="E3136" s="59"/>
    </row>
    <row r="3137" spans="3:5" x14ac:dyDescent="0.15">
      <c r="C3137" s="255" t="s">
        <v>805</v>
      </c>
      <c r="D3137" s="59">
        <v>8.3000000000000007</v>
      </c>
      <c r="E3137" s="59"/>
    </row>
    <row r="3138" spans="3:5" x14ac:dyDescent="0.15">
      <c r="C3138" s="255" t="s">
        <v>806</v>
      </c>
      <c r="D3138" s="59">
        <v>1079.5</v>
      </c>
      <c r="E3138" s="59"/>
    </row>
    <row r="3139" spans="3:5" x14ac:dyDescent="0.15">
      <c r="C3139" s="255" t="s">
        <v>807</v>
      </c>
      <c r="D3139" s="59">
        <v>611.5</v>
      </c>
      <c r="E3139" s="59"/>
    </row>
    <row r="3140" spans="3:5" x14ac:dyDescent="0.15">
      <c r="C3140" s="255" t="s">
        <v>808</v>
      </c>
      <c r="D3140" s="59">
        <v>150.4</v>
      </c>
      <c r="E3140" s="59"/>
    </row>
    <row r="3141" spans="3:5" x14ac:dyDescent="0.15">
      <c r="C3141" s="255" t="s">
        <v>809</v>
      </c>
      <c r="D3141" s="59">
        <v>622.29999999999995</v>
      </c>
      <c r="E3141" s="59"/>
    </row>
    <row r="3142" spans="3:5" x14ac:dyDescent="0.15">
      <c r="C3142" s="255" t="s">
        <v>810</v>
      </c>
      <c r="D3142" s="59">
        <v>262.2</v>
      </c>
      <c r="E3142" s="59"/>
    </row>
    <row r="3143" spans="3:5" x14ac:dyDescent="0.15">
      <c r="C3143" s="255" t="s">
        <v>811</v>
      </c>
      <c r="D3143" s="59">
        <v>1370.1</v>
      </c>
      <c r="E3143" s="59"/>
    </row>
    <row r="3144" spans="3:5" x14ac:dyDescent="0.15">
      <c r="C3144" s="255" t="s">
        <v>812</v>
      </c>
      <c r="D3144" s="59">
        <v>281.5</v>
      </c>
      <c r="E3144" s="59"/>
    </row>
    <row r="3145" spans="3:5" x14ac:dyDescent="0.15">
      <c r="C3145" s="255" t="s">
        <v>813</v>
      </c>
      <c r="D3145" s="59">
        <v>56.6</v>
      </c>
      <c r="E3145" s="59"/>
    </row>
    <row r="3146" spans="3:5" x14ac:dyDescent="0.15">
      <c r="C3146" s="255" t="s">
        <v>814</v>
      </c>
      <c r="D3146" s="59">
        <v>298.39999999999998</v>
      </c>
      <c r="E3146" s="59"/>
    </row>
    <row r="3147" spans="3:5" x14ac:dyDescent="0.15">
      <c r="C3147" s="255" t="s">
        <v>815</v>
      </c>
      <c r="D3147" s="59">
        <v>1202.2</v>
      </c>
      <c r="E3147" s="59"/>
    </row>
    <row r="3148" spans="3:5" x14ac:dyDescent="0.15">
      <c r="C3148" s="255" t="s">
        <v>816</v>
      </c>
      <c r="D3148" s="59">
        <v>912.4</v>
      </c>
      <c r="E3148" s="59"/>
    </row>
    <row r="3149" spans="3:5" x14ac:dyDescent="0.15">
      <c r="C3149" s="255" t="s">
        <v>817</v>
      </c>
      <c r="D3149" s="59">
        <v>7982.5</v>
      </c>
      <c r="E3149" s="59"/>
    </row>
    <row r="3150" spans="3:5" x14ac:dyDescent="0.15">
      <c r="C3150" s="255" t="s">
        <v>818</v>
      </c>
      <c r="D3150" s="59">
        <v>847.9</v>
      </c>
      <c r="E3150" s="59"/>
    </row>
    <row r="3151" spans="3:5" x14ac:dyDescent="0.15">
      <c r="C3151" s="255" t="s">
        <v>819</v>
      </c>
      <c r="D3151" s="59">
        <v>8.8000000000000007</v>
      </c>
      <c r="E3151" s="59"/>
    </row>
    <row r="3152" spans="3:5" x14ac:dyDescent="0.15">
      <c r="C3152" s="255" t="s">
        <v>820</v>
      </c>
      <c r="D3152" s="59">
        <v>3888</v>
      </c>
      <c r="E3152" s="59"/>
    </row>
    <row r="3153" spans="3:5" x14ac:dyDescent="0.15">
      <c r="C3153" s="255" t="s">
        <v>821</v>
      </c>
      <c r="D3153" s="59">
        <v>77.2</v>
      </c>
      <c r="E3153" s="59"/>
    </row>
    <row r="3154" spans="3:5" x14ac:dyDescent="0.15">
      <c r="C3154" s="255" t="s">
        <v>822</v>
      </c>
      <c r="D3154" s="59">
        <v>217</v>
      </c>
      <c r="E3154" s="59"/>
    </row>
    <row r="3155" spans="3:5" x14ac:dyDescent="0.15">
      <c r="C3155" s="255" t="s">
        <v>823</v>
      </c>
      <c r="D3155" s="59">
        <v>3.6</v>
      </c>
      <c r="E3155" s="59"/>
    </row>
    <row r="3156" spans="3:5" x14ac:dyDescent="0.15">
      <c r="C3156" s="255" t="s">
        <v>824</v>
      </c>
      <c r="D3156" s="59">
        <v>824.1</v>
      </c>
      <c r="E3156" s="59"/>
    </row>
    <row r="3157" spans="3:5" x14ac:dyDescent="0.15">
      <c r="C3157" s="255" t="s">
        <v>825</v>
      </c>
      <c r="D3157" s="59">
        <v>845.6</v>
      </c>
      <c r="E3157" s="59"/>
    </row>
    <row r="3158" spans="3:5" x14ac:dyDescent="0.15">
      <c r="C3158" s="255" t="s">
        <v>826</v>
      </c>
      <c r="D3158" s="59">
        <v>16.2</v>
      </c>
      <c r="E3158" s="59"/>
    </row>
    <row r="3159" spans="3:5" x14ac:dyDescent="0.15">
      <c r="C3159" s="255" t="s">
        <v>827</v>
      </c>
      <c r="D3159" s="59">
        <v>9.9</v>
      </c>
      <c r="E3159" s="59"/>
    </row>
    <row r="3160" spans="3:5" x14ac:dyDescent="0.15">
      <c r="C3160" s="255" t="s">
        <v>828</v>
      </c>
      <c r="D3160" s="59">
        <v>951.2</v>
      </c>
      <c r="E3160" s="59"/>
    </row>
    <row r="3161" spans="3:5" x14ac:dyDescent="0.15">
      <c r="C3161" s="255" t="s">
        <v>829</v>
      </c>
      <c r="D3161" s="59">
        <v>6.7</v>
      </c>
      <c r="E3161" s="59"/>
    </row>
    <row r="3162" spans="3:5" x14ac:dyDescent="0.15">
      <c r="C3162" s="255" t="s">
        <v>830</v>
      </c>
      <c r="D3162" s="59">
        <v>286.3</v>
      </c>
      <c r="E3162" s="59"/>
    </row>
    <row r="3163" spans="3:5" x14ac:dyDescent="0.15">
      <c r="C3163" s="255" t="s">
        <v>831</v>
      </c>
      <c r="D3163" s="59">
        <v>0</v>
      </c>
      <c r="E3163" s="59"/>
    </row>
    <row r="3164" spans="3:5" x14ac:dyDescent="0.15">
      <c r="C3164" s="255" t="s">
        <v>832</v>
      </c>
      <c r="D3164" s="59">
        <v>21561.9</v>
      </c>
      <c r="E3164" s="59"/>
    </row>
    <row r="3165" spans="3:5" x14ac:dyDescent="0.15">
      <c r="C3165" s="255" t="s">
        <v>833</v>
      </c>
      <c r="D3165" s="59">
        <v>151.1</v>
      </c>
      <c r="E3165" s="59"/>
    </row>
    <row r="3166" spans="3:5" x14ac:dyDescent="0.15">
      <c r="C3166" s="255" t="s">
        <v>834</v>
      </c>
      <c r="D3166" s="59">
        <v>5646.6</v>
      </c>
      <c r="E3166" s="59"/>
    </row>
    <row r="3167" spans="3:5" x14ac:dyDescent="0.15">
      <c r="C3167" s="255" t="s">
        <v>835</v>
      </c>
      <c r="D3167" s="59">
        <v>7804.6</v>
      </c>
      <c r="E3167" s="59"/>
    </row>
    <row r="3168" spans="3:5" x14ac:dyDescent="0.15">
      <c r="C3168" s="255" t="s">
        <v>836</v>
      </c>
      <c r="D3168" s="59">
        <v>2806.3</v>
      </c>
      <c r="E3168" s="59"/>
    </row>
    <row r="3169" spans="3:5" x14ac:dyDescent="0.15">
      <c r="C3169" s="255" t="s">
        <v>837</v>
      </c>
      <c r="D3169" s="59">
        <v>566.1</v>
      </c>
      <c r="E3169" s="59"/>
    </row>
    <row r="3170" spans="3:5" x14ac:dyDescent="0.15">
      <c r="C3170" s="255" t="s">
        <v>838</v>
      </c>
      <c r="D3170" s="59">
        <v>275.39999999999998</v>
      </c>
      <c r="E3170" s="59"/>
    </row>
    <row r="3171" spans="3:5" x14ac:dyDescent="0.15">
      <c r="C3171" s="255" t="s">
        <v>839</v>
      </c>
      <c r="D3171" s="59">
        <v>291</v>
      </c>
      <c r="E3171" s="59"/>
    </row>
    <row r="3172" spans="3:5" x14ac:dyDescent="0.15">
      <c r="C3172" s="255" t="s">
        <v>840</v>
      </c>
      <c r="D3172" s="59">
        <v>14.6</v>
      </c>
      <c r="E3172" s="59"/>
    </row>
    <row r="3173" spans="3:5" x14ac:dyDescent="0.15">
      <c r="C3173" s="255" t="s">
        <v>841</v>
      </c>
      <c r="D3173" s="59">
        <v>1194.4000000000001</v>
      </c>
      <c r="E3173" s="59"/>
    </row>
    <row r="3174" spans="3:5" x14ac:dyDescent="0.15">
      <c r="C3174" s="255" t="s">
        <v>842</v>
      </c>
      <c r="D3174" s="59">
        <v>2314.9</v>
      </c>
      <c r="E3174" s="59"/>
    </row>
    <row r="3175" spans="3:5" x14ac:dyDescent="0.15">
      <c r="C3175" s="255" t="s">
        <v>843</v>
      </c>
      <c r="D3175" s="59">
        <v>454.4</v>
      </c>
      <c r="E3175" s="59"/>
    </row>
    <row r="3176" spans="3:5" x14ac:dyDescent="0.15">
      <c r="C3176" s="255" t="s">
        <v>844</v>
      </c>
      <c r="D3176" s="59">
        <v>42.5</v>
      </c>
      <c r="E3176" s="59"/>
    </row>
    <row r="3177" spans="3:5" x14ac:dyDescent="0.15">
      <c r="C3177" s="255" t="s">
        <v>845</v>
      </c>
      <c r="D3177" s="59">
        <v>126796.2</v>
      </c>
      <c r="E3177" s="59"/>
    </row>
    <row r="3178" spans="3:5" x14ac:dyDescent="0.15">
      <c r="C3178" s="255" t="s">
        <v>846</v>
      </c>
      <c r="D3178" s="59">
        <v>19451.599999999999</v>
      </c>
      <c r="E3178" s="59"/>
    </row>
    <row r="3179" spans="3:5" x14ac:dyDescent="0.15">
      <c r="C3179" s="255" t="s">
        <v>847</v>
      </c>
      <c r="D3179" s="59">
        <v>189.7</v>
      </c>
      <c r="E3179" s="59"/>
    </row>
    <row r="3180" spans="3:5" x14ac:dyDescent="0.15">
      <c r="C3180" s="255" t="s">
        <v>848</v>
      </c>
      <c r="D3180" s="59">
        <v>58968.800000000003</v>
      </c>
      <c r="E3180" s="59"/>
    </row>
    <row r="3181" spans="3:5" x14ac:dyDescent="0.15">
      <c r="C3181" s="255" t="s">
        <v>849</v>
      </c>
      <c r="D3181" s="59">
        <v>2563.9</v>
      </c>
      <c r="E3181" s="59"/>
    </row>
    <row r="3182" spans="3:5" x14ac:dyDescent="0.15">
      <c r="C3182" s="255" t="s">
        <v>850</v>
      </c>
      <c r="D3182" s="59">
        <v>2488.1999999999998</v>
      </c>
      <c r="E3182" s="59"/>
    </row>
    <row r="3183" spans="3:5" x14ac:dyDescent="0.15">
      <c r="C3183" s="255" t="s">
        <v>851</v>
      </c>
      <c r="D3183" s="59">
        <v>0</v>
      </c>
      <c r="E3183" s="59"/>
    </row>
    <row r="3184" spans="3:5" x14ac:dyDescent="0.15">
      <c r="C3184" s="255" t="s">
        <v>852</v>
      </c>
      <c r="D3184" s="59">
        <v>0</v>
      </c>
      <c r="E3184" s="59"/>
    </row>
    <row r="3185" spans="3:5" x14ac:dyDescent="0.15">
      <c r="C3185" s="255" t="s">
        <v>853</v>
      </c>
      <c r="D3185" s="59">
        <v>340.7</v>
      </c>
      <c r="E3185" s="59"/>
    </row>
    <row r="3186" spans="3:5" x14ac:dyDescent="0.15">
      <c r="C3186" s="255" t="s">
        <v>854</v>
      </c>
      <c r="D3186" s="59">
        <v>0</v>
      </c>
      <c r="E3186" s="59"/>
    </row>
    <row r="3187" spans="3:5" x14ac:dyDescent="0.15">
      <c r="C3187" s="255" t="s">
        <v>855</v>
      </c>
      <c r="D3187" s="59">
        <v>197.7</v>
      </c>
      <c r="E3187" s="59"/>
    </row>
    <row r="3188" spans="3:5" x14ac:dyDescent="0.15">
      <c r="C3188" s="255" t="s">
        <v>856</v>
      </c>
      <c r="D3188" s="59">
        <v>3967.8</v>
      </c>
      <c r="E3188" s="59"/>
    </row>
    <row r="3189" spans="3:5" x14ac:dyDescent="0.15">
      <c r="C3189" s="255" t="s">
        <v>857</v>
      </c>
      <c r="D3189" s="59">
        <v>2731.9</v>
      </c>
      <c r="E3189" s="59"/>
    </row>
    <row r="3190" spans="3:5" x14ac:dyDescent="0.15">
      <c r="C3190" s="255" t="s">
        <v>858</v>
      </c>
      <c r="D3190" s="59">
        <v>2822.5</v>
      </c>
      <c r="E3190" s="59"/>
    </row>
    <row r="3191" spans="3:5" x14ac:dyDescent="0.15">
      <c r="C3191" s="255" t="s">
        <v>859</v>
      </c>
      <c r="D3191" s="59">
        <v>3255.5</v>
      </c>
      <c r="E3191" s="59"/>
    </row>
    <row r="3192" spans="3:5" x14ac:dyDescent="0.15">
      <c r="C3192" s="255" t="s">
        <v>860</v>
      </c>
      <c r="D3192" s="59">
        <v>346.5</v>
      </c>
      <c r="E3192" s="59"/>
    </row>
    <row r="3193" spans="3:5" x14ac:dyDescent="0.15">
      <c r="C3193" s="255" t="s">
        <v>861</v>
      </c>
      <c r="D3193" s="59">
        <v>4577.8999999999996</v>
      </c>
      <c r="E3193" s="59"/>
    </row>
    <row r="3194" spans="3:5" x14ac:dyDescent="0.15">
      <c r="C3194" s="255" t="s">
        <v>862</v>
      </c>
      <c r="D3194" s="59">
        <v>8687.7999999999993</v>
      </c>
      <c r="E3194" s="59"/>
    </row>
    <row r="3195" spans="3:5" x14ac:dyDescent="0.15">
      <c r="C3195" s="255" t="s">
        <v>863</v>
      </c>
      <c r="D3195" s="59">
        <v>3264.9</v>
      </c>
      <c r="E3195" s="59"/>
    </row>
    <row r="3196" spans="3:5" x14ac:dyDescent="0.15">
      <c r="C3196" s="255" t="s">
        <v>864</v>
      </c>
      <c r="D3196" s="59">
        <v>131.30000000000001</v>
      </c>
      <c r="E3196" s="59"/>
    </row>
    <row r="3197" spans="3:5" x14ac:dyDescent="0.15">
      <c r="C3197" s="255" t="s">
        <v>865</v>
      </c>
      <c r="D3197" s="59">
        <v>405.3</v>
      </c>
      <c r="E3197" s="59"/>
    </row>
    <row r="3198" spans="3:5" x14ac:dyDescent="0.15">
      <c r="C3198" s="255" t="s">
        <v>866</v>
      </c>
      <c r="D3198" s="59">
        <v>35</v>
      </c>
      <c r="E3198" s="59"/>
    </row>
    <row r="3199" spans="3:5" x14ac:dyDescent="0.15">
      <c r="C3199" s="255" t="s">
        <v>867</v>
      </c>
      <c r="D3199" s="59">
        <v>1374.9</v>
      </c>
      <c r="E3199" s="59"/>
    </row>
    <row r="3200" spans="3:5" x14ac:dyDescent="0.15">
      <c r="C3200" s="255" t="s">
        <v>868</v>
      </c>
      <c r="D3200" s="59">
        <v>10994.3</v>
      </c>
      <c r="E3200" s="59"/>
    </row>
    <row r="3201" spans="3:5" x14ac:dyDescent="0.15">
      <c r="C3201" s="255" t="s">
        <v>869</v>
      </c>
      <c r="D3201" s="59">
        <v>24708.1</v>
      </c>
      <c r="E3201" s="59"/>
    </row>
    <row r="3202" spans="3:5" x14ac:dyDescent="0.15">
      <c r="C3202" s="255" t="s">
        <v>870</v>
      </c>
      <c r="D3202" s="59">
        <v>6357.7</v>
      </c>
      <c r="E3202" s="59"/>
    </row>
    <row r="3203" spans="3:5" x14ac:dyDescent="0.15">
      <c r="C3203" s="255" t="s">
        <v>871</v>
      </c>
      <c r="D3203" s="59">
        <v>821.5</v>
      </c>
      <c r="E3203" s="59"/>
    </row>
    <row r="3204" spans="3:5" x14ac:dyDescent="0.15">
      <c r="C3204" s="255" t="s">
        <v>872</v>
      </c>
      <c r="D3204" s="59">
        <v>914.3</v>
      </c>
      <c r="E3204" s="59"/>
    </row>
    <row r="3205" spans="3:5" x14ac:dyDescent="0.15">
      <c r="C3205" s="255" t="s">
        <v>873</v>
      </c>
      <c r="D3205" s="59">
        <v>1512.7</v>
      </c>
      <c r="E3205" s="59"/>
    </row>
    <row r="3206" spans="3:5" x14ac:dyDescent="0.15">
      <c r="C3206" s="255" t="s">
        <v>874</v>
      </c>
      <c r="D3206" s="59">
        <v>191.3</v>
      </c>
      <c r="E3206" s="59"/>
    </row>
    <row r="3207" spans="3:5" x14ac:dyDescent="0.15">
      <c r="C3207" s="255" t="s">
        <v>875</v>
      </c>
      <c r="D3207" s="59">
        <v>34.9</v>
      </c>
      <c r="E3207" s="59"/>
    </row>
    <row r="3208" spans="3:5" x14ac:dyDescent="0.15">
      <c r="C3208" s="255" t="s">
        <v>876</v>
      </c>
      <c r="D3208" s="59">
        <v>58.3</v>
      </c>
      <c r="E3208" s="59"/>
    </row>
    <row r="3209" spans="3:5" x14ac:dyDescent="0.15">
      <c r="C3209" s="255" t="s">
        <v>877</v>
      </c>
      <c r="D3209" s="59">
        <v>26.5</v>
      </c>
      <c r="E3209" s="59"/>
    </row>
    <row r="3210" spans="3:5" x14ac:dyDescent="0.15">
      <c r="C3210" s="255" t="s">
        <v>878</v>
      </c>
      <c r="D3210" s="59">
        <v>92.4</v>
      </c>
      <c r="E3210" s="59"/>
    </row>
    <row r="3211" spans="3:5" x14ac:dyDescent="0.15">
      <c r="C3211" s="255" t="s">
        <v>879</v>
      </c>
      <c r="D3211" s="59">
        <v>1019.4</v>
      </c>
      <c r="E3211" s="59"/>
    </row>
    <row r="3212" spans="3:5" x14ac:dyDescent="0.15">
      <c r="C3212" s="255" t="s">
        <v>880</v>
      </c>
      <c r="D3212" s="59">
        <v>215.6</v>
      </c>
      <c r="E3212" s="59"/>
    </row>
    <row r="3213" spans="3:5" x14ac:dyDescent="0.15">
      <c r="C3213" s="255" t="s">
        <v>881</v>
      </c>
      <c r="D3213" s="59">
        <v>0</v>
      </c>
      <c r="E3213" s="59"/>
    </row>
    <row r="3214" spans="3:5" x14ac:dyDescent="0.15">
      <c r="C3214" s="255" t="s">
        <v>882</v>
      </c>
      <c r="D3214" s="59">
        <v>207.8</v>
      </c>
      <c r="E3214" s="59"/>
    </row>
    <row r="3215" spans="3:5" x14ac:dyDescent="0.15">
      <c r="C3215" s="255" t="s">
        <v>883</v>
      </c>
      <c r="D3215" s="59">
        <v>731.1</v>
      </c>
      <c r="E3215" s="59"/>
    </row>
    <row r="3216" spans="3:5" x14ac:dyDescent="0.15">
      <c r="C3216" s="255" t="s">
        <v>884</v>
      </c>
      <c r="D3216" s="59">
        <v>1264</v>
      </c>
      <c r="E3216" s="59"/>
    </row>
    <row r="3217" spans="3:5" x14ac:dyDescent="0.15">
      <c r="C3217" s="255" t="s">
        <v>885</v>
      </c>
      <c r="D3217" s="59">
        <v>727.5</v>
      </c>
      <c r="E3217" s="59"/>
    </row>
    <row r="3218" spans="3:5" x14ac:dyDescent="0.15">
      <c r="C3218" s="255" t="s">
        <v>886</v>
      </c>
      <c r="D3218" s="59">
        <v>44.6</v>
      </c>
      <c r="E3218" s="59"/>
    </row>
    <row r="3219" spans="3:5" x14ac:dyDescent="0.15">
      <c r="C3219" s="255" t="s">
        <v>887</v>
      </c>
      <c r="D3219" s="59">
        <v>121.6</v>
      </c>
      <c r="E3219" s="59"/>
    </row>
    <row r="3220" spans="3:5" x14ac:dyDescent="0.15">
      <c r="C3220" s="255" t="s">
        <v>888</v>
      </c>
      <c r="D3220" s="59">
        <v>181.9</v>
      </c>
      <c r="E3220" s="59"/>
    </row>
    <row r="3221" spans="3:5" x14ac:dyDescent="0.15">
      <c r="C3221" s="255" t="s">
        <v>889</v>
      </c>
      <c r="D3221" s="59">
        <v>206.4</v>
      </c>
      <c r="E3221" s="59"/>
    </row>
    <row r="3222" spans="3:5" x14ac:dyDescent="0.15">
      <c r="C3222" s="255" t="s">
        <v>890</v>
      </c>
      <c r="D3222" s="59">
        <v>3</v>
      </c>
      <c r="E3222" s="59"/>
    </row>
    <row r="3223" spans="3:5" x14ac:dyDescent="0.15">
      <c r="C3223" s="255" t="s">
        <v>891</v>
      </c>
      <c r="D3223" s="59">
        <v>0.5</v>
      </c>
      <c r="E3223" s="59"/>
    </row>
    <row r="3224" spans="3:5" x14ac:dyDescent="0.15">
      <c r="C3224" s="255" t="s">
        <v>892</v>
      </c>
      <c r="D3224" s="59">
        <v>0.2</v>
      </c>
      <c r="E3224" s="59"/>
    </row>
    <row r="3225" spans="3:5" x14ac:dyDescent="0.15">
      <c r="C3225" s="255" t="s">
        <v>893</v>
      </c>
      <c r="D3225" s="59">
        <v>95.3</v>
      </c>
      <c r="E3225" s="59"/>
    </row>
    <row r="3226" spans="3:5" x14ac:dyDescent="0.15">
      <c r="C3226" s="255" t="s">
        <v>894</v>
      </c>
      <c r="D3226" s="59">
        <v>200.9</v>
      </c>
      <c r="E3226" s="59"/>
    </row>
    <row r="3227" spans="3:5" x14ac:dyDescent="0.15">
      <c r="C3227" s="255" t="s">
        <v>895</v>
      </c>
      <c r="D3227" s="59">
        <v>551.4</v>
      </c>
      <c r="E3227" s="59"/>
    </row>
    <row r="3228" spans="3:5" x14ac:dyDescent="0.15">
      <c r="C3228" s="255" t="s">
        <v>896</v>
      </c>
      <c r="D3228" s="59">
        <v>179.9</v>
      </c>
      <c r="E3228" s="59"/>
    </row>
    <row r="3229" spans="3:5" x14ac:dyDescent="0.15">
      <c r="C3229" s="255" t="s">
        <v>897</v>
      </c>
      <c r="D3229" s="59">
        <v>1404.4</v>
      </c>
      <c r="E3229" s="59"/>
    </row>
    <row r="3230" spans="3:5" x14ac:dyDescent="0.15">
      <c r="C3230" s="255" t="s">
        <v>898</v>
      </c>
      <c r="D3230" s="59">
        <v>623.70000000000005</v>
      </c>
      <c r="E3230" s="59"/>
    </row>
    <row r="3231" spans="3:5" x14ac:dyDescent="0.15">
      <c r="C3231" s="255" t="s">
        <v>899</v>
      </c>
      <c r="D3231" s="59">
        <v>390.6</v>
      </c>
      <c r="E3231" s="59"/>
    </row>
    <row r="3232" spans="3:5" x14ac:dyDescent="0.15">
      <c r="C3232" s="255" t="s">
        <v>900</v>
      </c>
      <c r="D3232" s="59">
        <v>730</v>
      </c>
      <c r="E3232" s="59"/>
    </row>
    <row r="3233" spans="3:5" x14ac:dyDescent="0.15">
      <c r="C3233" s="255" t="s">
        <v>901</v>
      </c>
      <c r="D3233" s="59">
        <v>1077</v>
      </c>
      <c r="E3233" s="59"/>
    </row>
    <row r="3234" spans="3:5" x14ac:dyDescent="0.15">
      <c r="C3234" s="255" t="s">
        <v>902</v>
      </c>
      <c r="D3234" s="59">
        <v>6.8</v>
      </c>
      <c r="E3234" s="59"/>
    </row>
    <row r="3235" spans="3:5" x14ac:dyDescent="0.15">
      <c r="C3235" s="255" t="s">
        <v>903</v>
      </c>
      <c r="D3235" s="59">
        <v>1090.4000000000001</v>
      </c>
      <c r="E3235" s="59"/>
    </row>
    <row r="3236" spans="3:5" x14ac:dyDescent="0.15">
      <c r="C3236" s="255" t="s">
        <v>904</v>
      </c>
      <c r="D3236" s="59">
        <v>1607.2</v>
      </c>
      <c r="E3236" s="59"/>
    </row>
    <row r="3237" spans="3:5" x14ac:dyDescent="0.15">
      <c r="C3237" s="255" t="s">
        <v>905</v>
      </c>
      <c r="D3237" s="59">
        <v>434.9</v>
      </c>
      <c r="E3237" s="59"/>
    </row>
    <row r="3238" spans="3:5" x14ac:dyDescent="0.15">
      <c r="C3238" s="255" t="s">
        <v>906</v>
      </c>
      <c r="D3238" s="59">
        <v>202.8</v>
      </c>
      <c r="E3238" s="59"/>
    </row>
    <row r="3239" spans="3:5" x14ac:dyDescent="0.15">
      <c r="C3239" s="255" t="s">
        <v>907</v>
      </c>
      <c r="D3239" s="59">
        <v>1379.5</v>
      </c>
      <c r="E3239" s="59"/>
    </row>
    <row r="3240" spans="3:5" x14ac:dyDescent="0.15">
      <c r="C3240" s="255" t="s">
        <v>908</v>
      </c>
      <c r="D3240" s="59">
        <v>7516.8</v>
      </c>
      <c r="E3240" s="59"/>
    </row>
    <row r="3241" spans="3:5" x14ac:dyDescent="0.15">
      <c r="C3241" s="255" t="s">
        <v>909</v>
      </c>
      <c r="D3241" s="59">
        <v>2046.1</v>
      </c>
      <c r="E3241" s="59"/>
    </row>
    <row r="3242" spans="3:5" x14ac:dyDescent="0.15">
      <c r="C3242" s="255" t="s">
        <v>910</v>
      </c>
      <c r="D3242" s="59">
        <v>10.8</v>
      </c>
      <c r="E3242" s="59"/>
    </row>
    <row r="3243" spans="3:5" x14ac:dyDescent="0.15">
      <c r="C3243" s="255" t="s">
        <v>911</v>
      </c>
      <c r="D3243" s="59">
        <v>161.80000000000001</v>
      </c>
      <c r="E3243" s="59"/>
    </row>
    <row r="3244" spans="3:5" x14ac:dyDescent="0.15">
      <c r="C3244" s="255" t="s">
        <v>912</v>
      </c>
      <c r="D3244" s="59">
        <v>1361.1</v>
      </c>
      <c r="E3244" s="59"/>
    </row>
    <row r="3245" spans="3:5" x14ac:dyDescent="0.15">
      <c r="C3245" s="255" t="s">
        <v>913</v>
      </c>
      <c r="D3245" s="59">
        <v>0</v>
      </c>
      <c r="E3245" s="59"/>
    </row>
    <row r="3246" spans="3:5" x14ac:dyDescent="0.15">
      <c r="C3246" s="255" t="s">
        <v>914</v>
      </c>
      <c r="D3246" s="59">
        <v>0</v>
      </c>
      <c r="E3246" s="59"/>
    </row>
    <row r="3247" spans="3:5" x14ac:dyDescent="0.15">
      <c r="C3247" s="255" t="s">
        <v>915</v>
      </c>
      <c r="D3247" s="59">
        <v>0</v>
      </c>
      <c r="E3247" s="59"/>
    </row>
    <row r="3248" spans="3:5" x14ac:dyDescent="0.15">
      <c r="C3248" s="255" t="s">
        <v>916</v>
      </c>
      <c r="D3248" s="59">
        <v>76.099999999999994</v>
      </c>
      <c r="E3248" s="59"/>
    </row>
    <row r="3249" spans="3:5" x14ac:dyDescent="0.15">
      <c r="C3249" s="255" t="s">
        <v>917</v>
      </c>
      <c r="D3249" s="59">
        <v>19.399999999999999</v>
      </c>
      <c r="E3249" s="59"/>
    </row>
    <row r="3250" spans="3:5" x14ac:dyDescent="0.15">
      <c r="C3250" s="255" t="s">
        <v>918</v>
      </c>
      <c r="D3250" s="59">
        <v>2480.6</v>
      </c>
      <c r="E3250" s="59"/>
    </row>
    <row r="3251" spans="3:5" x14ac:dyDescent="0.15">
      <c r="C3251" s="255" t="s">
        <v>919</v>
      </c>
      <c r="D3251" s="59">
        <v>3.3</v>
      </c>
      <c r="E3251" s="59"/>
    </row>
    <row r="3252" spans="3:5" x14ac:dyDescent="0.15">
      <c r="C3252" s="255" t="s">
        <v>920</v>
      </c>
      <c r="D3252" s="59">
        <v>1357.7</v>
      </c>
      <c r="E3252" s="59"/>
    </row>
    <row r="3253" spans="3:5" x14ac:dyDescent="0.15">
      <c r="C3253" s="255" t="s">
        <v>921</v>
      </c>
      <c r="D3253" s="59">
        <v>0</v>
      </c>
      <c r="E3253" s="59"/>
    </row>
    <row r="3254" spans="3:5" x14ac:dyDescent="0.15">
      <c r="C3254" s="255" t="s">
        <v>922</v>
      </c>
      <c r="D3254" s="59">
        <v>69711.199999999997</v>
      </c>
      <c r="E3254" s="59"/>
    </row>
    <row r="3255" spans="3:5" x14ac:dyDescent="0.15">
      <c r="C3255" s="255" t="s">
        <v>923</v>
      </c>
      <c r="D3255" s="59">
        <v>16026.4</v>
      </c>
      <c r="E3255" s="59"/>
    </row>
    <row r="3256" spans="3:5" x14ac:dyDescent="0.15">
      <c r="C3256" s="255" t="s">
        <v>924</v>
      </c>
      <c r="D3256" s="59">
        <v>8662.9</v>
      </c>
      <c r="E3256" s="59"/>
    </row>
    <row r="3257" spans="3:5" x14ac:dyDescent="0.15">
      <c r="C3257" s="255" t="s">
        <v>925</v>
      </c>
      <c r="D3257" s="59">
        <v>636.6</v>
      </c>
      <c r="E3257" s="59"/>
    </row>
    <row r="3258" spans="3:5" x14ac:dyDescent="0.15">
      <c r="C3258" s="255" t="s">
        <v>926</v>
      </c>
      <c r="D3258" s="59">
        <v>1725.3</v>
      </c>
      <c r="E3258" s="59"/>
    </row>
    <row r="3259" spans="3:5" x14ac:dyDescent="0.15">
      <c r="C3259" s="255" t="s">
        <v>927</v>
      </c>
      <c r="D3259" s="59">
        <v>670.1</v>
      </c>
      <c r="E3259" s="59"/>
    </row>
    <row r="3260" spans="3:5" x14ac:dyDescent="0.15">
      <c r="C3260" s="255" t="s">
        <v>928</v>
      </c>
      <c r="D3260" s="59">
        <v>1085.0999999999999</v>
      </c>
      <c r="E3260" s="59"/>
    </row>
    <row r="3261" spans="3:5" x14ac:dyDescent="0.15">
      <c r="C3261" s="255" t="s">
        <v>929</v>
      </c>
      <c r="D3261" s="59">
        <v>200.5</v>
      </c>
      <c r="E3261" s="59"/>
    </row>
    <row r="3262" spans="3:5" x14ac:dyDescent="0.15">
      <c r="C3262" s="255" t="s">
        <v>930</v>
      </c>
      <c r="D3262" s="59">
        <v>2761.4</v>
      </c>
      <c r="E3262" s="59"/>
    </row>
    <row r="3263" spans="3:5" x14ac:dyDescent="0.15">
      <c r="C3263" s="255" t="s">
        <v>931</v>
      </c>
      <c r="D3263" s="59">
        <v>8771.4</v>
      </c>
      <c r="E3263" s="59"/>
    </row>
    <row r="3264" spans="3:5" x14ac:dyDescent="0.15">
      <c r="C3264" s="255" t="s">
        <v>932</v>
      </c>
      <c r="D3264" s="59">
        <v>0</v>
      </c>
      <c r="E3264" s="59"/>
    </row>
    <row r="3265" spans="3:5" x14ac:dyDescent="0.15">
      <c r="C3265" s="255" t="s">
        <v>933</v>
      </c>
      <c r="D3265" s="59">
        <v>136.5</v>
      </c>
      <c r="E3265" s="59"/>
    </row>
    <row r="3266" spans="3:5" x14ac:dyDescent="0.15">
      <c r="C3266" s="255" t="s">
        <v>934</v>
      </c>
      <c r="D3266" s="59">
        <v>8137.2</v>
      </c>
      <c r="E3266" s="59"/>
    </row>
    <row r="3267" spans="3:5" x14ac:dyDescent="0.15">
      <c r="C3267" s="255" t="s">
        <v>935</v>
      </c>
      <c r="D3267" s="59">
        <v>6297.2</v>
      </c>
      <c r="E3267" s="59"/>
    </row>
    <row r="3268" spans="3:5" x14ac:dyDescent="0.15">
      <c r="C3268" s="255" t="s">
        <v>936</v>
      </c>
      <c r="D3268" s="59">
        <v>5510.2</v>
      </c>
      <c r="E3268" s="59"/>
    </row>
    <row r="3269" spans="3:5" x14ac:dyDescent="0.15">
      <c r="C3269" s="255" t="s">
        <v>937</v>
      </c>
      <c r="D3269" s="59">
        <v>929.3</v>
      </c>
      <c r="E3269" s="59"/>
    </row>
    <row r="3270" spans="3:5" x14ac:dyDescent="0.15">
      <c r="C3270" s="255" t="s">
        <v>938</v>
      </c>
      <c r="D3270" s="59">
        <v>745.2</v>
      </c>
      <c r="E3270" s="59"/>
    </row>
    <row r="3271" spans="3:5" x14ac:dyDescent="0.15">
      <c r="C3271" s="255" t="s">
        <v>939</v>
      </c>
      <c r="D3271" s="59">
        <v>11.2</v>
      </c>
      <c r="E3271" s="59"/>
    </row>
    <row r="3272" spans="3:5" x14ac:dyDescent="0.15">
      <c r="C3272" s="255" t="s">
        <v>940</v>
      </c>
      <c r="D3272" s="59">
        <v>155.5</v>
      </c>
      <c r="E3272" s="59"/>
    </row>
    <row r="3273" spans="3:5" x14ac:dyDescent="0.15">
      <c r="C3273" s="255" t="s">
        <v>941</v>
      </c>
      <c r="D3273" s="59">
        <v>452.9</v>
      </c>
      <c r="E3273" s="59"/>
    </row>
    <row r="3274" spans="3:5" x14ac:dyDescent="0.15">
      <c r="C3274" s="255" t="s">
        <v>942</v>
      </c>
      <c r="D3274" s="59">
        <v>0</v>
      </c>
      <c r="E3274" s="59"/>
    </row>
    <row r="3275" spans="3:5" x14ac:dyDescent="0.15">
      <c r="C3275" s="255" t="s">
        <v>943</v>
      </c>
      <c r="D3275" s="59">
        <v>3051.4</v>
      </c>
      <c r="E3275" s="59"/>
    </row>
    <row r="3276" spans="3:5" x14ac:dyDescent="0.15">
      <c r="C3276" s="255" t="s">
        <v>944</v>
      </c>
      <c r="D3276" s="59">
        <v>844.4</v>
      </c>
      <c r="E3276" s="59"/>
    </row>
    <row r="3277" spans="3:5" x14ac:dyDescent="0.15">
      <c r="C3277" s="255" t="s">
        <v>945</v>
      </c>
      <c r="D3277" s="59">
        <v>2780.7</v>
      </c>
      <c r="E3277" s="59"/>
    </row>
    <row r="3278" spans="3:5" x14ac:dyDescent="0.15">
      <c r="C3278" s="255" t="s">
        <v>946</v>
      </c>
      <c r="D3278" s="59">
        <v>97</v>
      </c>
      <c r="E3278" s="59"/>
    </row>
    <row r="3279" spans="3:5" x14ac:dyDescent="0.15">
      <c r="C3279" s="255" t="s">
        <v>947</v>
      </c>
      <c r="D3279" s="59">
        <v>23</v>
      </c>
      <c r="E3279" s="59"/>
    </row>
    <row r="3280" spans="3:5" x14ac:dyDescent="0.15">
      <c r="C3280" s="255" t="s">
        <v>948</v>
      </c>
      <c r="D3280" s="59">
        <v>11242.6</v>
      </c>
      <c r="E3280" s="59"/>
    </row>
    <row r="3281" spans="3:5" x14ac:dyDescent="0.15">
      <c r="C3281" s="255" t="s">
        <v>949</v>
      </c>
      <c r="D3281" s="59">
        <v>402.4</v>
      </c>
      <c r="E3281" s="59"/>
    </row>
    <row r="3282" spans="3:5" x14ac:dyDescent="0.15">
      <c r="C3282" s="255" t="s">
        <v>950</v>
      </c>
      <c r="D3282" s="59">
        <v>3</v>
      </c>
      <c r="E3282" s="59"/>
    </row>
    <row r="3283" spans="3:5" x14ac:dyDescent="0.15">
      <c r="C3283" s="255" t="s">
        <v>951</v>
      </c>
      <c r="D3283" s="59">
        <v>2360.6</v>
      </c>
      <c r="E3283" s="59"/>
    </row>
    <row r="3284" spans="3:5" x14ac:dyDescent="0.15">
      <c r="C3284" s="255" t="s">
        <v>952</v>
      </c>
      <c r="D3284" s="59">
        <v>116.6</v>
      </c>
      <c r="E3284" s="59"/>
    </row>
    <row r="3285" spans="3:5" x14ac:dyDescent="0.15">
      <c r="C3285" s="255" t="s">
        <v>953</v>
      </c>
      <c r="D3285" s="59">
        <v>187.6</v>
      </c>
      <c r="E3285" s="59"/>
    </row>
    <row r="3286" spans="3:5" x14ac:dyDescent="0.15">
      <c r="C3286" s="255" t="s">
        <v>954</v>
      </c>
      <c r="D3286" s="59">
        <v>3342.1</v>
      </c>
      <c r="E3286" s="59"/>
    </row>
    <row r="3287" spans="3:5" x14ac:dyDescent="0.15">
      <c r="C3287" s="255" t="s">
        <v>955</v>
      </c>
      <c r="D3287" s="59">
        <v>1645.5</v>
      </c>
      <c r="E3287" s="59"/>
    </row>
    <row r="3288" spans="3:5" x14ac:dyDescent="0.15">
      <c r="C3288" s="255" t="s">
        <v>956</v>
      </c>
      <c r="D3288" s="59">
        <v>3184.7</v>
      </c>
      <c r="E3288" s="59"/>
    </row>
    <row r="3289" spans="3:5" x14ac:dyDescent="0.15">
      <c r="C3289" s="255" t="s">
        <v>957</v>
      </c>
      <c r="D3289" s="59">
        <v>41672</v>
      </c>
      <c r="E3289" s="59"/>
    </row>
    <row r="3290" spans="3:5" x14ac:dyDescent="0.15">
      <c r="C3290" s="255" t="s">
        <v>958</v>
      </c>
      <c r="D3290" s="59">
        <v>196.8</v>
      </c>
      <c r="E3290" s="59"/>
    </row>
    <row r="3291" spans="3:5" x14ac:dyDescent="0.15">
      <c r="C3291" s="255" t="s">
        <v>959</v>
      </c>
      <c r="D3291" s="59">
        <v>1583.9</v>
      </c>
      <c r="E3291" s="59"/>
    </row>
    <row r="3292" spans="3:5" x14ac:dyDescent="0.15">
      <c r="C3292" s="255" t="s">
        <v>960</v>
      </c>
      <c r="D3292" s="59">
        <v>149.9</v>
      </c>
      <c r="E3292" s="59"/>
    </row>
    <row r="3293" spans="3:5" x14ac:dyDescent="0.15">
      <c r="C3293" s="255" t="s">
        <v>961</v>
      </c>
      <c r="D3293" s="59">
        <v>101.1</v>
      </c>
      <c r="E3293" s="59"/>
    </row>
    <row r="3294" spans="3:5" x14ac:dyDescent="0.15">
      <c r="C3294" s="255" t="s">
        <v>962</v>
      </c>
      <c r="D3294" s="59">
        <v>13.5</v>
      </c>
      <c r="E3294" s="59"/>
    </row>
    <row r="3295" spans="3:5" x14ac:dyDescent="0.15">
      <c r="C3295" s="255" t="s">
        <v>963</v>
      </c>
      <c r="D3295" s="59">
        <v>1674</v>
      </c>
      <c r="E3295" s="59"/>
    </row>
    <row r="3296" spans="3:5" x14ac:dyDescent="0.15">
      <c r="C3296" s="255" t="s">
        <v>964</v>
      </c>
      <c r="D3296" s="59">
        <v>676.9</v>
      </c>
      <c r="E3296" s="59"/>
    </row>
    <row r="3297" spans="3:5" x14ac:dyDescent="0.15">
      <c r="C3297" s="255" t="s">
        <v>965</v>
      </c>
      <c r="D3297" s="59">
        <v>213</v>
      </c>
      <c r="E3297" s="59"/>
    </row>
    <row r="3298" spans="3:5" x14ac:dyDescent="0.15">
      <c r="C3298" s="255" t="s">
        <v>966</v>
      </c>
      <c r="D3298" s="59">
        <v>21.4</v>
      </c>
      <c r="E3298" s="59"/>
    </row>
    <row r="3299" spans="3:5" x14ac:dyDescent="0.15">
      <c r="C3299" s="255" t="s">
        <v>967</v>
      </c>
      <c r="D3299" s="59">
        <v>191.3</v>
      </c>
      <c r="E3299" s="59"/>
    </row>
    <row r="3300" spans="3:5" x14ac:dyDescent="0.15">
      <c r="C3300" s="255" t="s">
        <v>968</v>
      </c>
      <c r="D3300" s="59">
        <v>0</v>
      </c>
      <c r="E3300" s="59"/>
    </row>
    <row r="3301" spans="3:5" x14ac:dyDescent="0.15">
      <c r="C3301" s="255" t="s">
        <v>969</v>
      </c>
      <c r="D3301" s="59">
        <v>59.8</v>
      </c>
      <c r="E3301" s="59"/>
    </row>
    <row r="3302" spans="3:5" x14ac:dyDescent="0.15">
      <c r="C3302" s="255" t="s">
        <v>970</v>
      </c>
      <c r="D3302" s="59">
        <v>12.3</v>
      </c>
      <c r="E3302" s="59"/>
    </row>
    <row r="3303" spans="3:5" x14ac:dyDescent="0.15">
      <c r="C3303" s="255" t="s">
        <v>971</v>
      </c>
      <c r="D3303" s="59">
        <v>88.1</v>
      </c>
      <c r="E3303" s="59"/>
    </row>
    <row r="3304" spans="3:5" x14ac:dyDescent="0.15">
      <c r="C3304" s="255" t="s">
        <v>972</v>
      </c>
      <c r="D3304" s="59">
        <v>1002.7</v>
      </c>
      <c r="E3304" s="59"/>
    </row>
    <row r="3305" spans="3:5" x14ac:dyDescent="0.15">
      <c r="C3305" s="255" t="s">
        <v>973</v>
      </c>
      <c r="D3305" s="59">
        <v>47.9</v>
      </c>
      <c r="E3305" s="59"/>
    </row>
    <row r="3306" spans="3:5" x14ac:dyDescent="0.15">
      <c r="C3306" s="255" t="s">
        <v>974</v>
      </c>
      <c r="D3306" s="59">
        <v>258.3</v>
      </c>
      <c r="E3306" s="59"/>
    </row>
    <row r="3307" spans="3:5" x14ac:dyDescent="0.15">
      <c r="C3307" s="255" t="s">
        <v>975</v>
      </c>
      <c r="D3307" s="59">
        <v>942</v>
      </c>
      <c r="E3307" s="59"/>
    </row>
    <row r="3308" spans="3:5" x14ac:dyDescent="0.15">
      <c r="C3308" s="255" t="s">
        <v>976</v>
      </c>
      <c r="D3308" s="59">
        <v>9</v>
      </c>
      <c r="E3308" s="59"/>
    </row>
    <row r="3309" spans="3:5" x14ac:dyDescent="0.15">
      <c r="C3309" s="255" t="s">
        <v>977</v>
      </c>
      <c r="D3309" s="59">
        <v>806.8</v>
      </c>
      <c r="E3309" s="59"/>
    </row>
    <row r="3310" spans="3:5" x14ac:dyDescent="0.15">
      <c r="C3310" s="255" t="s">
        <v>978</v>
      </c>
      <c r="D3310" s="59">
        <v>1507.1</v>
      </c>
      <c r="E3310" s="59"/>
    </row>
    <row r="3311" spans="3:5" x14ac:dyDescent="0.15">
      <c r="C3311" s="255" t="s">
        <v>979</v>
      </c>
      <c r="D3311" s="59">
        <v>244.5</v>
      </c>
      <c r="E3311" s="59"/>
    </row>
    <row r="3312" spans="3:5" x14ac:dyDescent="0.15">
      <c r="C3312" s="255" t="s">
        <v>980</v>
      </c>
      <c r="D3312" s="59">
        <v>855.5</v>
      </c>
      <c r="E3312" s="59"/>
    </row>
    <row r="3313" spans="3:5" x14ac:dyDescent="0.15">
      <c r="C3313" s="255" t="s">
        <v>981</v>
      </c>
      <c r="D3313" s="59">
        <v>0</v>
      </c>
      <c r="E3313" s="59"/>
    </row>
    <row r="3314" spans="3:5" x14ac:dyDescent="0.15">
      <c r="C3314" s="255" t="s">
        <v>982</v>
      </c>
      <c r="D3314" s="59">
        <v>538.20000000000005</v>
      </c>
      <c r="E3314" s="59"/>
    </row>
    <row r="3315" spans="3:5" x14ac:dyDescent="0.15">
      <c r="C3315" s="255" t="s">
        <v>983</v>
      </c>
      <c r="D3315" s="59">
        <v>2366.1</v>
      </c>
      <c r="E3315" s="59"/>
    </row>
    <row r="3316" spans="3:5" x14ac:dyDescent="0.15">
      <c r="C3316" s="255" t="s">
        <v>984</v>
      </c>
      <c r="D3316" s="59">
        <v>149.80000000000001</v>
      </c>
      <c r="E3316" s="59"/>
    </row>
    <row r="3317" spans="3:5" x14ac:dyDescent="0.15">
      <c r="C3317" s="255" t="s">
        <v>985</v>
      </c>
      <c r="D3317" s="59">
        <v>1279.4000000000001</v>
      </c>
      <c r="E3317" s="59"/>
    </row>
    <row r="3318" spans="3:5" x14ac:dyDescent="0.15">
      <c r="C3318" s="255" t="s">
        <v>986</v>
      </c>
      <c r="D3318" s="59">
        <v>782</v>
      </c>
      <c r="E3318" s="59"/>
    </row>
    <row r="3319" spans="3:5" x14ac:dyDescent="0.15">
      <c r="C3319" s="255" t="s">
        <v>987</v>
      </c>
      <c r="D3319" s="59">
        <v>629.9</v>
      </c>
      <c r="E3319" s="59"/>
    </row>
    <row r="3320" spans="3:5" x14ac:dyDescent="0.15">
      <c r="C3320" s="255" t="s">
        <v>988</v>
      </c>
      <c r="D3320" s="59">
        <v>2549.4</v>
      </c>
      <c r="E3320" s="59"/>
    </row>
    <row r="3321" spans="3:5" x14ac:dyDescent="0.15">
      <c r="C3321" s="255" t="s">
        <v>989</v>
      </c>
      <c r="D3321" s="59">
        <v>2287.6</v>
      </c>
      <c r="E3321" s="59"/>
    </row>
    <row r="3322" spans="3:5" x14ac:dyDescent="0.15">
      <c r="C3322" s="255" t="s">
        <v>990</v>
      </c>
      <c r="D3322" s="59">
        <v>463.4</v>
      </c>
      <c r="E3322" s="59"/>
    </row>
    <row r="3323" spans="3:5" x14ac:dyDescent="0.15">
      <c r="C3323" s="255" t="s">
        <v>991</v>
      </c>
      <c r="D3323" s="59">
        <v>6347.7</v>
      </c>
      <c r="E3323" s="59"/>
    </row>
    <row r="3324" spans="3:5" x14ac:dyDescent="0.15">
      <c r="C3324" s="255" t="s">
        <v>992</v>
      </c>
      <c r="D3324" s="59">
        <v>28.7</v>
      </c>
      <c r="E3324" s="59"/>
    </row>
    <row r="3325" spans="3:5" x14ac:dyDescent="0.15">
      <c r="C3325" s="255" t="s">
        <v>993</v>
      </c>
      <c r="D3325" s="59">
        <v>200.2</v>
      </c>
      <c r="E3325" s="59"/>
    </row>
    <row r="3326" spans="3:5" x14ac:dyDescent="0.15">
      <c r="C3326" s="255" t="s">
        <v>994</v>
      </c>
      <c r="D3326" s="59">
        <v>0</v>
      </c>
      <c r="E3326" s="59"/>
    </row>
    <row r="3327" spans="3:5" x14ac:dyDescent="0.15">
      <c r="C3327" s="255" t="s">
        <v>995</v>
      </c>
      <c r="D3327" s="59">
        <v>624.4</v>
      </c>
      <c r="E3327" s="59"/>
    </row>
    <row r="3328" spans="3:5" x14ac:dyDescent="0.15">
      <c r="C3328" s="255" t="s">
        <v>996</v>
      </c>
      <c r="D3328" s="59">
        <v>853.1</v>
      </c>
      <c r="E3328" s="59"/>
    </row>
    <row r="3329" spans="3:5" x14ac:dyDescent="0.15">
      <c r="C3329" s="255" t="s">
        <v>997</v>
      </c>
      <c r="D3329" s="59">
        <v>551.79999999999995</v>
      </c>
      <c r="E3329" s="59"/>
    </row>
    <row r="3330" spans="3:5" x14ac:dyDescent="0.15">
      <c r="C3330" s="255" t="s">
        <v>998</v>
      </c>
      <c r="D3330" s="59">
        <v>122.7</v>
      </c>
      <c r="E3330" s="59"/>
    </row>
    <row r="3331" spans="3:5" x14ac:dyDescent="0.15">
      <c r="C3331" s="255" t="s">
        <v>999</v>
      </c>
      <c r="D3331" s="59">
        <v>0.8</v>
      </c>
      <c r="E3331" s="59"/>
    </row>
    <row r="3332" spans="3:5" x14ac:dyDescent="0.15">
      <c r="C3332" s="255" t="s">
        <v>1000</v>
      </c>
      <c r="D3332" s="59">
        <v>1390.7</v>
      </c>
      <c r="E3332" s="59"/>
    </row>
    <row r="3333" spans="3:5" x14ac:dyDescent="0.15">
      <c r="C3333" s="255" t="s">
        <v>1001</v>
      </c>
      <c r="D3333" s="59">
        <v>386</v>
      </c>
      <c r="E3333" s="59"/>
    </row>
    <row r="3334" spans="3:5" x14ac:dyDescent="0.15">
      <c r="C3334" s="255" t="s">
        <v>1002</v>
      </c>
      <c r="D3334" s="59">
        <v>294.39999999999998</v>
      </c>
      <c r="E3334" s="59"/>
    </row>
    <row r="3335" spans="3:5" x14ac:dyDescent="0.15">
      <c r="C3335" s="255" t="s">
        <v>1003</v>
      </c>
      <c r="D3335" s="59">
        <v>201.6</v>
      </c>
      <c r="E3335" s="59"/>
    </row>
    <row r="3336" spans="3:5" x14ac:dyDescent="0.15">
      <c r="C3336" s="255" t="s">
        <v>1004</v>
      </c>
      <c r="D3336" s="59">
        <v>138.69999999999999</v>
      </c>
      <c r="E3336" s="59"/>
    </row>
    <row r="3337" spans="3:5" x14ac:dyDescent="0.15">
      <c r="C3337" s="255" t="s">
        <v>1005</v>
      </c>
      <c r="D3337" s="59">
        <v>15.1</v>
      </c>
      <c r="E3337" s="59"/>
    </row>
    <row r="3338" spans="3:5" x14ac:dyDescent="0.15">
      <c r="C3338" s="255" t="s">
        <v>1006</v>
      </c>
      <c r="D3338" s="59">
        <v>8814.5</v>
      </c>
      <c r="E3338" s="59"/>
    </row>
    <row r="3339" spans="3:5" x14ac:dyDescent="0.15">
      <c r="C3339" s="255" t="s">
        <v>1007</v>
      </c>
      <c r="D3339" s="59">
        <v>2377.5</v>
      </c>
      <c r="E3339" s="59"/>
    </row>
    <row r="3340" spans="3:5" x14ac:dyDescent="0.15">
      <c r="C3340" s="255" t="s">
        <v>1008</v>
      </c>
      <c r="D3340" s="59">
        <v>1375.8</v>
      </c>
      <c r="E3340" s="59"/>
    </row>
    <row r="3341" spans="3:5" x14ac:dyDescent="0.15">
      <c r="C3341" s="255" t="s">
        <v>1009</v>
      </c>
      <c r="D3341" s="59">
        <v>465.1</v>
      </c>
      <c r="E3341" s="59"/>
    </row>
    <row r="3342" spans="3:5" x14ac:dyDescent="0.15">
      <c r="C3342" s="255" t="s">
        <v>1010</v>
      </c>
      <c r="D3342" s="59">
        <v>209.1</v>
      </c>
      <c r="E3342" s="59"/>
    </row>
    <row r="3343" spans="3:5" x14ac:dyDescent="0.15">
      <c r="C3343" s="255" t="s">
        <v>1011</v>
      </c>
      <c r="D3343" s="59">
        <v>327.5</v>
      </c>
      <c r="E3343" s="59"/>
    </row>
    <row r="3344" spans="3:5" x14ac:dyDescent="0.15">
      <c r="C3344" s="255" t="s">
        <v>1012</v>
      </c>
      <c r="D3344" s="59">
        <v>29602.6</v>
      </c>
      <c r="E3344" s="59"/>
    </row>
    <row r="3345" spans="3:5" x14ac:dyDescent="0.15">
      <c r="C3345" s="255" t="s">
        <v>1013</v>
      </c>
      <c r="D3345" s="59">
        <v>15515.4</v>
      </c>
      <c r="E3345" s="59"/>
    </row>
    <row r="3346" spans="3:5" x14ac:dyDescent="0.15">
      <c r="C3346" s="255" t="s">
        <v>1014</v>
      </c>
      <c r="D3346" s="59">
        <v>5131.1000000000004</v>
      </c>
      <c r="E3346" s="59"/>
    </row>
    <row r="3347" spans="3:5" x14ac:dyDescent="0.15">
      <c r="C3347" s="255" t="s">
        <v>1015</v>
      </c>
      <c r="D3347" s="59">
        <v>1603</v>
      </c>
      <c r="E3347" s="59"/>
    </row>
    <row r="3348" spans="3:5" x14ac:dyDescent="0.15">
      <c r="C3348" s="255" t="s">
        <v>1016</v>
      </c>
      <c r="D3348" s="59">
        <v>3610.2</v>
      </c>
      <c r="E3348" s="59"/>
    </row>
    <row r="3349" spans="3:5" x14ac:dyDescent="0.15">
      <c r="C3349" s="255" t="s">
        <v>1017</v>
      </c>
      <c r="D3349" s="59">
        <v>3703.3</v>
      </c>
      <c r="E3349" s="59"/>
    </row>
    <row r="3350" spans="3:5" x14ac:dyDescent="0.15">
      <c r="C3350" s="255" t="s">
        <v>1018</v>
      </c>
      <c r="D3350" s="59">
        <v>39.6</v>
      </c>
      <c r="E3350" s="59"/>
    </row>
    <row r="3351" spans="3:5" x14ac:dyDescent="0.15">
      <c r="C3351" s="255" t="s">
        <v>1019</v>
      </c>
      <c r="D3351" s="59">
        <v>42488.2</v>
      </c>
      <c r="E3351" s="59"/>
    </row>
    <row r="3352" spans="3:5" x14ac:dyDescent="0.15">
      <c r="C3352" s="255" t="s">
        <v>1020</v>
      </c>
      <c r="D3352" s="59">
        <v>846.2</v>
      </c>
      <c r="E3352" s="59"/>
    </row>
    <row r="3353" spans="3:5" x14ac:dyDescent="0.15">
      <c r="C3353" s="255" t="s">
        <v>1021</v>
      </c>
      <c r="D3353" s="59">
        <v>2224.8000000000002</v>
      </c>
      <c r="E3353" s="59"/>
    </row>
    <row r="3354" spans="3:5" x14ac:dyDescent="0.15">
      <c r="C3354" s="255" t="s">
        <v>1022</v>
      </c>
      <c r="D3354" s="59">
        <v>442.1</v>
      </c>
      <c r="E3354" s="59"/>
    </row>
    <row r="3355" spans="3:5" x14ac:dyDescent="0.15">
      <c r="C3355" s="255" t="s">
        <v>1023</v>
      </c>
      <c r="D3355" s="59">
        <v>290.8</v>
      </c>
      <c r="E3355" s="59"/>
    </row>
    <row r="3356" spans="3:5" x14ac:dyDescent="0.15">
      <c r="C3356" s="255" t="s">
        <v>1024</v>
      </c>
      <c r="D3356" s="59">
        <v>91.1</v>
      </c>
      <c r="E3356" s="59"/>
    </row>
    <row r="3357" spans="3:5" x14ac:dyDescent="0.15">
      <c r="C3357" s="255" t="s">
        <v>1025</v>
      </c>
      <c r="D3357" s="59">
        <v>391.8</v>
      </c>
      <c r="E3357" s="59"/>
    </row>
    <row r="3358" spans="3:5" x14ac:dyDescent="0.15">
      <c r="C3358" s="255" t="s">
        <v>1026</v>
      </c>
      <c r="D3358" s="59">
        <v>5015.3</v>
      </c>
      <c r="E3358" s="59"/>
    </row>
    <row r="3359" spans="3:5" x14ac:dyDescent="0.15">
      <c r="C3359" s="255" t="s">
        <v>1027</v>
      </c>
      <c r="D3359" s="59">
        <v>0</v>
      </c>
      <c r="E3359" s="59"/>
    </row>
    <row r="3360" spans="3:5" x14ac:dyDescent="0.15">
      <c r="C3360" s="255" t="s">
        <v>1028</v>
      </c>
      <c r="D3360" s="59">
        <v>935.3</v>
      </c>
      <c r="E3360" s="59"/>
    </row>
    <row r="3361" spans="3:5" x14ac:dyDescent="0.15">
      <c r="C3361" s="255" t="s">
        <v>1029</v>
      </c>
      <c r="D3361" s="59">
        <v>449.8</v>
      </c>
      <c r="E3361" s="59"/>
    </row>
    <row r="3362" spans="3:5" x14ac:dyDescent="0.15">
      <c r="C3362" s="255" t="s">
        <v>1030</v>
      </c>
      <c r="D3362" s="59">
        <v>4.2</v>
      </c>
      <c r="E3362" s="59"/>
    </row>
    <row r="3363" spans="3:5" x14ac:dyDescent="0.15">
      <c r="C3363" s="255" t="s">
        <v>1031</v>
      </c>
      <c r="D3363" s="59">
        <v>1026</v>
      </c>
      <c r="E3363" s="59"/>
    </row>
    <row r="3364" spans="3:5" x14ac:dyDescent="0.15">
      <c r="C3364" s="255" t="s">
        <v>1032</v>
      </c>
      <c r="D3364" s="59">
        <v>136.1</v>
      </c>
      <c r="E3364" s="59"/>
    </row>
    <row r="3365" spans="3:5" x14ac:dyDescent="0.15">
      <c r="C3365" s="255" t="s">
        <v>1033</v>
      </c>
      <c r="D3365" s="59">
        <v>0</v>
      </c>
      <c r="E3365" s="59"/>
    </row>
    <row r="3366" spans="3:5" x14ac:dyDescent="0.15">
      <c r="C3366" s="255" t="s">
        <v>1034</v>
      </c>
      <c r="D3366" s="59">
        <v>88</v>
      </c>
      <c r="E3366" s="59"/>
    </row>
    <row r="3367" spans="3:5" x14ac:dyDescent="0.15">
      <c r="C3367" s="255" t="s">
        <v>1035</v>
      </c>
      <c r="D3367" s="59">
        <v>7568.2</v>
      </c>
      <c r="E3367" s="59"/>
    </row>
    <row r="3368" spans="3:5" x14ac:dyDescent="0.15">
      <c r="C3368" s="255" t="s">
        <v>1036</v>
      </c>
      <c r="D3368" s="59">
        <v>0</v>
      </c>
      <c r="E3368" s="59"/>
    </row>
    <row r="3369" spans="3:5" x14ac:dyDescent="0.15">
      <c r="C3369" s="255" t="s">
        <v>1037</v>
      </c>
      <c r="D3369" s="59">
        <v>1283.4000000000001</v>
      </c>
      <c r="E3369" s="59"/>
    </row>
    <row r="3370" spans="3:5" x14ac:dyDescent="0.15">
      <c r="C3370" s="255" t="s">
        <v>1038</v>
      </c>
      <c r="D3370" s="59">
        <v>6865.5</v>
      </c>
      <c r="E3370" s="59"/>
    </row>
    <row r="3371" spans="3:5" x14ac:dyDescent="0.15">
      <c r="C3371" s="255" t="s">
        <v>1039</v>
      </c>
      <c r="D3371" s="59">
        <v>1680.3</v>
      </c>
      <c r="E3371" s="59"/>
    </row>
    <row r="3372" spans="3:5" x14ac:dyDescent="0.15">
      <c r="C3372" s="255" t="s">
        <v>1040</v>
      </c>
      <c r="D3372" s="59">
        <v>7315.5</v>
      </c>
      <c r="E3372" s="59"/>
    </row>
    <row r="3373" spans="3:5" x14ac:dyDescent="0.15">
      <c r="C3373" s="255" t="s">
        <v>1041</v>
      </c>
      <c r="D3373" s="59">
        <v>605.79999999999995</v>
      </c>
      <c r="E3373" s="59"/>
    </row>
    <row r="3374" spans="3:5" x14ac:dyDescent="0.15">
      <c r="C3374" s="255" t="s">
        <v>1042</v>
      </c>
      <c r="D3374" s="59">
        <v>4030.9</v>
      </c>
      <c r="E3374" s="59"/>
    </row>
    <row r="3375" spans="3:5" x14ac:dyDescent="0.15">
      <c r="C3375" s="255" t="s">
        <v>1043</v>
      </c>
      <c r="D3375" s="59">
        <v>673.5</v>
      </c>
      <c r="E3375" s="59"/>
    </row>
    <row r="3376" spans="3:5" x14ac:dyDescent="0.15">
      <c r="C3376" s="255" t="s">
        <v>1044</v>
      </c>
      <c r="D3376" s="59">
        <v>139.9</v>
      </c>
      <c r="E3376" s="59"/>
    </row>
    <row r="3377" spans="2:5" x14ac:dyDescent="0.15">
      <c r="C3377" s="255" t="s">
        <v>1045</v>
      </c>
      <c r="D3377" s="59">
        <v>75.8</v>
      </c>
      <c r="E3377" s="59"/>
    </row>
    <row r="3378" spans="2:5" x14ac:dyDescent="0.15">
      <c r="C3378" s="255" t="s">
        <v>1046</v>
      </c>
      <c r="D3378" s="59">
        <v>228.6</v>
      </c>
      <c r="E3378" s="59"/>
    </row>
    <row r="3379" spans="2:5" x14ac:dyDescent="0.15">
      <c r="C3379" s="255" t="s">
        <v>1047</v>
      </c>
      <c r="D3379" s="59">
        <v>43.9</v>
      </c>
      <c r="E3379" s="59"/>
    </row>
    <row r="3380" spans="2:5" x14ac:dyDescent="0.15">
      <c r="C3380" s="255" t="s">
        <v>1048</v>
      </c>
      <c r="D3380" s="59">
        <v>35.5</v>
      </c>
      <c r="E3380" s="59"/>
    </row>
    <row r="3381" spans="2:5" x14ac:dyDescent="0.15">
      <c r="B3381" s="255" t="s">
        <v>1055</v>
      </c>
      <c r="C3381" s="255" t="s">
        <v>743</v>
      </c>
      <c r="D3381" s="59">
        <v>303</v>
      </c>
      <c r="E3381" s="59"/>
    </row>
    <row r="3382" spans="2:5" x14ac:dyDescent="0.15">
      <c r="C3382" s="255" t="s">
        <v>744</v>
      </c>
      <c r="D3382" s="59">
        <v>284.8</v>
      </c>
      <c r="E3382" s="59"/>
    </row>
    <row r="3383" spans="2:5" x14ac:dyDescent="0.15">
      <c r="C3383" s="255" t="s">
        <v>745</v>
      </c>
      <c r="D3383" s="59">
        <v>749</v>
      </c>
      <c r="E3383" s="59"/>
    </row>
    <row r="3384" spans="2:5" x14ac:dyDescent="0.15">
      <c r="C3384" s="255" t="s">
        <v>746</v>
      </c>
      <c r="D3384" s="59">
        <v>2.6</v>
      </c>
      <c r="E3384" s="59"/>
    </row>
    <row r="3385" spans="2:5" x14ac:dyDescent="0.15">
      <c r="C3385" s="255" t="s">
        <v>747</v>
      </c>
      <c r="D3385" s="59">
        <v>1.9</v>
      </c>
      <c r="E3385" s="59"/>
    </row>
    <row r="3386" spans="2:5" x14ac:dyDescent="0.15">
      <c r="C3386" s="255" t="s">
        <v>748</v>
      </c>
      <c r="D3386" s="59">
        <v>0.8</v>
      </c>
      <c r="E3386" s="59"/>
    </row>
    <row r="3387" spans="2:5" x14ac:dyDescent="0.15">
      <c r="C3387" s="255" t="s">
        <v>749</v>
      </c>
      <c r="D3387" s="59">
        <v>0.6</v>
      </c>
      <c r="E3387" s="59"/>
    </row>
    <row r="3388" spans="2:5" x14ac:dyDescent="0.15">
      <c r="C3388" s="255" t="s">
        <v>750</v>
      </c>
      <c r="D3388" s="59">
        <v>0.6</v>
      </c>
      <c r="E3388" s="59"/>
    </row>
    <row r="3389" spans="2:5" x14ac:dyDescent="0.15">
      <c r="C3389" s="255" t="s">
        <v>751</v>
      </c>
      <c r="D3389" s="59">
        <v>44.5</v>
      </c>
      <c r="E3389" s="59"/>
    </row>
    <row r="3390" spans="2:5" x14ac:dyDescent="0.15">
      <c r="C3390" s="255" t="s">
        <v>752</v>
      </c>
      <c r="D3390" s="59">
        <v>1.7</v>
      </c>
      <c r="E3390" s="59"/>
    </row>
    <row r="3391" spans="2:5" x14ac:dyDescent="0.15">
      <c r="C3391" s="255" t="s">
        <v>753</v>
      </c>
      <c r="D3391" s="59">
        <v>120.8</v>
      </c>
      <c r="E3391" s="59"/>
    </row>
    <row r="3392" spans="2:5" x14ac:dyDescent="0.15">
      <c r="C3392" s="255" t="s">
        <v>754</v>
      </c>
      <c r="D3392" s="59">
        <v>1952.9</v>
      </c>
      <c r="E3392" s="59"/>
    </row>
    <row r="3393" spans="3:5" x14ac:dyDescent="0.15">
      <c r="C3393" s="255" t="s">
        <v>192</v>
      </c>
      <c r="D3393" s="59">
        <v>369611.4</v>
      </c>
      <c r="E3393" s="59"/>
    </row>
    <row r="3394" spans="3:5" x14ac:dyDescent="0.15">
      <c r="C3394" s="255" t="s">
        <v>755</v>
      </c>
      <c r="D3394" s="59">
        <v>43135.3</v>
      </c>
      <c r="E3394" s="59"/>
    </row>
    <row r="3395" spans="3:5" x14ac:dyDescent="0.15">
      <c r="C3395" s="255" t="s">
        <v>756</v>
      </c>
      <c r="D3395" s="59">
        <v>149.6</v>
      </c>
      <c r="E3395" s="59"/>
    </row>
    <row r="3396" spans="3:5" x14ac:dyDescent="0.15">
      <c r="C3396" s="255" t="s">
        <v>757</v>
      </c>
      <c r="D3396" s="59">
        <v>168.1</v>
      </c>
      <c r="E3396" s="59"/>
    </row>
    <row r="3397" spans="3:5" x14ac:dyDescent="0.15">
      <c r="C3397" s="255" t="s">
        <v>758</v>
      </c>
      <c r="D3397" s="59">
        <v>2622.1</v>
      </c>
      <c r="E3397" s="59"/>
    </row>
    <row r="3398" spans="3:5" x14ac:dyDescent="0.15">
      <c r="C3398" s="255" t="s">
        <v>759</v>
      </c>
      <c r="D3398" s="59">
        <v>1554.1</v>
      </c>
      <c r="E3398" s="59"/>
    </row>
    <row r="3399" spans="3:5" x14ac:dyDescent="0.15">
      <c r="C3399" s="255" t="s">
        <v>760</v>
      </c>
      <c r="D3399" s="59">
        <v>170.2</v>
      </c>
      <c r="E3399" s="59"/>
    </row>
    <row r="3400" spans="3:5" x14ac:dyDescent="0.15">
      <c r="C3400" s="255" t="s">
        <v>761</v>
      </c>
      <c r="D3400" s="59">
        <v>461.5</v>
      </c>
      <c r="E3400" s="59"/>
    </row>
    <row r="3401" spans="3:5" x14ac:dyDescent="0.15">
      <c r="C3401" s="255" t="s">
        <v>762</v>
      </c>
      <c r="D3401" s="59">
        <v>547.20000000000005</v>
      </c>
      <c r="E3401" s="59"/>
    </row>
    <row r="3402" spans="3:5" x14ac:dyDescent="0.15">
      <c r="C3402" s="255" t="s">
        <v>763</v>
      </c>
      <c r="D3402" s="59">
        <v>195.2</v>
      </c>
      <c r="E3402" s="59"/>
    </row>
    <row r="3403" spans="3:5" x14ac:dyDescent="0.15">
      <c r="C3403" s="255" t="s">
        <v>764</v>
      </c>
      <c r="D3403" s="59">
        <v>2557</v>
      </c>
      <c r="E3403" s="59"/>
    </row>
    <row r="3404" spans="3:5" x14ac:dyDescent="0.15">
      <c r="C3404" s="255" t="s">
        <v>765</v>
      </c>
      <c r="D3404" s="59">
        <v>1209.3</v>
      </c>
      <c r="E3404" s="59"/>
    </row>
    <row r="3405" spans="3:5" x14ac:dyDescent="0.15">
      <c r="C3405" s="255" t="s">
        <v>766</v>
      </c>
      <c r="D3405" s="59">
        <v>80.900000000000006</v>
      </c>
      <c r="E3405" s="59"/>
    </row>
    <row r="3406" spans="3:5" x14ac:dyDescent="0.15">
      <c r="C3406" s="255" t="s">
        <v>767</v>
      </c>
      <c r="D3406" s="59">
        <v>1227.9000000000001</v>
      </c>
      <c r="E3406" s="59"/>
    </row>
    <row r="3407" spans="3:5" x14ac:dyDescent="0.15">
      <c r="C3407" s="255" t="s">
        <v>768</v>
      </c>
      <c r="D3407" s="59">
        <v>45.8</v>
      </c>
      <c r="E3407" s="59"/>
    </row>
    <row r="3408" spans="3:5" x14ac:dyDescent="0.15">
      <c r="C3408" s="255" t="s">
        <v>769</v>
      </c>
      <c r="D3408" s="59">
        <v>18.2</v>
      </c>
      <c r="E3408" s="59"/>
    </row>
    <row r="3409" spans="3:5" x14ac:dyDescent="0.15">
      <c r="C3409" s="255" t="s">
        <v>770</v>
      </c>
      <c r="D3409" s="59">
        <v>1998.4</v>
      </c>
      <c r="E3409" s="59"/>
    </row>
    <row r="3410" spans="3:5" x14ac:dyDescent="0.15">
      <c r="C3410" s="255" t="s">
        <v>771</v>
      </c>
      <c r="D3410" s="59">
        <v>1669.9</v>
      </c>
      <c r="E3410" s="59"/>
    </row>
    <row r="3411" spans="3:5" x14ac:dyDescent="0.15">
      <c r="C3411" s="255" t="s">
        <v>772</v>
      </c>
      <c r="D3411" s="59">
        <v>436.1</v>
      </c>
      <c r="E3411" s="59"/>
    </row>
    <row r="3412" spans="3:5" x14ac:dyDescent="0.15">
      <c r="C3412" s="255" t="s">
        <v>773</v>
      </c>
      <c r="D3412" s="59">
        <v>104.8</v>
      </c>
      <c r="E3412" s="59"/>
    </row>
    <row r="3413" spans="3:5" x14ac:dyDescent="0.15">
      <c r="C3413" s="255" t="s">
        <v>774</v>
      </c>
      <c r="D3413" s="59">
        <v>117.2</v>
      </c>
      <c r="E3413" s="59"/>
    </row>
    <row r="3414" spans="3:5" x14ac:dyDescent="0.15">
      <c r="C3414" s="255" t="s">
        <v>775</v>
      </c>
      <c r="D3414" s="59">
        <v>116.8</v>
      </c>
      <c r="E3414" s="59"/>
    </row>
    <row r="3415" spans="3:5" x14ac:dyDescent="0.15">
      <c r="C3415" s="255" t="s">
        <v>776</v>
      </c>
      <c r="D3415" s="59">
        <v>259.39999999999998</v>
      </c>
      <c r="E3415" s="59"/>
    </row>
    <row r="3416" spans="3:5" x14ac:dyDescent="0.15">
      <c r="C3416" s="255" t="s">
        <v>777</v>
      </c>
      <c r="D3416" s="59">
        <v>777.6</v>
      </c>
      <c r="E3416" s="59"/>
    </row>
    <row r="3417" spans="3:5" x14ac:dyDescent="0.15">
      <c r="C3417" s="255" t="s">
        <v>778</v>
      </c>
      <c r="D3417" s="59">
        <v>441.2</v>
      </c>
      <c r="E3417" s="59"/>
    </row>
    <row r="3418" spans="3:5" x14ac:dyDescent="0.15">
      <c r="C3418" s="255" t="s">
        <v>779</v>
      </c>
      <c r="D3418" s="59">
        <v>744.1</v>
      </c>
      <c r="E3418" s="59"/>
    </row>
    <row r="3419" spans="3:5" x14ac:dyDescent="0.15">
      <c r="C3419" s="255" t="s">
        <v>780</v>
      </c>
      <c r="D3419" s="59">
        <v>7</v>
      </c>
      <c r="E3419" s="59"/>
    </row>
    <row r="3420" spans="3:5" x14ac:dyDescent="0.15">
      <c r="C3420" s="255" t="s">
        <v>781</v>
      </c>
      <c r="D3420" s="59">
        <v>932.7</v>
      </c>
      <c r="E3420" s="59"/>
    </row>
    <row r="3421" spans="3:5" x14ac:dyDescent="0.15">
      <c r="C3421" s="255" t="s">
        <v>782</v>
      </c>
      <c r="D3421" s="59">
        <v>2339.1</v>
      </c>
      <c r="E3421" s="59"/>
    </row>
    <row r="3422" spans="3:5" x14ac:dyDescent="0.15">
      <c r="C3422" s="255" t="s">
        <v>783</v>
      </c>
      <c r="D3422" s="59">
        <v>840.8</v>
      </c>
      <c r="E3422" s="59"/>
    </row>
    <row r="3423" spans="3:5" x14ac:dyDescent="0.15">
      <c r="C3423" s="255" t="s">
        <v>784</v>
      </c>
      <c r="D3423" s="59">
        <v>706.4</v>
      </c>
      <c r="E3423" s="59"/>
    </row>
    <row r="3424" spans="3:5" x14ac:dyDescent="0.15">
      <c r="C3424" s="255" t="s">
        <v>785</v>
      </c>
      <c r="D3424" s="59">
        <v>578.5</v>
      </c>
      <c r="E3424" s="59"/>
    </row>
    <row r="3425" spans="3:5" x14ac:dyDescent="0.15">
      <c r="C3425" s="255" t="s">
        <v>786</v>
      </c>
      <c r="D3425" s="59">
        <v>109</v>
      </c>
      <c r="E3425" s="59"/>
    </row>
    <row r="3426" spans="3:5" x14ac:dyDescent="0.15">
      <c r="C3426" s="255" t="s">
        <v>787</v>
      </c>
      <c r="D3426" s="59">
        <v>187.3</v>
      </c>
      <c r="E3426" s="59"/>
    </row>
    <row r="3427" spans="3:5" x14ac:dyDescent="0.15">
      <c r="C3427" s="255" t="s">
        <v>788</v>
      </c>
      <c r="D3427" s="59">
        <v>95.7</v>
      </c>
      <c r="E3427" s="59"/>
    </row>
    <row r="3428" spans="3:5" x14ac:dyDescent="0.15">
      <c r="C3428" s="255" t="s">
        <v>789</v>
      </c>
      <c r="D3428" s="59">
        <v>3.6</v>
      </c>
      <c r="E3428" s="59"/>
    </row>
    <row r="3429" spans="3:5" x14ac:dyDescent="0.15">
      <c r="C3429" s="255" t="s">
        <v>790</v>
      </c>
      <c r="D3429" s="59">
        <v>2604.3000000000002</v>
      </c>
      <c r="E3429" s="59"/>
    </row>
    <row r="3430" spans="3:5" x14ac:dyDescent="0.15">
      <c r="C3430" s="255" t="s">
        <v>791</v>
      </c>
      <c r="D3430" s="59">
        <v>76.900000000000006</v>
      </c>
      <c r="E3430" s="59"/>
    </row>
    <row r="3431" spans="3:5" x14ac:dyDescent="0.15">
      <c r="C3431" s="255" t="s">
        <v>792</v>
      </c>
      <c r="D3431" s="59">
        <v>1071.7</v>
      </c>
      <c r="E3431" s="59"/>
    </row>
    <row r="3432" spans="3:5" x14ac:dyDescent="0.15">
      <c r="C3432" s="255" t="s">
        <v>793</v>
      </c>
      <c r="D3432" s="59">
        <v>239.1</v>
      </c>
      <c r="E3432" s="59"/>
    </row>
    <row r="3433" spans="3:5" x14ac:dyDescent="0.15">
      <c r="C3433" s="255" t="s">
        <v>794</v>
      </c>
      <c r="D3433" s="59">
        <v>3042.8</v>
      </c>
      <c r="E3433" s="59"/>
    </row>
    <row r="3434" spans="3:5" x14ac:dyDescent="0.15">
      <c r="C3434" s="255" t="s">
        <v>795</v>
      </c>
      <c r="D3434" s="59">
        <v>266.3</v>
      </c>
      <c r="E3434" s="59"/>
    </row>
    <row r="3435" spans="3:5" x14ac:dyDescent="0.15">
      <c r="C3435" s="255" t="s">
        <v>796</v>
      </c>
      <c r="D3435" s="59">
        <v>619.20000000000005</v>
      </c>
      <c r="E3435" s="59"/>
    </row>
    <row r="3436" spans="3:5" x14ac:dyDescent="0.15">
      <c r="C3436" s="255" t="s">
        <v>797</v>
      </c>
      <c r="D3436" s="59">
        <v>653</v>
      </c>
      <c r="E3436" s="59"/>
    </row>
    <row r="3437" spans="3:5" x14ac:dyDescent="0.15">
      <c r="C3437" s="255" t="s">
        <v>798</v>
      </c>
      <c r="D3437" s="59">
        <v>426.9</v>
      </c>
      <c r="E3437" s="59"/>
    </row>
    <row r="3438" spans="3:5" x14ac:dyDescent="0.15">
      <c r="C3438" s="255" t="s">
        <v>799</v>
      </c>
      <c r="D3438" s="59">
        <v>130.4</v>
      </c>
      <c r="E3438" s="59"/>
    </row>
    <row r="3439" spans="3:5" x14ac:dyDescent="0.15">
      <c r="C3439" s="255" t="s">
        <v>800</v>
      </c>
      <c r="D3439" s="59">
        <v>117.8</v>
      </c>
      <c r="E3439" s="59"/>
    </row>
    <row r="3440" spans="3:5" x14ac:dyDescent="0.15">
      <c r="C3440" s="255" t="s">
        <v>801</v>
      </c>
      <c r="D3440" s="59">
        <v>274.89999999999998</v>
      </c>
      <c r="E3440" s="59"/>
    </row>
    <row r="3441" spans="3:5" x14ac:dyDescent="0.15">
      <c r="C3441" s="255" t="s">
        <v>802</v>
      </c>
      <c r="D3441" s="59">
        <v>1301.8</v>
      </c>
      <c r="E3441" s="59"/>
    </row>
    <row r="3442" spans="3:5" x14ac:dyDescent="0.15">
      <c r="C3442" s="255" t="s">
        <v>803</v>
      </c>
      <c r="D3442" s="59">
        <v>1768.9</v>
      </c>
      <c r="E3442" s="59"/>
    </row>
    <row r="3443" spans="3:5" x14ac:dyDescent="0.15">
      <c r="C3443" s="255" t="s">
        <v>804</v>
      </c>
      <c r="D3443" s="59">
        <v>964.8</v>
      </c>
      <c r="E3443" s="59"/>
    </row>
    <row r="3444" spans="3:5" x14ac:dyDescent="0.15">
      <c r="C3444" s="255" t="s">
        <v>805</v>
      </c>
      <c r="D3444" s="59">
        <v>14.4</v>
      </c>
      <c r="E3444" s="59"/>
    </row>
    <row r="3445" spans="3:5" x14ac:dyDescent="0.15">
      <c r="C3445" s="255" t="s">
        <v>806</v>
      </c>
      <c r="D3445" s="59">
        <v>955.8</v>
      </c>
      <c r="E3445" s="59"/>
    </row>
    <row r="3446" spans="3:5" x14ac:dyDescent="0.15">
      <c r="C3446" s="255" t="s">
        <v>807</v>
      </c>
      <c r="D3446" s="59">
        <v>410.1</v>
      </c>
      <c r="E3446" s="59"/>
    </row>
    <row r="3447" spans="3:5" x14ac:dyDescent="0.15">
      <c r="C3447" s="255" t="s">
        <v>808</v>
      </c>
      <c r="D3447" s="59">
        <v>45.2</v>
      </c>
      <c r="E3447" s="59"/>
    </row>
    <row r="3448" spans="3:5" x14ac:dyDescent="0.15">
      <c r="C3448" s="255" t="s">
        <v>809</v>
      </c>
      <c r="D3448" s="59">
        <v>490.9</v>
      </c>
      <c r="E3448" s="59"/>
    </row>
    <row r="3449" spans="3:5" x14ac:dyDescent="0.15">
      <c r="C3449" s="255" t="s">
        <v>810</v>
      </c>
      <c r="D3449" s="59">
        <v>329.4</v>
      </c>
      <c r="E3449" s="59"/>
    </row>
    <row r="3450" spans="3:5" x14ac:dyDescent="0.15">
      <c r="C3450" s="255" t="s">
        <v>811</v>
      </c>
      <c r="D3450" s="59">
        <v>1155.3</v>
      </c>
      <c r="E3450" s="59"/>
    </row>
    <row r="3451" spans="3:5" x14ac:dyDescent="0.15">
      <c r="C3451" s="255" t="s">
        <v>812</v>
      </c>
      <c r="D3451" s="59">
        <v>146.5</v>
      </c>
      <c r="E3451" s="59"/>
    </row>
    <row r="3452" spans="3:5" x14ac:dyDescent="0.15">
      <c r="C3452" s="255" t="s">
        <v>813</v>
      </c>
      <c r="D3452" s="59">
        <v>39.1</v>
      </c>
      <c r="E3452" s="59"/>
    </row>
    <row r="3453" spans="3:5" x14ac:dyDescent="0.15">
      <c r="C3453" s="255" t="s">
        <v>814</v>
      </c>
      <c r="D3453" s="59">
        <v>293.89999999999998</v>
      </c>
      <c r="E3453" s="59"/>
    </row>
    <row r="3454" spans="3:5" x14ac:dyDescent="0.15">
      <c r="C3454" s="255" t="s">
        <v>815</v>
      </c>
      <c r="D3454" s="59">
        <v>1416.3</v>
      </c>
      <c r="E3454" s="59"/>
    </row>
    <row r="3455" spans="3:5" x14ac:dyDescent="0.15">
      <c r="C3455" s="255" t="s">
        <v>816</v>
      </c>
      <c r="D3455" s="59">
        <v>807.3</v>
      </c>
      <c r="E3455" s="59"/>
    </row>
    <row r="3456" spans="3:5" x14ac:dyDescent="0.15">
      <c r="C3456" s="255" t="s">
        <v>817</v>
      </c>
      <c r="D3456" s="59">
        <v>5919.8</v>
      </c>
      <c r="E3456" s="59"/>
    </row>
    <row r="3457" spans="3:5" x14ac:dyDescent="0.15">
      <c r="C3457" s="255" t="s">
        <v>818</v>
      </c>
      <c r="D3457" s="59">
        <v>561.70000000000005</v>
      </c>
      <c r="E3457" s="59"/>
    </row>
    <row r="3458" spans="3:5" x14ac:dyDescent="0.15">
      <c r="C3458" s="255" t="s">
        <v>819</v>
      </c>
      <c r="D3458" s="59">
        <v>2.6</v>
      </c>
      <c r="E3458" s="59"/>
    </row>
    <row r="3459" spans="3:5" x14ac:dyDescent="0.15">
      <c r="C3459" s="255" t="s">
        <v>820</v>
      </c>
      <c r="D3459" s="59">
        <v>2410.6</v>
      </c>
      <c r="E3459" s="59"/>
    </row>
    <row r="3460" spans="3:5" x14ac:dyDescent="0.15">
      <c r="C3460" s="255" t="s">
        <v>821</v>
      </c>
      <c r="D3460" s="59">
        <v>66.400000000000006</v>
      </c>
      <c r="E3460" s="59"/>
    </row>
    <row r="3461" spans="3:5" x14ac:dyDescent="0.15">
      <c r="C3461" s="255" t="s">
        <v>822</v>
      </c>
      <c r="D3461" s="59">
        <v>118.1</v>
      </c>
      <c r="E3461" s="59"/>
    </row>
    <row r="3462" spans="3:5" x14ac:dyDescent="0.15">
      <c r="C3462" s="255" t="s">
        <v>823</v>
      </c>
      <c r="D3462" s="59">
        <v>3.1</v>
      </c>
      <c r="E3462" s="59"/>
    </row>
    <row r="3463" spans="3:5" x14ac:dyDescent="0.15">
      <c r="C3463" s="255" t="s">
        <v>824</v>
      </c>
      <c r="D3463" s="59">
        <v>521.5</v>
      </c>
      <c r="E3463" s="59"/>
    </row>
    <row r="3464" spans="3:5" x14ac:dyDescent="0.15">
      <c r="C3464" s="255" t="s">
        <v>825</v>
      </c>
      <c r="D3464" s="59">
        <v>508.3</v>
      </c>
      <c r="E3464" s="59"/>
    </row>
    <row r="3465" spans="3:5" x14ac:dyDescent="0.15">
      <c r="C3465" s="255" t="s">
        <v>826</v>
      </c>
      <c r="D3465" s="59">
        <v>23.2</v>
      </c>
      <c r="E3465" s="59"/>
    </row>
    <row r="3466" spans="3:5" x14ac:dyDescent="0.15">
      <c r="C3466" s="255" t="s">
        <v>827</v>
      </c>
      <c r="D3466" s="59">
        <v>0</v>
      </c>
      <c r="E3466" s="59"/>
    </row>
    <row r="3467" spans="3:5" x14ac:dyDescent="0.15">
      <c r="C3467" s="255" t="s">
        <v>828</v>
      </c>
      <c r="D3467" s="59">
        <v>1476.4</v>
      </c>
      <c r="E3467" s="59"/>
    </row>
    <row r="3468" spans="3:5" x14ac:dyDescent="0.15">
      <c r="C3468" s="255" t="s">
        <v>829</v>
      </c>
      <c r="D3468" s="59">
        <v>9.1</v>
      </c>
      <c r="E3468" s="59"/>
    </row>
    <row r="3469" spans="3:5" x14ac:dyDescent="0.15">
      <c r="C3469" s="255" t="s">
        <v>830</v>
      </c>
      <c r="D3469" s="59">
        <v>218.7</v>
      </c>
      <c r="E3469" s="59"/>
    </row>
    <row r="3470" spans="3:5" x14ac:dyDescent="0.15">
      <c r="C3470" s="255" t="s">
        <v>831</v>
      </c>
      <c r="D3470" s="59">
        <v>0</v>
      </c>
      <c r="E3470" s="59"/>
    </row>
    <row r="3471" spans="3:5" x14ac:dyDescent="0.15">
      <c r="C3471" s="255" t="s">
        <v>832</v>
      </c>
      <c r="D3471" s="59">
        <v>15733.1</v>
      </c>
      <c r="E3471" s="59"/>
    </row>
    <row r="3472" spans="3:5" x14ac:dyDescent="0.15">
      <c r="C3472" s="255" t="s">
        <v>833</v>
      </c>
      <c r="D3472" s="59">
        <v>122.1</v>
      </c>
      <c r="E3472" s="59"/>
    </row>
    <row r="3473" spans="3:5" x14ac:dyDescent="0.15">
      <c r="C3473" s="255" t="s">
        <v>834</v>
      </c>
      <c r="D3473" s="59">
        <v>3084</v>
      </c>
      <c r="E3473" s="59"/>
    </row>
    <row r="3474" spans="3:5" x14ac:dyDescent="0.15">
      <c r="C3474" s="255" t="s">
        <v>835</v>
      </c>
      <c r="D3474" s="59">
        <v>6180.9</v>
      </c>
      <c r="E3474" s="59"/>
    </row>
    <row r="3475" spans="3:5" x14ac:dyDescent="0.15">
      <c r="C3475" s="255" t="s">
        <v>836</v>
      </c>
      <c r="D3475" s="59">
        <v>1879.4</v>
      </c>
      <c r="E3475" s="59"/>
    </row>
    <row r="3476" spans="3:5" x14ac:dyDescent="0.15">
      <c r="C3476" s="255" t="s">
        <v>837</v>
      </c>
      <c r="D3476" s="59">
        <v>405.7</v>
      </c>
      <c r="E3476" s="59"/>
    </row>
    <row r="3477" spans="3:5" x14ac:dyDescent="0.15">
      <c r="C3477" s="255" t="s">
        <v>838</v>
      </c>
      <c r="D3477" s="59">
        <v>220.3</v>
      </c>
      <c r="E3477" s="59"/>
    </row>
    <row r="3478" spans="3:5" x14ac:dyDescent="0.15">
      <c r="C3478" s="255" t="s">
        <v>839</v>
      </c>
      <c r="D3478" s="59">
        <v>61.3</v>
      </c>
      <c r="E3478" s="59"/>
    </row>
    <row r="3479" spans="3:5" x14ac:dyDescent="0.15">
      <c r="C3479" s="255" t="s">
        <v>840</v>
      </c>
      <c r="D3479" s="59">
        <v>53.9</v>
      </c>
      <c r="E3479" s="59"/>
    </row>
    <row r="3480" spans="3:5" x14ac:dyDescent="0.15">
      <c r="C3480" s="255" t="s">
        <v>841</v>
      </c>
      <c r="D3480" s="59">
        <v>1286.0999999999999</v>
      </c>
      <c r="E3480" s="59"/>
    </row>
    <row r="3481" spans="3:5" x14ac:dyDescent="0.15">
      <c r="C3481" s="255" t="s">
        <v>842</v>
      </c>
      <c r="D3481" s="59">
        <v>2034.8</v>
      </c>
      <c r="E3481" s="59"/>
    </row>
    <row r="3482" spans="3:5" x14ac:dyDescent="0.15">
      <c r="C3482" s="255" t="s">
        <v>843</v>
      </c>
      <c r="D3482" s="59">
        <v>379.4</v>
      </c>
      <c r="E3482" s="59"/>
    </row>
    <row r="3483" spans="3:5" x14ac:dyDescent="0.15">
      <c r="C3483" s="255" t="s">
        <v>844</v>
      </c>
      <c r="D3483" s="59">
        <v>25.3</v>
      </c>
      <c r="E3483" s="59"/>
    </row>
    <row r="3484" spans="3:5" x14ac:dyDescent="0.15">
      <c r="C3484" s="255" t="s">
        <v>845</v>
      </c>
      <c r="D3484" s="59">
        <v>108242.6</v>
      </c>
      <c r="E3484" s="59"/>
    </row>
    <row r="3485" spans="3:5" x14ac:dyDescent="0.15">
      <c r="C3485" s="255" t="s">
        <v>846</v>
      </c>
      <c r="D3485" s="59">
        <v>25637.200000000001</v>
      </c>
      <c r="E3485" s="59"/>
    </row>
    <row r="3486" spans="3:5" x14ac:dyDescent="0.15">
      <c r="C3486" s="255" t="s">
        <v>847</v>
      </c>
      <c r="D3486" s="59">
        <v>68</v>
      </c>
      <c r="E3486" s="59"/>
    </row>
    <row r="3487" spans="3:5" x14ac:dyDescent="0.15">
      <c r="C3487" s="255" t="s">
        <v>848</v>
      </c>
      <c r="D3487" s="59">
        <v>42899.7</v>
      </c>
      <c r="E3487" s="59"/>
    </row>
    <row r="3488" spans="3:5" x14ac:dyDescent="0.15">
      <c r="C3488" s="255" t="s">
        <v>849</v>
      </c>
      <c r="D3488" s="59">
        <v>1986.2</v>
      </c>
      <c r="E3488" s="59"/>
    </row>
    <row r="3489" spans="3:5" x14ac:dyDescent="0.15">
      <c r="C3489" s="255" t="s">
        <v>850</v>
      </c>
      <c r="D3489" s="59">
        <v>1852</v>
      </c>
      <c r="E3489" s="59"/>
    </row>
    <row r="3490" spans="3:5" x14ac:dyDescent="0.15">
      <c r="C3490" s="255" t="s">
        <v>851</v>
      </c>
      <c r="D3490" s="59">
        <v>0</v>
      </c>
      <c r="E3490" s="59"/>
    </row>
    <row r="3491" spans="3:5" x14ac:dyDescent="0.15">
      <c r="C3491" s="255" t="s">
        <v>852</v>
      </c>
      <c r="D3491" s="59">
        <v>0</v>
      </c>
      <c r="E3491" s="59"/>
    </row>
    <row r="3492" spans="3:5" x14ac:dyDescent="0.15">
      <c r="C3492" s="255" t="s">
        <v>853</v>
      </c>
      <c r="D3492" s="59">
        <v>203.1</v>
      </c>
      <c r="E3492" s="59"/>
    </row>
    <row r="3493" spans="3:5" x14ac:dyDescent="0.15">
      <c r="C3493" s="255" t="s">
        <v>854</v>
      </c>
      <c r="D3493" s="59">
        <v>0</v>
      </c>
      <c r="E3493" s="59"/>
    </row>
    <row r="3494" spans="3:5" x14ac:dyDescent="0.15">
      <c r="C3494" s="255" t="s">
        <v>855</v>
      </c>
      <c r="D3494" s="59">
        <v>327.60000000000002</v>
      </c>
      <c r="E3494" s="59"/>
    </row>
    <row r="3495" spans="3:5" x14ac:dyDescent="0.15">
      <c r="C3495" s="255" t="s">
        <v>856</v>
      </c>
      <c r="D3495" s="59">
        <v>2183.4</v>
      </c>
      <c r="E3495" s="59"/>
    </row>
    <row r="3496" spans="3:5" x14ac:dyDescent="0.15">
      <c r="C3496" s="255" t="s">
        <v>857</v>
      </c>
      <c r="D3496" s="59">
        <v>2432.6</v>
      </c>
      <c r="E3496" s="59"/>
    </row>
    <row r="3497" spans="3:5" x14ac:dyDescent="0.15">
      <c r="C3497" s="255" t="s">
        <v>858</v>
      </c>
      <c r="D3497" s="59">
        <v>2536</v>
      </c>
      <c r="E3497" s="59"/>
    </row>
    <row r="3498" spans="3:5" x14ac:dyDescent="0.15">
      <c r="C3498" s="255" t="s">
        <v>859</v>
      </c>
      <c r="D3498" s="59">
        <v>2475.8000000000002</v>
      </c>
      <c r="E3498" s="59"/>
    </row>
    <row r="3499" spans="3:5" x14ac:dyDescent="0.15">
      <c r="C3499" s="255" t="s">
        <v>860</v>
      </c>
      <c r="D3499" s="59">
        <v>216.8</v>
      </c>
      <c r="E3499" s="59"/>
    </row>
    <row r="3500" spans="3:5" x14ac:dyDescent="0.15">
      <c r="C3500" s="255" t="s">
        <v>861</v>
      </c>
      <c r="D3500" s="59">
        <v>2607.9</v>
      </c>
      <c r="E3500" s="59"/>
    </row>
    <row r="3501" spans="3:5" x14ac:dyDescent="0.15">
      <c r="C3501" s="255" t="s">
        <v>862</v>
      </c>
      <c r="D3501" s="59">
        <v>8001.2</v>
      </c>
      <c r="E3501" s="59"/>
    </row>
    <row r="3502" spans="3:5" x14ac:dyDescent="0.15">
      <c r="C3502" s="255" t="s">
        <v>863</v>
      </c>
      <c r="D3502" s="59">
        <v>2101.1999999999998</v>
      </c>
      <c r="E3502" s="59"/>
    </row>
    <row r="3503" spans="3:5" x14ac:dyDescent="0.15">
      <c r="C3503" s="255" t="s">
        <v>864</v>
      </c>
      <c r="D3503" s="59">
        <v>135.30000000000001</v>
      </c>
      <c r="E3503" s="59"/>
    </row>
    <row r="3504" spans="3:5" x14ac:dyDescent="0.15">
      <c r="C3504" s="255" t="s">
        <v>865</v>
      </c>
      <c r="D3504" s="59">
        <v>157</v>
      </c>
      <c r="E3504" s="59"/>
    </row>
    <row r="3505" spans="3:5" x14ac:dyDescent="0.15">
      <c r="C3505" s="255" t="s">
        <v>866</v>
      </c>
      <c r="D3505" s="59">
        <v>57.2</v>
      </c>
      <c r="E3505" s="59"/>
    </row>
    <row r="3506" spans="3:5" x14ac:dyDescent="0.15">
      <c r="C3506" s="255" t="s">
        <v>867</v>
      </c>
      <c r="D3506" s="59">
        <v>1044</v>
      </c>
      <c r="E3506" s="59"/>
    </row>
    <row r="3507" spans="3:5" x14ac:dyDescent="0.15">
      <c r="C3507" s="255" t="s">
        <v>868</v>
      </c>
      <c r="D3507" s="59">
        <v>11320.2</v>
      </c>
      <c r="E3507" s="59"/>
    </row>
    <row r="3508" spans="3:5" x14ac:dyDescent="0.15">
      <c r="C3508" s="255" t="s">
        <v>869</v>
      </c>
      <c r="D3508" s="59">
        <v>21314.6</v>
      </c>
      <c r="E3508" s="59"/>
    </row>
    <row r="3509" spans="3:5" x14ac:dyDescent="0.15">
      <c r="C3509" s="255" t="s">
        <v>870</v>
      </c>
      <c r="D3509" s="59">
        <v>5116.2</v>
      </c>
      <c r="E3509" s="59"/>
    </row>
    <row r="3510" spans="3:5" x14ac:dyDescent="0.15">
      <c r="C3510" s="255" t="s">
        <v>871</v>
      </c>
      <c r="D3510" s="59">
        <v>541</v>
      </c>
      <c r="E3510" s="59"/>
    </row>
    <row r="3511" spans="3:5" x14ac:dyDescent="0.15">
      <c r="C3511" s="255" t="s">
        <v>872</v>
      </c>
      <c r="D3511" s="59">
        <v>844</v>
      </c>
      <c r="E3511" s="59"/>
    </row>
    <row r="3512" spans="3:5" x14ac:dyDescent="0.15">
      <c r="C3512" s="255" t="s">
        <v>873</v>
      </c>
      <c r="D3512" s="59">
        <v>1562.4</v>
      </c>
      <c r="E3512" s="59"/>
    </row>
    <row r="3513" spans="3:5" x14ac:dyDescent="0.15">
      <c r="C3513" s="255" t="s">
        <v>874</v>
      </c>
      <c r="D3513" s="59">
        <v>260.89999999999998</v>
      </c>
      <c r="E3513" s="59"/>
    </row>
    <row r="3514" spans="3:5" x14ac:dyDescent="0.15">
      <c r="C3514" s="255" t="s">
        <v>875</v>
      </c>
      <c r="D3514" s="59">
        <v>11.9</v>
      </c>
      <c r="E3514" s="59"/>
    </row>
    <row r="3515" spans="3:5" x14ac:dyDescent="0.15">
      <c r="C3515" s="255" t="s">
        <v>876</v>
      </c>
      <c r="D3515" s="59">
        <v>28.8</v>
      </c>
      <c r="E3515" s="59"/>
    </row>
    <row r="3516" spans="3:5" x14ac:dyDescent="0.15">
      <c r="C3516" s="255" t="s">
        <v>877</v>
      </c>
      <c r="D3516" s="59">
        <v>64.099999999999994</v>
      </c>
      <c r="E3516" s="59"/>
    </row>
    <row r="3517" spans="3:5" x14ac:dyDescent="0.15">
      <c r="C3517" s="255" t="s">
        <v>878</v>
      </c>
      <c r="D3517" s="59">
        <v>211.5</v>
      </c>
      <c r="E3517" s="59"/>
    </row>
    <row r="3518" spans="3:5" x14ac:dyDescent="0.15">
      <c r="C3518" s="255" t="s">
        <v>879</v>
      </c>
      <c r="D3518" s="59">
        <v>1180.0999999999999</v>
      </c>
      <c r="E3518" s="59"/>
    </row>
    <row r="3519" spans="3:5" x14ac:dyDescent="0.15">
      <c r="C3519" s="255" t="s">
        <v>880</v>
      </c>
      <c r="D3519" s="59">
        <v>65.599999999999994</v>
      </c>
      <c r="E3519" s="59"/>
    </row>
    <row r="3520" spans="3:5" x14ac:dyDescent="0.15">
      <c r="C3520" s="255" t="s">
        <v>881</v>
      </c>
      <c r="D3520" s="59">
        <v>0</v>
      </c>
      <c r="E3520" s="59"/>
    </row>
    <row r="3521" spans="3:5" x14ac:dyDescent="0.15">
      <c r="C3521" s="255" t="s">
        <v>882</v>
      </c>
      <c r="D3521" s="59">
        <v>222.4</v>
      </c>
      <c r="E3521" s="59"/>
    </row>
    <row r="3522" spans="3:5" x14ac:dyDescent="0.15">
      <c r="C3522" s="255" t="s">
        <v>883</v>
      </c>
      <c r="D3522" s="59">
        <v>552.79999999999995</v>
      </c>
      <c r="E3522" s="59"/>
    </row>
    <row r="3523" spans="3:5" x14ac:dyDescent="0.15">
      <c r="C3523" s="255" t="s">
        <v>884</v>
      </c>
      <c r="D3523" s="59">
        <v>1024.5</v>
      </c>
      <c r="E3523" s="59"/>
    </row>
    <row r="3524" spans="3:5" x14ac:dyDescent="0.15">
      <c r="C3524" s="255" t="s">
        <v>885</v>
      </c>
      <c r="D3524" s="59">
        <v>501</v>
      </c>
      <c r="E3524" s="59"/>
    </row>
    <row r="3525" spans="3:5" x14ac:dyDescent="0.15">
      <c r="C3525" s="255" t="s">
        <v>886</v>
      </c>
      <c r="D3525" s="59">
        <v>323.10000000000002</v>
      </c>
      <c r="E3525" s="59"/>
    </row>
    <row r="3526" spans="3:5" x14ac:dyDescent="0.15">
      <c r="C3526" s="255" t="s">
        <v>887</v>
      </c>
      <c r="D3526" s="59">
        <v>494.6</v>
      </c>
      <c r="E3526" s="59"/>
    </row>
    <row r="3527" spans="3:5" x14ac:dyDescent="0.15">
      <c r="C3527" s="255" t="s">
        <v>888</v>
      </c>
      <c r="D3527" s="59">
        <v>0.6</v>
      </c>
      <c r="E3527" s="59"/>
    </row>
    <row r="3528" spans="3:5" x14ac:dyDescent="0.15">
      <c r="C3528" s="255" t="s">
        <v>889</v>
      </c>
      <c r="D3528" s="59">
        <v>190</v>
      </c>
      <c r="E3528" s="59"/>
    </row>
    <row r="3529" spans="3:5" x14ac:dyDescent="0.15">
      <c r="C3529" s="255" t="s">
        <v>890</v>
      </c>
      <c r="D3529" s="59">
        <v>138</v>
      </c>
      <c r="E3529" s="59"/>
    </row>
    <row r="3530" spans="3:5" x14ac:dyDescent="0.15">
      <c r="C3530" s="255" t="s">
        <v>891</v>
      </c>
      <c r="D3530" s="59">
        <v>1.8</v>
      </c>
      <c r="E3530" s="59"/>
    </row>
    <row r="3531" spans="3:5" x14ac:dyDescent="0.15">
      <c r="C3531" s="255" t="s">
        <v>892</v>
      </c>
      <c r="D3531" s="59">
        <v>0.7</v>
      </c>
      <c r="E3531" s="59"/>
    </row>
    <row r="3532" spans="3:5" x14ac:dyDescent="0.15">
      <c r="C3532" s="255" t="s">
        <v>893</v>
      </c>
      <c r="D3532" s="59">
        <v>143.9</v>
      </c>
      <c r="E3532" s="59"/>
    </row>
    <row r="3533" spans="3:5" x14ac:dyDescent="0.15">
      <c r="C3533" s="255" t="s">
        <v>894</v>
      </c>
      <c r="D3533" s="59">
        <v>0</v>
      </c>
      <c r="E3533" s="59"/>
    </row>
    <row r="3534" spans="3:5" x14ac:dyDescent="0.15">
      <c r="C3534" s="255" t="s">
        <v>895</v>
      </c>
      <c r="D3534" s="59">
        <v>1081.9000000000001</v>
      </c>
      <c r="E3534" s="59"/>
    </row>
    <row r="3535" spans="3:5" x14ac:dyDescent="0.15">
      <c r="C3535" s="255" t="s">
        <v>896</v>
      </c>
      <c r="D3535" s="59">
        <v>140.69999999999999</v>
      </c>
      <c r="E3535" s="59"/>
    </row>
    <row r="3536" spans="3:5" x14ac:dyDescent="0.15">
      <c r="C3536" s="255" t="s">
        <v>897</v>
      </c>
      <c r="D3536" s="59">
        <v>1199.5999999999999</v>
      </c>
      <c r="E3536" s="59"/>
    </row>
    <row r="3537" spans="3:5" x14ac:dyDescent="0.15">
      <c r="C3537" s="255" t="s">
        <v>898</v>
      </c>
      <c r="D3537" s="59">
        <v>296.3</v>
      </c>
      <c r="E3537" s="59"/>
    </row>
    <row r="3538" spans="3:5" x14ac:dyDescent="0.15">
      <c r="C3538" s="255" t="s">
        <v>899</v>
      </c>
      <c r="D3538" s="59">
        <v>48.2</v>
      </c>
      <c r="E3538" s="59"/>
    </row>
    <row r="3539" spans="3:5" x14ac:dyDescent="0.15">
      <c r="C3539" s="255" t="s">
        <v>900</v>
      </c>
      <c r="D3539" s="59">
        <v>458.1</v>
      </c>
      <c r="E3539" s="59"/>
    </row>
    <row r="3540" spans="3:5" x14ac:dyDescent="0.15">
      <c r="C3540" s="255" t="s">
        <v>901</v>
      </c>
      <c r="D3540" s="59">
        <v>995.4</v>
      </c>
      <c r="E3540" s="59"/>
    </row>
    <row r="3541" spans="3:5" x14ac:dyDescent="0.15">
      <c r="C3541" s="255" t="s">
        <v>902</v>
      </c>
      <c r="D3541" s="59">
        <v>1.2</v>
      </c>
      <c r="E3541" s="59"/>
    </row>
    <row r="3542" spans="3:5" x14ac:dyDescent="0.15">
      <c r="C3542" s="255" t="s">
        <v>903</v>
      </c>
      <c r="D3542" s="59">
        <v>993.1</v>
      </c>
      <c r="E3542" s="59"/>
    </row>
    <row r="3543" spans="3:5" x14ac:dyDescent="0.15">
      <c r="C3543" s="255" t="s">
        <v>904</v>
      </c>
      <c r="D3543" s="59">
        <v>1536.1</v>
      </c>
      <c r="E3543" s="59"/>
    </row>
    <row r="3544" spans="3:5" x14ac:dyDescent="0.15">
      <c r="C3544" s="255" t="s">
        <v>905</v>
      </c>
      <c r="D3544" s="59">
        <v>272.2</v>
      </c>
      <c r="E3544" s="59"/>
    </row>
    <row r="3545" spans="3:5" x14ac:dyDescent="0.15">
      <c r="C3545" s="255" t="s">
        <v>906</v>
      </c>
      <c r="D3545" s="59">
        <v>77.7</v>
      </c>
      <c r="E3545" s="59"/>
    </row>
    <row r="3546" spans="3:5" x14ac:dyDescent="0.15">
      <c r="C3546" s="255" t="s">
        <v>907</v>
      </c>
      <c r="D3546" s="59">
        <v>734.1</v>
      </c>
      <c r="E3546" s="59"/>
    </row>
    <row r="3547" spans="3:5" x14ac:dyDescent="0.15">
      <c r="C3547" s="255" t="s">
        <v>908</v>
      </c>
      <c r="D3547" s="59">
        <v>7324.4</v>
      </c>
      <c r="E3547" s="59"/>
    </row>
    <row r="3548" spans="3:5" x14ac:dyDescent="0.15">
      <c r="C3548" s="255" t="s">
        <v>909</v>
      </c>
      <c r="D3548" s="59">
        <v>2211.8000000000002</v>
      </c>
      <c r="E3548" s="59"/>
    </row>
    <row r="3549" spans="3:5" x14ac:dyDescent="0.15">
      <c r="C3549" s="255" t="s">
        <v>910</v>
      </c>
      <c r="D3549" s="59">
        <v>7.4</v>
      </c>
      <c r="E3549" s="59"/>
    </row>
    <row r="3550" spans="3:5" x14ac:dyDescent="0.15">
      <c r="C3550" s="255" t="s">
        <v>911</v>
      </c>
      <c r="D3550" s="59">
        <v>98.8</v>
      </c>
      <c r="E3550" s="59"/>
    </row>
    <row r="3551" spans="3:5" x14ac:dyDescent="0.15">
      <c r="C3551" s="255" t="s">
        <v>912</v>
      </c>
      <c r="D3551" s="59">
        <v>567.5</v>
      </c>
      <c r="E3551" s="59"/>
    </row>
    <row r="3552" spans="3:5" x14ac:dyDescent="0.15">
      <c r="C3552" s="255" t="s">
        <v>913</v>
      </c>
      <c r="D3552" s="59">
        <v>0</v>
      </c>
      <c r="E3552" s="59"/>
    </row>
    <row r="3553" spans="3:5" x14ac:dyDescent="0.15">
      <c r="C3553" s="255" t="s">
        <v>914</v>
      </c>
      <c r="D3553" s="59">
        <v>4.0999999999999996</v>
      </c>
      <c r="E3553" s="59"/>
    </row>
    <row r="3554" spans="3:5" x14ac:dyDescent="0.15">
      <c r="C3554" s="255" t="s">
        <v>915</v>
      </c>
      <c r="D3554" s="59">
        <v>17.3</v>
      </c>
      <c r="E3554" s="59"/>
    </row>
    <row r="3555" spans="3:5" x14ac:dyDescent="0.15">
      <c r="C3555" s="255" t="s">
        <v>916</v>
      </c>
      <c r="D3555" s="59">
        <v>240</v>
      </c>
      <c r="E3555" s="59"/>
    </row>
    <row r="3556" spans="3:5" x14ac:dyDescent="0.15">
      <c r="C3556" s="255" t="s">
        <v>917</v>
      </c>
      <c r="D3556" s="59">
        <v>23.9</v>
      </c>
      <c r="E3556" s="59"/>
    </row>
    <row r="3557" spans="3:5" x14ac:dyDescent="0.15">
      <c r="C3557" s="255" t="s">
        <v>918</v>
      </c>
      <c r="D3557" s="59">
        <v>2837.6</v>
      </c>
      <c r="E3557" s="59"/>
    </row>
    <row r="3558" spans="3:5" x14ac:dyDescent="0.15">
      <c r="C3558" s="255" t="s">
        <v>919</v>
      </c>
      <c r="D3558" s="59">
        <v>0</v>
      </c>
      <c r="E3558" s="59"/>
    </row>
    <row r="3559" spans="3:5" x14ac:dyDescent="0.15">
      <c r="C3559" s="255" t="s">
        <v>920</v>
      </c>
      <c r="D3559" s="59">
        <v>1316</v>
      </c>
      <c r="E3559" s="59"/>
    </row>
    <row r="3560" spans="3:5" x14ac:dyDescent="0.15">
      <c r="C3560" s="255" t="s">
        <v>921</v>
      </c>
      <c r="D3560" s="59">
        <v>0</v>
      </c>
      <c r="E3560" s="59"/>
    </row>
    <row r="3561" spans="3:5" x14ac:dyDescent="0.15">
      <c r="C3561" s="255" t="s">
        <v>922</v>
      </c>
      <c r="D3561" s="59">
        <v>56517.4</v>
      </c>
      <c r="E3561" s="59"/>
    </row>
    <row r="3562" spans="3:5" x14ac:dyDescent="0.15">
      <c r="C3562" s="255" t="s">
        <v>923</v>
      </c>
      <c r="D3562" s="59">
        <v>18930.599999999999</v>
      </c>
      <c r="E3562" s="59"/>
    </row>
    <row r="3563" spans="3:5" x14ac:dyDescent="0.15">
      <c r="C3563" s="255" t="s">
        <v>924</v>
      </c>
      <c r="D3563" s="59">
        <v>1921.2</v>
      </c>
      <c r="E3563" s="59"/>
    </row>
    <row r="3564" spans="3:5" x14ac:dyDescent="0.15">
      <c r="C3564" s="255" t="s">
        <v>925</v>
      </c>
      <c r="D3564" s="59">
        <v>-4.0999999999999996</v>
      </c>
      <c r="E3564" s="59"/>
    </row>
    <row r="3565" spans="3:5" x14ac:dyDescent="0.15">
      <c r="C3565" s="255" t="s">
        <v>926</v>
      </c>
      <c r="D3565" s="59">
        <v>1833.4</v>
      </c>
      <c r="E3565" s="59"/>
    </row>
    <row r="3566" spans="3:5" x14ac:dyDescent="0.15">
      <c r="C3566" s="255" t="s">
        <v>927</v>
      </c>
      <c r="D3566" s="59">
        <v>710.9</v>
      </c>
      <c r="E3566" s="59"/>
    </row>
    <row r="3567" spans="3:5" x14ac:dyDescent="0.15">
      <c r="C3567" s="255" t="s">
        <v>928</v>
      </c>
      <c r="D3567" s="59">
        <v>1400.6</v>
      </c>
      <c r="E3567" s="59"/>
    </row>
    <row r="3568" spans="3:5" x14ac:dyDescent="0.15">
      <c r="C3568" s="255" t="s">
        <v>929</v>
      </c>
      <c r="D3568" s="59">
        <v>145.69999999999999</v>
      </c>
      <c r="E3568" s="59"/>
    </row>
    <row r="3569" spans="3:5" x14ac:dyDescent="0.15">
      <c r="C3569" s="255" t="s">
        <v>930</v>
      </c>
      <c r="D3569" s="59">
        <v>1860.8</v>
      </c>
      <c r="E3569" s="59"/>
    </row>
    <row r="3570" spans="3:5" x14ac:dyDescent="0.15">
      <c r="C3570" s="255" t="s">
        <v>931</v>
      </c>
      <c r="D3570" s="59">
        <v>6940.3</v>
      </c>
      <c r="E3570" s="59"/>
    </row>
    <row r="3571" spans="3:5" x14ac:dyDescent="0.15">
      <c r="C3571" s="255" t="s">
        <v>932</v>
      </c>
      <c r="D3571" s="59">
        <v>0</v>
      </c>
      <c r="E3571" s="59"/>
    </row>
    <row r="3572" spans="3:5" x14ac:dyDescent="0.15">
      <c r="C3572" s="255" t="s">
        <v>933</v>
      </c>
      <c r="D3572" s="59">
        <v>46.9</v>
      </c>
      <c r="E3572" s="59"/>
    </row>
    <row r="3573" spans="3:5" x14ac:dyDescent="0.15">
      <c r="C3573" s="255" t="s">
        <v>934</v>
      </c>
      <c r="D3573" s="59">
        <v>6618.5</v>
      </c>
      <c r="E3573" s="59"/>
    </row>
    <row r="3574" spans="3:5" x14ac:dyDescent="0.15">
      <c r="C3574" s="255" t="s">
        <v>935</v>
      </c>
      <c r="D3574" s="59">
        <v>4704.3</v>
      </c>
      <c r="E3574" s="59"/>
    </row>
    <row r="3575" spans="3:5" x14ac:dyDescent="0.15">
      <c r="C3575" s="255" t="s">
        <v>936</v>
      </c>
      <c r="D3575" s="59">
        <v>4167.3</v>
      </c>
      <c r="E3575" s="59"/>
    </row>
    <row r="3576" spans="3:5" x14ac:dyDescent="0.15">
      <c r="C3576" s="255" t="s">
        <v>937</v>
      </c>
      <c r="D3576" s="59">
        <v>1193.4000000000001</v>
      </c>
      <c r="E3576" s="59"/>
    </row>
    <row r="3577" spans="3:5" x14ac:dyDescent="0.15">
      <c r="C3577" s="255" t="s">
        <v>938</v>
      </c>
      <c r="D3577" s="59">
        <v>444.4</v>
      </c>
      <c r="E3577" s="59"/>
    </row>
    <row r="3578" spans="3:5" x14ac:dyDescent="0.15">
      <c r="C3578" s="255" t="s">
        <v>939</v>
      </c>
      <c r="D3578" s="59">
        <v>10.3</v>
      </c>
      <c r="E3578" s="59"/>
    </row>
    <row r="3579" spans="3:5" x14ac:dyDescent="0.15">
      <c r="C3579" s="255" t="s">
        <v>940</v>
      </c>
      <c r="D3579" s="59">
        <v>178.7</v>
      </c>
      <c r="E3579" s="59"/>
    </row>
    <row r="3580" spans="3:5" x14ac:dyDescent="0.15">
      <c r="C3580" s="255" t="s">
        <v>941</v>
      </c>
      <c r="D3580" s="59">
        <v>364</v>
      </c>
      <c r="E3580" s="59"/>
    </row>
    <row r="3581" spans="3:5" x14ac:dyDescent="0.15">
      <c r="C3581" s="255" t="s">
        <v>942</v>
      </c>
      <c r="D3581" s="59">
        <v>163.1</v>
      </c>
      <c r="E3581" s="59"/>
    </row>
    <row r="3582" spans="3:5" x14ac:dyDescent="0.15">
      <c r="C3582" s="255" t="s">
        <v>943</v>
      </c>
      <c r="D3582" s="59">
        <v>1964.6</v>
      </c>
      <c r="E3582" s="59"/>
    </row>
    <row r="3583" spans="3:5" x14ac:dyDescent="0.15">
      <c r="C3583" s="255" t="s">
        <v>944</v>
      </c>
      <c r="D3583" s="59">
        <v>593.5</v>
      </c>
      <c r="E3583" s="59"/>
    </row>
    <row r="3584" spans="3:5" x14ac:dyDescent="0.15">
      <c r="C3584" s="255" t="s">
        <v>945</v>
      </c>
      <c r="D3584" s="59">
        <v>2259</v>
      </c>
      <c r="E3584" s="59"/>
    </row>
    <row r="3585" spans="3:5" x14ac:dyDescent="0.15">
      <c r="C3585" s="255" t="s">
        <v>946</v>
      </c>
      <c r="D3585" s="59">
        <v>52.8</v>
      </c>
      <c r="E3585" s="59"/>
    </row>
    <row r="3586" spans="3:5" x14ac:dyDescent="0.15">
      <c r="C3586" s="255" t="s">
        <v>947</v>
      </c>
      <c r="D3586" s="59">
        <v>17.100000000000001</v>
      </c>
      <c r="E3586" s="59"/>
    </row>
    <row r="3587" spans="3:5" x14ac:dyDescent="0.15">
      <c r="C3587" s="255" t="s">
        <v>948</v>
      </c>
      <c r="D3587" s="59">
        <v>9771</v>
      </c>
      <c r="E3587" s="59"/>
    </row>
    <row r="3588" spans="3:5" x14ac:dyDescent="0.15">
      <c r="C3588" s="255" t="s">
        <v>949</v>
      </c>
      <c r="D3588" s="59">
        <v>145.80000000000001</v>
      </c>
      <c r="E3588" s="59"/>
    </row>
    <row r="3589" spans="3:5" x14ac:dyDescent="0.15">
      <c r="C3589" s="255" t="s">
        <v>950</v>
      </c>
      <c r="D3589" s="59">
        <v>0</v>
      </c>
      <c r="E3589" s="59"/>
    </row>
    <row r="3590" spans="3:5" x14ac:dyDescent="0.15">
      <c r="C3590" s="255" t="s">
        <v>951</v>
      </c>
      <c r="D3590" s="59">
        <v>1872.7</v>
      </c>
      <c r="E3590" s="59"/>
    </row>
    <row r="3591" spans="3:5" x14ac:dyDescent="0.15">
      <c r="C3591" s="255" t="s">
        <v>952</v>
      </c>
      <c r="D3591" s="59">
        <v>142.1</v>
      </c>
      <c r="E3591" s="59"/>
    </row>
    <row r="3592" spans="3:5" x14ac:dyDescent="0.15">
      <c r="C3592" s="255" t="s">
        <v>953</v>
      </c>
      <c r="D3592" s="59">
        <v>81.400000000000006</v>
      </c>
      <c r="E3592" s="59"/>
    </row>
    <row r="3593" spans="3:5" x14ac:dyDescent="0.15">
      <c r="C3593" s="255" t="s">
        <v>954</v>
      </c>
      <c r="D3593" s="59">
        <v>3087.8</v>
      </c>
      <c r="E3593" s="59"/>
    </row>
    <row r="3594" spans="3:5" x14ac:dyDescent="0.15">
      <c r="C3594" s="255" t="s">
        <v>955</v>
      </c>
      <c r="D3594" s="59">
        <v>1536.8</v>
      </c>
      <c r="E3594" s="59"/>
    </row>
    <row r="3595" spans="3:5" x14ac:dyDescent="0.15">
      <c r="C3595" s="255" t="s">
        <v>956</v>
      </c>
      <c r="D3595" s="59">
        <v>2904.3</v>
      </c>
      <c r="E3595" s="59"/>
    </row>
    <row r="3596" spans="3:5" x14ac:dyDescent="0.15">
      <c r="C3596" s="255" t="s">
        <v>957</v>
      </c>
      <c r="D3596" s="59">
        <v>36971.4</v>
      </c>
      <c r="E3596" s="59"/>
    </row>
    <row r="3597" spans="3:5" x14ac:dyDescent="0.15">
      <c r="C3597" s="255" t="s">
        <v>958</v>
      </c>
      <c r="D3597" s="59">
        <v>277</v>
      </c>
      <c r="E3597" s="59"/>
    </row>
    <row r="3598" spans="3:5" x14ac:dyDescent="0.15">
      <c r="C3598" s="255" t="s">
        <v>959</v>
      </c>
      <c r="D3598" s="59">
        <v>1095.5999999999999</v>
      </c>
      <c r="E3598" s="59"/>
    </row>
    <row r="3599" spans="3:5" x14ac:dyDescent="0.15">
      <c r="C3599" s="255" t="s">
        <v>960</v>
      </c>
      <c r="D3599" s="59">
        <v>9.4</v>
      </c>
      <c r="E3599" s="59"/>
    </row>
    <row r="3600" spans="3:5" x14ac:dyDescent="0.15">
      <c r="C3600" s="255" t="s">
        <v>961</v>
      </c>
      <c r="D3600" s="59">
        <v>349.4</v>
      </c>
      <c r="E3600" s="59"/>
    </row>
    <row r="3601" spans="3:5" x14ac:dyDescent="0.15">
      <c r="C3601" s="255" t="s">
        <v>962</v>
      </c>
      <c r="D3601" s="59">
        <v>0</v>
      </c>
      <c r="E3601" s="59"/>
    </row>
    <row r="3602" spans="3:5" x14ac:dyDescent="0.15">
      <c r="C3602" s="255" t="s">
        <v>963</v>
      </c>
      <c r="D3602" s="59">
        <v>1376.8</v>
      </c>
      <c r="E3602" s="59"/>
    </row>
    <row r="3603" spans="3:5" x14ac:dyDescent="0.15">
      <c r="C3603" s="255" t="s">
        <v>964</v>
      </c>
      <c r="D3603" s="59">
        <v>696.3</v>
      </c>
      <c r="E3603" s="59"/>
    </row>
    <row r="3604" spans="3:5" x14ac:dyDescent="0.15">
      <c r="C3604" s="255" t="s">
        <v>965</v>
      </c>
      <c r="D3604" s="59">
        <v>20.2</v>
      </c>
      <c r="E3604" s="59"/>
    </row>
    <row r="3605" spans="3:5" x14ac:dyDescent="0.15">
      <c r="C3605" s="255" t="s">
        <v>966</v>
      </c>
      <c r="D3605" s="59">
        <v>14.3</v>
      </c>
      <c r="E3605" s="59"/>
    </row>
    <row r="3606" spans="3:5" x14ac:dyDescent="0.15">
      <c r="C3606" s="255" t="s">
        <v>967</v>
      </c>
      <c r="D3606" s="59">
        <v>439.5</v>
      </c>
      <c r="E3606" s="59"/>
    </row>
    <row r="3607" spans="3:5" x14ac:dyDescent="0.15">
      <c r="C3607" s="255" t="s">
        <v>968</v>
      </c>
      <c r="D3607" s="59">
        <v>9.1</v>
      </c>
      <c r="E3607" s="59"/>
    </row>
    <row r="3608" spans="3:5" x14ac:dyDescent="0.15">
      <c r="C3608" s="255" t="s">
        <v>969</v>
      </c>
      <c r="D3608" s="59">
        <v>54.9</v>
      </c>
      <c r="E3608" s="59"/>
    </row>
    <row r="3609" spans="3:5" x14ac:dyDescent="0.15">
      <c r="C3609" s="255" t="s">
        <v>970</v>
      </c>
      <c r="D3609" s="59">
        <v>0</v>
      </c>
      <c r="E3609" s="59"/>
    </row>
    <row r="3610" spans="3:5" x14ac:dyDescent="0.15">
      <c r="C3610" s="255" t="s">
        <v>971</v>
      </c>
      <c r="D3610" s="59">
        <v>642.20000000000005</v>
      </c>
      <c r="E3610" s="59"/>
    </row>
    <row r="3611" spans="3:5" x14ac:dyDescent="0.15">
      <c r="C3611" s="255" t="s">
        <v>972</v>
      </c>
      <c r="D3611" s="59">
        <v>3214</v>
      </c>
      <c r="E3611" s="59"/>
    </row>
    <row r="3612" spans="3:5" x14ac:dyDescent="0.15">
      <c r="C3612" s="255" t="s">
        <v>973</v>
      </c>
      <c r="D3612" s="59">
        <v>278.10000000000002</v>
      </c>
      <c r="E3612" s="59"/>
    </row>
    <row r="3613" spans="3:5" x14ac:dyDescent="0.15">
      <c r="C3613" s="255" t="s">
        <v>974</v>
      </c>
      <c r="D3613" s="59">
        <v>199.1</v>
      </c>
      <c r="E3613" s="59"/>
    </row>
    <row r="3614" spans="3:5" x14ac:dyDescent="0.15">
      <c r="C3614" s="255" t="s">
        <v>975</v>
      </c>
      <c r="D3614" s="59">
        <v>294.8</v>
      </c>
      <c r="E3614" s="59"/>
    </row>
    <row r="3615" spans="3:5" x14ac:dyDescent="0.15">
      <c r="C3615" s="255" t="s">
        <v>976</v>
      </c>
      <c r="D3615" s="59">
        <v>16.5</v>
      </c>
      <c r="E3615" s="59"/>
    </row>
    <row r="3616" spans="3:5" x14ac:dyDescent="0.15">
      <c r="C3616" s="255" t="s">
        <v>977</v>
      </c>
      <c r="D3616" s="59">
        <v>1113.8</v>
      </c>
      <c r="E3616" s="59"/>
    </row>
    <row r="3617" spans="3:5" x14ac:dyDescent="0.15">
      <c r="C3617" s="255" t="s">
        <v>978</v>
      </c>
      <c r="D3617" s="59">
        <v>1391.7</v>
      </c>
      <c r="E3617" s="59"/>
    </row>
    <row r="3618" spans="3:5" x14ac:dyDescent="0.15">
      <c r="C3618" s="255" t="s">
        <v>979</v>
      </c>
      <c r="D3618" s="59">
        <v>1127.8</v>
      </c>
      <c r="E3618" s="59"/>
    </row>
    <row r="3619" spans="3:5" x14ac:dyDescent="0.15">
      <c r="C3619" s="255" t="s">
        <v>980</v>
      </c>
      <c r="D3619" s="59">
        <v>305.39999999999998</v>
      </c>
      <c r="E3619" s="59"/>
    </row>
    <row r="3620" spans="3:5" x14ac:dyDescent="0.15">
      <c r="C3620" s="255" t="s">
        <v>981</v>
      </c>
      <c r="D3620" s="59">
        <v>0</v>
      </c>
      <c r="E3620" s="59"/>
    </row>
    <row r="3621" spans="3:5" x14ac:dyDescent="0.15">
      <c r="C3621" s="255" t="s">
        <v>982</v>
      </c>
      <c r="D3621" s="59">
        <v>602.9</v>
      </c>
      <c r="E3621" s="59"/>
    </row>
    <row r="3622" spans="3:5" x14ac:dyDescent="0.15">
      <c r="C3622" s="255" t="s">
        <v>983</v>
      </c>
      <c r="D3622" s="59">
        <v>1694.7</v>
      </c>
      <c r="E3622" s="59"/>
    </row>
    <row r="3623" spans="3:5" x14ac:dyDescent="0.15">
      <c r="C3623" s="255" t="s">
        <v>984</v>
      </c>
      <c r="D3623" s="59">
        <v>2.4</v>
      </c>
      <c r="E3623" s="59"/>
    </row>
    <row r="3624" spans="3:5" x14ac:dyDescent="0.15">
      <c r="C3624" s="255" t="s">
        <v>985</v>
      </c>
      <c r="D3624" s="59">
        <v>1273.4000000000001</v>
      </c>
      <c r="E3624" s="59"/>
    </row>
    <row r="3625" spans="3:5" x14ac:dyDescent="0.15">
      <c r="C3625" s="255" t="s">
        <v>986</v>
      </c>
      <c r="D3625" s="59">
        <v>763.5</v>
      </c>
      <c r="E3625" s="59"/>
    </row>
    <row r="3626" spans="3:5" x14ac:dyDescent="0.15">
      <c r="C3626" s="255" t="s">
        <v>987</v>
      </c>
      <c r="D3626" s="59">
        <v>523.29999999999995</v>
      </c>
      <c r="E3626" s="59"/>
    </row>
    <row r="3627" spans="3:5" x14ac:dyDescent="0.15">
      <c r="C3627" s="255" t="s">
        <v>988</v>
      </c>
      <c r="D3627" s="59">
        <v>2119.6999999999998</v>
      </c>
      <c r="E3627" s="59"/>
    </row>
    <row r="3628" spans="3:5" x14ac:dyDescent="0.15">
      <c r="C3628" s="255" t="s">
        <v>989</v>
      </c>
      <c r="D3628" s="59">
        <v>1722.2</v>
      </c>
      <c r="E3628" s="59"/>
    </row>
    <row r="3629" spans="3:5" x14ac:dyDescent="0.15">
      <c r="C3629" s="255" t="s">
        <v>990</v>
      </c>
      <c r="D3629" s="59">
        <v>599.70000000000005</v>
      </c>
      <c r="E3629" s="59"/>
    </row>
    <row r="3630" spans="3:5" x14ac:dyDescent="0.15">
      <c r="C3630" s="255" t="s">
        <v>991</v>
      </c>
      <c r="D3630" s="59">
        <v>5758.2</v>
      </c>
      <c r="E3630" s="59"/>
    </row>
    <row r="3631" spans="3:5" x14ac:dyDescent="0.15">
      <c r="C3631" s="255" t="s">
        <v>992</v>
      </c>
      <c r="D3631" s="59">
        <v>29.8</v>
      </c>
      <c r="E3631" s="59"/>
    </row>
    <row r="3632" spans="3:5" x14ac:dyDescent="0.15">
      <c r="C3632" s="255" t="s">
        <v>993</v>
      </c>
      <c r="D3632" s="59">
        <v>331.9</v>
      </c>
      <c r="E3632" s="59"/>
    </row>
    <row r="3633" spans="3:5" x14ac:dyDescent="0.15">
      <c r="C3633" s="255" t="s">
        <v>994</v>
      </c>
      <c r="D3633" s="59">
        <v>0</v>
      </c>
      <c r="E3633" s="59"/>
    </row>
    <row r="3634" spans="3:5" x14ac:dyDescent="0.15">
      <c r="C3634" s="255" t="s">
        <v>995</v>
      </c>
      <c r="D3634" s="59">
        <v>690.6</v>
      </c>
      <c r="E3634" s="59"/>
    </row>
    <row r="3635" spans="3:5" x14ac:dyDescent="0.15">
      <c r="C3635" s="255" t="s">
        <v>996</v>
      </c>
      <c r="D3635" s="59">
        <v>562.79999999999995</v>
      </c>
      <c r="E3635" s="59"/>
    </row>
    <row r="3636" spans="3:5" x14ac:dyDescent="0.15">
      <c r="C3636" s="255" t="s">
        <v>997</v>
      </c>
      <c r="D3636" s="59">
        <v>183.3</v>
      </c>
      <c r="E3636" s="59"/>
    </row>
    <row r="3637" spans="3:5" x14ac:dyDescent="0.15">
      <c r="C3637" s="255" t="s">
        <v>998</v>
      </c>
      <c r="D3637" s="59">
        <v>169.3</v>
      </c>
      <c r="E3637" s="59"/>
    </row>
    <row r="3638" spans="3:5" x14ac:dyDescent="0.15">
      <c r="C3638" s="255" t="s">
        <v>999</v>
      </c>
      <c r="D3638" s="59">
        <v>0</v>
      </c>
      <c r="E3638" s="59"/>
    </row>
    <row r="3639" spans="3:5" x14ac:dyDescent="0.15">
      <c r="C3639" s="255" t="s">
        <v>1000</v>
      </c>
      <c r="D3639" s="59">
        <v>576.29999999999995</v>
      </c>
      <c r="E3639" s="59"/>
    </row>
    <row r="3640" spans="3:5" x14ac:dyDescent="0.15">
      <c r="C3640" s="255" t="s">
        <v>1001</v>
      </c>
      <c r="D3640" s="59">
        <v>362.4</v>
      </c>
      <c r="E3640" s="59"/>
    </row>
    <row r="3641" spans="3:5" x14ac:dyDescent="0.15">
      <c r="C3641" s="255" t="s">
        <v>1002</v>
      </c>
      <c r="D3641" s="59">
        <v>145.69999999999999</v>
      </c>
      <c r="E3641" s="59"/>
    </row>
    <row r="3642" spans="3:5" x14ac:dyDescent="0.15">
      <c r="C3642" s="255" t="s">
        <v>1003</v>
      </c>
      <c r="D3642" s="59">
        <v>124.1</v>
      </c>
      <c r="E3642" s="59"/>
    </row>
    <row r="3643" spans="3:5" x14ac:dyDescent="0.15">
      <c r="C3643" s="255" t="s">
        <v>1004</v>
      </c>
      <c r="D3643" s="59">
        <v>151.9</v>
      </c>
      <c r="E3643" s="59"/>
    </row>
    <row r="3644" spans="3:5" x14ac:dyDescent="0.15">
      <c r="C3644" s="255" t="s">
        <v>1005</v>
      </c>
      <c r="D3644" s="59">
        <v>249.4</v>
      </c>
      <c r="E3644" s="59"/>
    </row>
    <row r="3645" spans="3:5" x14ac:dyDescent="0.15">
      <c r="C3645" s="255" t="s">
        <v>1006</v>
      </c>
      <c r="D3645" s="59">
        <v>5407.9</v>
      </c>
      <c r="E3645" s="59"/>
    </row>
    <row r="3646" spans="3:5" x14ac:dyDescent="0.15">
      <c r="C3646" s="255" t="s">
        <v>1007</v>
      </c>
      <c r="D3646" s="59">
        <v>2790</v>
      </c>
      <c r="E3646" s="59"/>
    </row>
    <row r="3647" spans="3:5" x14ac:dyDescent="0.15">
      <c r="C3647" s="255" t="s">
        <v>1008</v>
      </c>
      <c r="D3647" s="59">
        <v>1337.7</v>
      </c>
      <c r="E3647" s="59"/>
    </row>
    <row r="3648" spans="3:5" x14ac:dyDescent="0.15">
      <c r="C3648" s="255" t="s">
        <v>1009</v>
      </c>
      <c r="D3648" s="59">
        <v>1079.3</v>
      </c>
      <c r="E3648" s="59"/>
    </row>
    <row r="3649" spans="3:5" x14ac:dyDescent="0.15">
      <c r="C3649" s="255" t="s">
        <v>1010</v>
      </c>
      <c r="D3649" s="59">
        <v>324.7</v>
      </c>
      <c r="E3649" s="59"/>
    </row>
    <row r="3650" spans="3:5" x14ac:dyDescent="0.15">
      <c r="C3650" s="255" t="s">
        <v>1011</v>
      </c>
      <c r="D3650" s="59">
        <v>48.4</v>
      </c>
      <c r="E3650" s="59"/>
    </row>
    <row r="3651" spans="3:5" x14ac:dyDescent="0.15">
      <c r="C3651" s="255" t="s">
        <v>1012</v>
      </c>
      <c r="D3651" s="59">
        <v>24771.4</v>
      </c>
      <c r="E3651" s="59"/>
    </row>
    <row r="3652" spans="3:5" x14ac:dyDescent="0.15">
      <c r="C3652" s="255" t="s">
        <v>1013</v>
      </c>
      <c r="D3652" s="59">
        <v>12881.3</v>
      </c>
      <c r="E3652" s="59"/>
    </row>
    <row r="3653" spans="3:5" x14ac:dyDescent="0.15">
      <c r="C3653" s="255" t="s">
        <v>1014</v>
      </c>
      <c r="D3653" s="59">
        <v>4398.3999999999996</v>
      </c>
      <c r="E3653" s="59"/>
    </row>
    <row r="3654" spans="3:5" x14ac:dyDescent="0.15">
      <c r="C3654" s="255" t="s">
        <v>1015</v>
      </c>
      <c r="D3654" s="59">
        <v>1329.8</v>
      </c>
      <c r="E3654" s="59"/>
    </row>
    <row r="3655" spans="3:5" x14ac:dyDescent="0.15">
      <c r="C3655" s="255" t="s">
        <v>1016</v>
      </c>
      <c r="D3655" s="59">
        <v>3982.6</v>
      </c>
      <c r="E3655" s="59"/>
    </row>
    <row r="3656" spans="3:5" x14ac:dyDescent="0.15">
      <c r="C3656" s="255" t="s">
        <v>1017</v>
      </c>
      <c r="D3656" s="59">
        <v>2126.1</v>
      </c>
      <c r="E3656" s="59"/>
    </row>
    <row r="3657" spans="3:5" x14ac:dyDescent="0.15">
      <c r="C3657" s="255" t="s">
        <v>1018</v>
      </c>
      <c r="D3657" s="59">
        <v>53.2</v>
      </c>
      <c r="E3657" s="59"/>
    </row>
    <row r="3658" spans="3:5" x14ac:dyDescent="0.15">
      <c r="C3658" s="255" t="s">
        <v>1019</v>
      </c>
      <c r="D3658" s="59">
        <v>37120.5</v>
      </c>
      <c r="E3658" s="59"/>
    </row>
    <row r="3659" spans="3:5" x14ac:dyDescent="0.15">
      <c r="C3659" s="255" t="s">
        <v>1020</v>
      </c>
      <c r="D3659" s="59">
        <v>673.7</v>
      </c>
      <c r="E3659" s="59"/>
    </row>
    <row r="3660" spans="3:5" x14ac:dyDescent="0.15">
      <c r="C3660" s="255" t="s">
        <v>1021</v>
      </c>
      <c r="D3660" s="59">
        <v>1907</v>
      </c>
      <c r="E3660" s="59"/>
    </row>
    <row r="3661" spans="3:5" x14ac:dyDescent="0.15">
      <c r="C3661" s="255" t="s">
        <v>1022</v>
      </c>
      <c r="D3661" s="59">
        <v>790.9</v>
      </c>
      <c r="E3661" s="59"/>
    </row>
    <row r="3662" spans="3:5" x14ac:dyDescent="0.15">
      <c r="C3662" s="255" t="s">
        <v>1023</v>
      </c>
      <c r="D3662" s="59">
        <v>190.4</v>
      </c>
      <c r="E3662" s="59"/>
    </row>
    <row r="3663" spans="3:5" x14ac:dyDescent="0.15">
      <c r="C3663" s="255" t="s">
        <v>1024</v>
      </c>
      <c r="D3663" s="59">
        <v>11</v>
      </c>
      <c r="E3663" s="59"/>
    </row>
    <row r="3664" spans="3:5" x14ac:dyDescent="0.15">
      <c r="C3664" s="255" t="s">
        <v>1025</v>
      </c>
      <c r="D3664" s="59">
        <v>345.4</v>
      </c>
      <c r="E3664" s="59"/>
    </row>
    <row r="3665" spans="3:5" x14ac:dyDescent="0.15">
      <c r="C3665" s="255" t="s">
        <v>1026</v>
      </c>
      <c r="D3665" s="59">
        <v>4685.3</v>
      </c>
      <c r="E3665" s="59"/>
    </row>
    <row r="3666" spans="3:5" x14ac:dyDescent="0.15">
      <c r="C3666" s="255" t="s">
        <v>1027</v>
      </c>
      <c r="D3666" s="59">
        <v>0</v>
      </c>
      <c r="E3666" s="59"/>
    </row>
    <row r="3667" spans="3:5" x14ac:dyDescent="0.15">
      <c r="C3667" s="255" t="s">
        <v>1028</v>
      </c>
      <c r="D3667" s="59">
        <v>820.3</v>
      </c>
      <c r="E3667" s="59"/>
    </row>
    <row r="3668" spans="3:5" x14ac:dyDescent="0.15">
      <c r="C3668" s="255" t="s">
        <v>1029</v>
      </c>
      <c r="D3668" s="59">
        <v>521.79999999999995</v>
      </c>
      <c r="E3668" s="59"/>
    </row>
    <row r="3669" spans="3:5" x14ac:dyDescent="0.15">
      <c r="C3669" s="255" t="s">
        <v>1030</v>
      </c>
      <c r="D3669" s="59">
        <v>239.3</v>
      </c>
      <c r="E3669" s="59"/>
    </row>
    <row r="3670" spans="3:5" x14ac:dyDescent="0.15">
      <c r="C3670" s="255" t="s">
        <v>1031</v>
      </c>
      <c r="D3670" s="59">
        <v>467.3</v>
      </c>
      <c r="E3670" s="59"/>
    </row>
    <row r="3671" spans="3:5" x14ac:dyDescent="0.15">
      <c r="C3671" s="255" t="s">
        <v>1032</v>
      </c>
      <c r="D3671" s="59">
        <v>54.5</v>
      </c>
      <c r="E3671" s="59"/>
    </row>
    <row r="3672" spans="3:5" x14ac:dyDescent="0.15">
      <c r="C3672" s="255" t="s">
        <v>1033</v>
      </c>
      <c r="D3672" s="59">
        <v>0</v>
      </c>
      <c r="E3672" s="59"/>
    </row>
    <row r="3673" spans="3:5" x14ac:dyDescent="0.15">
      <c r="C3673" s="255" t="s">
        <v>1034</v>
      </c>
      <c r="D3673" s="59">
        <v>235.1</v>
      </c>
      <c r="E3673" s="59"/>
    </row>
    <row r="3674" spans="3:5" x14ac:dyDescent="0.15">
      <c r="C3674" s="255" t="s">
        <v>1035</v>
      </c>
      <c r="D3674" s="59">
        <v>6330.5</v>
      </c>
      <c r="E3674" s="59"/>
    </row>
    <row r="3675" spans="3:5" x14ac:dyDescent="0.15">
      <c r="C3675" s="255" t="s">
        <v>1036</v>
      </c>
      <c r="D3675" s="59">
        <v>0</v>
      </c>
      <c r="E3675" s="59"/>
    </row>
    <row r="3676" spans="3:5" x14ac:dyDescent="0.15">
      <c r="C3676" s="255" t="s">
        <v>1037</v>
      </c>
      <c r="D3676" s="59">
        <v>1561.8</v>
      </c>
      <c r="E3676" s="59"/>
    </row>
    <row r="3677" spans="3:5" x14ac:dyDescent="0.15">
      <c r="C3677" s="255" t="s">
        <v>1038</v>
      </c>
      <c r="D3677" s="59">
        <v>5500.9</v>
      </c>
      <c r="E3677" s="59"/>
    </row>
    <row r="3678" spans="3:5" x14ac:dyDescent="0.15">
      <c r="C3678" s="255" t="s">
        <v>1039</v>
      </c>
      <c r="D3678" s="59">
        <v>1470.3</v>
      </c>
      <c r="E3678" s="59"/>
    </row>
    <row r="3679" spans="3:5" x14ac:dyDescent="0.15">
      <c r="C3679" s="255" t="s">
        <v>1040</v>
      </c>
      <c r="D3679" s="59">
        <v>5889.5</v>
      </c>
      <c r="E3679" s="59"/>
    </row>
    <row r="3680" spans="3:5" x14ac:dyDescent="0.15">
      <c r="C3680" s="255" t="s">
        <v>1041</v>
      </c>
      <c r="D3680" s="59">
        <v>526.9</v>
      </c>
      <c r="E3680" s="59"/>
    </row>
    <row r="3681" spans="2:5" x14ac:dyDescent="0.15">
      <c r="C3681" s="255" t="s">
        <v>1042</v>
      </c>
      <c r="D3681" s="59">
        <v>3587</v>
      </c>
      <c r="E3681" s="59"/>
    </row>
    <row r="3682" spans="2:5" x14ac:dyDescent="0.15">
      <c r="C3682" s="255" t="s">
        <v>1043</v>
      </c>
      <c r="D3682" s="59">
        <v>844.5</v>
      </c>
      <c r="E3682" s="59"/>
    </row>
    <row r="3683" spans="2:5" x14ac:dyDescent="0.15">
      <c r="C3683" s="255" t="s">
        <v>1044</v>
      </c>
      <c r="D3683" s="59">
        <v>138.30000000000001</v>
      </c>
      <c r="E3683" s="59"/>
    </row>
    <row r="3684" spans="2:5" x14ac:dyDescent="0.15">
      <c r="C3684" s="255" t="s">
        <v>1045</v>
      </c>
      <c r="D3684" s="59">
        <v>87.2</v>
      </c>
      <c r="E3684" s="59"/>
    </row>
    <row r="3685" spans="2:5" x14ac:dyDescent="0.15">
      <c r="C3685" s="255" t="s">
        <v>1046</v>
      </c>
      <c r="D3685" s="59">
        <v>190</v>
      </c>
      <c r="E3685" s="59"/>
    </row>
    <row r="3686" spans="2:5" x14ac:dyDescent="0.15">
      <c r="C3686" s="255" t="s">
        <v>1047</v>
      </c>
      <c r="D3686" s="59">
        <v>30.3</v>
      </c>
      <c r="E3686" s="59"/>
    </row>
    <row r="3687" spans="2:5" x14ac:dyDescent="0.15">
      <c r="C3687" s="255" t="s">
        <v>1048</v>
      </c>
      <c r="D3687" s="59">
        <v>21.3</v>
      </c>
      <c r="E3687" s="59"/>
    </row>
    <row r="3688" spans="2:5" x14ac:dyDescent="0.15">
      <c r="B3688" s="255" t="s">
        <v>1056</v>
      </c>
      <c r="C3688" s="255" t="s">
        <v>743</v>
      </c>
      <c r="D3688" s="59">
        <v>605</v>
      </c>
      <c r="E3688" s="59"/>
    </row>
    <row r="3689" spans="2:5" x14ac:dyDescent="0.15">
      <c r="C3689" s="255" t="s">
        <v>744</v>
      </c>
      <c r="D3689" s="59">
        <v>783.6</v>
      </c>
      <c r="E3689" s="59"/>
    </row>
    <row r="3690" spans="2:5" x14ac:dyDescent="0.15">
      <c r="C3690" s="255" t="s">
        <v>745</v>
      </c>
      <c r="D3690" s="59">
        <v>1933.1</v>
      </c>
      <c r="E3690" s="59"/>
    </row>
    <row r="3691" spans="2:5" x14ac:dyDescent="0.15">
      <c r="C3691" s="255" t="s">
        <v>746</v>
      </c>
      <c r="D3691" s="59">
        <v>2.5</v>
      </c>
      <c r="E3691" s="59"/>
    </row>
    <row r="3692" spans="2:5" x14ac:dyDescent="0.15">
      <c r="C3692" s="255" t="s">
        <v>747</v>
      </c>
      <c r="D3692" s="59">
        <v>1.9</v>
      </c>
      <c r="E3692" s="59"/>
    </row>
    <row r="3693" spans="2:5" x14ac:dyDescent="0.15">
      <c r="C3693" s="255" t="s">
        <v>748</v>
      </c>
      <c r="D3693" s="59">
        <v>0.6</v>
      </c>
      <c r="E3693" s="59"/>
    </row>
    <row r="3694" spans="2:5" x14ac:dyDescent="0.15">
      <c r="C3694" s="255" t="s">
        <v>749</v>
      </c>
      <c r="D3694" s="59">
        <v>0.6</v>
      </c>
      <c r="E3694" s="59"/>
    </row>
    <row r="3695" spans="2:5" x14ac:dyDescent="0.15">
      <c r="C3695" s="255" t="s">
        <v>750</v>
      </c>
      <c r="D3695" s="59">
        <v>0.3</v>
      </c>
      <c r="E3695" s="59"/>
    </row>
    <row r="3696" spans="2:5" x14ac:dyDescent="0.15">
      <c r="C3696" s="255" t="s">
        <v>751</v>
      </c>
      <c r="D3696" s="59">
        <v>44.5</v>
      </c>
      <c r="E3696" s="59"/>
    </row>
    <row r="3697" spans="3:5" x14ac:dyDescent="0.15">
      <c r="C3697" s="255" t="s">
        <v>752</v>
      </c>
      <c r="D3697" s="59">
        <v>1.6</v>
      </c>
      <c r="E3697" s="59"/>
    </row>
    <row r="3698" spans="3:5" x14ac:dyDescent="0.15">
      <c r="C3698" s="255" t="s">
        <v>753</v>
      </c>
      <c r="D3698" s="59">
        <v>119.8</v>
      </c>
      <c r="E3698" s="59"/>
    </row>
    <row r="3699" spans="3:5" x14ac:dyDescent="0.15">
      <c r="C3699" s="255" t="s">
        <v>754</v>
      </c>
      <c r="D3699" s="59">
        <v>1950.7</v>
      </c>
      <c r="E3699" s="59"/>
    </row>
    <row r="3700" spans="3:5" x14ac:dyDescent="0.15">
      <c r="C3700" s="255" t="s">
        <v>192</v>
      </c>
      <c r="D3700" s="59">
        <v>315766.59999999998</v>
      </c>
      <c r="E3700" s="59"/>
    </row>
    <row r="3701" spans="3:5" x14ac:dyDescent="0.15">
      <c r="C3701" s="255" t="s">
        <v>755</v>
      </c>
      <c r="D3701" s="59">
        <v>38982</v>
      </c>
      <c r="E3701" s="59"/>
    </row>
    <row r="3702" spans="3:5" x14ac:dyDescent="0.15">
      <c r="C3702" s="255" t="s">
        <v>756</v>
      </c>
      <c r="D3702" s="59">
        <v>206.2</v>
      </c>
      <c r="E3702" s="59"/>
    </row>
    <row r="3703" spans="3:5" x14ac:dyDescent="0.15">
      <c r="C3703" s="255" t="s">
        <v>757</v>
      </c>
      <c r="D3703" s="59">
        <v>116.3</v>
      </c>
      <c r="E3703" s="59"/>
    </row>
    <row r="3704" spans="3:5" x14ac:dyDescent="0.15">
      <c r="C3704" s="255" t="s">
        <v>758</v>
      </c>
      <c r="D3704" s="59">
        <v>2450.5</v>
      </c>
      <c r="E3704" s="59"/>
    </row>
    <row r="3705" spans="3:5" x14ac:dyDescent="0.15">
      <c r="C3705" s="255" t="s">
        <v>759</v>
      </c>
      <c r="D3705" s="59">
        <v>1454.5</v>
      </c>
      <c r="E3705" s="59"/>
    </row>
    <row r="3706" spans="3:5" x14ac:dyDescent="0.15">
      <c r="C3706" s="255" t="s">
        <v>760</v>
      </c>
      <c r="D3706" s="59">
        <v>238.7</v>
      </c>
      <c r="E3706" s="59"/>
    </row>
    <row r="3707" spans="3:5" x14ac:dyDescent="0.15">
      <c r="C3707" s="255" t="s">
        <v>761</v>
      </c>
      <c r="D3707" s="59">
        <v>417.5</v>
      </c>
      <c r="E3707" s="59"/>
    </row>
    <row r="3708" spans="3:5" x14ac:dyDescent="0.15">
      <c r="C3708" s="255" t="s">
        <v>762</v>
      </c>
      <c r="D3708" s="59">
        <v>468.1</v>
      </c>
      <c r="E3708" s="59"/>
    </row>
    <row r="3709" spans="3:5" x14ac:dyDescent="0.15">
      <c r="C3709" s="255" t="s">
        <v>763</v>
      </c>
      <c r="D3709" s="59">
        <v>198.8</v>
      </c>
      <c r="E3709" s="59"/>
    </row>
    <row r="3710" spans="3:5" x14ac:dyDescent="0.15">
      <c r="C3710" s="255" t="s">
        <v>764</v>
      </c>
      <c r="D3710" s="59">
        <v>2467.6</v>
      </c>
      <c r="E3710" s="59"/>
    </row>
    <row r="3711" spans="3:5" x14ac:dyDescent="0.15">
      <c r="C3711" s="255" t="s">
        <v>765</v>
      </c>
      <c r="D3711" s="59">
        <v>1321.7</v>
      </c>
      <c r="E3711" s="59"/>
    </row>
    <row r="3712" spans="3:5" x14ac:dyDescent="0.15">
      <c r="C3712" s="255" t="s">
        <v>766</v>
      </c>
      <c r="D3712" s="59">
        <v>120.1</v>
      </c>
      <c r="E3712" s="59"/>
    </row>
    <row r="3713" spans="3:5" x14ac:dyDescent="0.15">
      <c r="C3713" s="255" t="s">
        <v>767</v>
      </c>
      <c r="D3713" s="59">
        <v>1376</v>
      </c>
      <c r="E3713" s="59"/>
    </row>
    <row r="3714" spans="3:5" x14ac:dyDescent="0.15">
      <c r="C3714" s="255" t="s">
        <v>768</v>
      </c>
      <c r="D3714" s="59">
        <v>46.7</v>
      </c>
      <c r="E3714" s="59"/>
    </row>
    <row r="3715" spans="3:5" x14ac:dyDescent="0.15">
      <c r="C3715" s="255" t="s">
        <v>769</v>
      </c>
      <c r="D3715" s="59">
        <v>26.6</v>
      </c>
      <c r="E3715" s="59"/>
    </row>
    <row r="3716" spans="3:5" x14ac:dyDescent="0.15">
      <c r="C3716" s="255" t="s">
        <v>770</v>
      </c>
      <c r="D3716" s="59">
        <v>1771.6</v>
      </c>
      <c r="E3716" s="59"/>
    </row>
    <row r="3717" spans="3:5" x14ac:dyDescent="0.15">
      <c r="C3717" s="255" t="s">
        <v>771</v>
      </c>
      <c r="D3717" s="59">
        <v>1937.9</v>
      </c>
      <c r="E3717" s="59"/>
    </row>
    <row r="3718" spans="3:5" x14ac:dyDescent="0.15">
      <c r="C3718" s="255" t="s">
        <v>772</v>
      </c>
      <c r="D3718" s="59">
        <v>502.4</v>
      </c>
      <c r="E3718" s="59"/>
    </row>
    <row r="3719" spans="3:5" x14ac:dyDescent="0.15">
      <c r="C3719" s="255" t="s">
        <v>773</v>
      </c>
      <c r="D3719" s="59">
        <v>84</v>
      </c>
      <c r="E3719" s="59"/>
    </row>
    <row r="3720" spans="3:5" x14ac:dyDescent="0.15">
      <c r="C3720" s="255" t="s">
        <v>774</v>
      </c>
      <c r="D3720" s="59">
        <v>111</v>
      </c>
      <c r="E3720" s="59"/>
    </row>
    <row r="3721" spans="3:5" x14ac:dyDescent="0.15">
      <c r="C3721" s="255" t="s">
        <v>775</v>
      </c>
      <c r="D3721" s="59">
        <v>59.1</v>
      </c>
      <c r="E3721" s="59"/>
    </row>
    <row r="3722" spans="3:5" x14ac:dyDescent="0.15">
      <c r="C3722" s="255" t="s">
        <v>776</v>
      </c>
      <c r="D3722" s="59">
        <v>316.7</v>
      </c>
      <c r="E3722" s="59"/>
    </row>
    <row r="3723" spans="3:5" x14ac:dyDescent="0.15">
      <c r="C3723" s="255" t="s">
        <v>777</v>
      </c>
      <c r="D3723" s="59">
        <v>745.4</v>
      </c>
      <c r="E3723" s="59"/>
    </row>
    <row r="3724" spans="3:5" x14ac:dyDescent="0.15">
      <c r="C3724" s="255" t="s">
        <v>778</v>
      </c>
      <c r="D3724" s="59">
        <v>457.2</v>
      </c>
      <c r="E3724" s="59"/>
    </row>
    <row r="3725" spans="3:5" x14ac:dyDescent="0.15">
      <c r="C3725" s="255" t="s">
        <v>779</v>
      </c>
      <c r="D3725" s="59">
        <v>630.29999999999995</v>
      </c>
      <c r="E3725" s="59"/>
    </row>
    <row r="3726" spans="3:5" x14ac:dyDescent="0.15">
      <c r="C3726" s="255" t="s">
        <v>780</v>
      </c>
      <c r="D3726" s="59">
        <v>9.3000000000000007</v>
      </c>
      <c r="E3726" s="59"/>
    </row>
    <row r="3727" spans="3:5" x14ac:dyDescent="0.15">
      <c r="C3727" s="255" t="s">
        <v>781</v>
      </c>
      <c r="D3727" s="59">
        <v>779.8</v>
      </c>
      <c r="E3727" s="59"/>
    </row>
    <row r="3728" spans="3:5" x14ac:dyDescent="0.15">
      <c r="C3728" s="255" t="s">
        <v>782</v>
      </c>
      <c r="D3728" s="59">
        <v>1870.7</v>
      </c>
      <c r="E3728" s="59"/>
    </row>
    <row r="3729" spans="3:5" x14ac:dyDescent="0.15">
      <c r="C3729" s="255" t="s">
        <v>783</v>
      </c>
      <c r="D3729" s="59">
        <v>724.4</v>
      </c>
      <c r="E3729" s="59"/>
    </row>
    <row r="3730" spans="3:5" x14ac:dyDescent="0.15">
      <c r="C3730" s="255" t="s">
        <v>784</v>
      </c>
      <c r="D3730" s="59">
        <v>620.4</v>
      </c>
      <c r="E3730" s="59"/>
    </row>
    <row r="3731" spans="3:5" x14ac:dyDescent="0.15">
      <c r="C3731" s="255" t="s">
        <v>785</v>
      </c>
      <c r="D3731" s="59">
        <v>598</v>
      </c>
      <c r="E3731" s="59"/>
    </row>
    <row r="3732" spans="3:5" x14ac:dyDescent="0.15">
      <c r="C3732" s="255" t="s">
        <v>786</v>
      </c>
      <c r="D3732" s="59">
        <v>165.7</v>
      </c>
      <c r="E3732" s="59"/>
    </row>
    <row r="3733" spans="3:5" x14ac:dyDescent="0.15">
      <c r="C3733" s="255" t="s">
        <v>787</v>
      </c>
      <c r="D3733" s="59">
        <v>110</v>
      </c>
      <c r="E3733" s="59"/>
    </row>
    <row r="3734" spans="3:5" x14ac:dyDescent="0.15">
      <c r="C3734" s="255" t="s">
        <v>788</v>
      </c>
      <c r="D3734" s="59">
        <v>88.5</v>
      </c>
      <c r="E3734" s="59"/>
    </row>
    <row r="3735" spans="3:5" x14ac:dyDescent="0.15">
      <c r="C3735" s="255" t="s">
        <v>789</v>
      </c>
      <c r="D3735" s="59">
        <v>4.9000000000000004</v>
      </c>
      <c r="E3735" s="59"/>
    </row>
    <row r="3736" spans="3:5" x14ac:dyDescent="0.15">
      <c r="C3736" s="255" t="s">
        <v>790</v>
      </c>
      <c r="D3736" s="59">
        <v>2188.9</v>
      </c>
      <c r="E3736" s="59"/>
    </row>
    <row r="3737" spans="3:5" x14ac:dyDescent="0.15">
      <c r="C3737" s="255" t="s">
        <v>791</v>
      </c>
      <c r="D3737" s="59">
        <v>61.5</v>
      </c>
      <c r="E3737" s="59"/>
    </row>
    <row r="3738" spans="3:5" x14ac:dyDescent="0.15">
      <c r="C3738" s="255" t="s">
        <v>792</v>
      </c>
      <c r="D3738" s="59">
        <v>754.6</v>
      </c>
      <c r="E3738" s="59"/>
    </row>
    <row r="3739" spans="3:5" x14ac:dyDescent="0.15">
      <c r="C3739" s="255" t="s">
        <v>793</v>
      </c>
      <c r="D3739" s="59">
        <v>191.1</v>
      </c>
      <c r="E3739" s="59"/>
    </row>
    <row r="3740" spans="3:5" x14ac:dyDescent="0.15">
      <c r="C3740" s="255" t="s">
        <v>794</v>
      </c>
      <c r="D3740" s="59">
        <v>2248.3000000000002</v>
      </c>
      <c r="E3740" s="59"/>
    </row>
    <row r="3741" spans="3:5" x14ac:dyDescent="0.15">
      <c r="C3741" s="255" t="s">
        <v>795</v>
      </c>
      <c r="D3741" s="59">
        <v>244.3</v>
      </c>
      <c r="E3741" s="59"/>
    </row>
    <row r="3742" spans="3:5" x14ac:dyDescent="0.15">
      <c r="C3742" s="255" t="s">
        <v>796</v>
      </c>
      <c r="D3742" s="59">
        <v>598.9</v>
      </c>
      <c r="E3742" s="59"/>
    </row>
    <row r="3743" spans="3:5" x14ac:dyDescent="0.15">
      <c r="C3743" s="255" t="s">
        <v>797</v>
      </c>
      <c r="D3743" s="59">
        <v>698.5</v>
      </c>
      <c r="E3743" s="59"/>
    </row>
    <row r="3744" spans="3:5" x14ac:dyDescent="0.15">
      <c r="C3744" s="255" t="s">
        <v>798</v>
      </c>
      <c r="D3744" s="59">
        <v>393</v>
      </c>
      <c r="E3744" s="59"/>
    </row>
    <row r="3745" spans="3:5" x14ac:dyDescent="0.15">
      <c r="C3745" s="255" t="s">
        <v>799</v>
      </c>
      <c r="D3745" s="59">
        <v>91.7</v>
      </c>
      <c r="E3745" s="59"/>
    </row>
    <row r="3746" spans="3:5" x14ac:dyDescent="0.15">
      <c r="C3746" s="255" t="s">
        <v>800</v>
      </c>
      <c r="D3746" s="59">
        <v>123.9</v>
      </c>
      <c r="E3746" s="59"/>
    </row>
    <row r="3747" spans="3:5" x14ac:dyDescent="0.15">
      <c r="C3747" s="255" t="s">
        <v>801</v>
      </c>
      <c r="D3747" s="59">
        <v>253.7</v>
      </c>
      <c r="E3747" s="59"/>
    </row>
    <row r="3748" spans="3:5" x14ac:dyDescent="0.15">
      <c r="C3748" s="255" t="s">
        <v>802</v>
      </c>
      <c r="D3748" s="59">
        <v>1101.0999999999999</v>
      </c>
      <c r="E3748" s="59"/>
    </row>
    <row r="3749" spans="3:5" x14ac:dyDescent="0.15">
      <c r="C3749" s="255" t="s">
        <v>803</v>
      </c>
      <c r="D3749" s="59">
        <v>1494.6</v>
      </c>
      <c r="E3749" s="59"/>
    </row>
    <row r="3750" spans="3:5" x14ac:dyDescent="0.15">
      <c r="C3750" s="255" t="s">
        <v>804</v>
      </c>
      <c r="D3750" s="59">
        <v>739.6</v>
      </c>
      <c r="E3750" s="59"/>
    </row>
    <row r="3751" spans="3:5" x14ac:dyDescent="0.15">
      <c r="C3751" s="255" t="s">
        <v>805</v>
      </c>
      <c r="D3751" s="59">
        <v>29.4</v>
      </c>
      <c r="E3751" s="59"/>
    </row>
    <row r="3752" spans="3:5" x14ac:dyDescent="0.15">
      <c r="C3752" s="255" t="s">
        <v>806</v>
      </c>
      <c r="D3752" s="59">
        <v>867</v>
      </c>
      <c r="E3752" s="59"/>
    </row>
    <row r="3753" spans="3:5" x14ac:dyDescent="0.15">
      <c r="C3753" s="255" t="s">
        <v>807</v>
      </c>
      <c r="D3753" s="59">
        <v>382.1</v>
      </c>
      <c r="E3753" s="59"/>
    </row>
    <row r="3754" spans="3:5" x14ac:dyDescent="0.15">
      <c r="C3754" s="255" t="s">
        <v>808</v>
      </c>
      <c r="D3754" s="59">
        <v>70.8</v>
      </c>
      <c r="E3754" s="59"/>
    </row>
    <row r="3755" spans="3:5" x14ac:dyDescent="0.15">
      <c r="C3755" s="255" t="s">
        <v>809</v>
      </c>
      <c r="D3755" s="59">
        <v>318.7</v>
      </c>
      <c r="E3755" s="59"/>
    </row>
    <row r="3756" spans="3:5" x14ac:dyDescent="0.15">
      <c r="C3756" s="255" t="s">
        <v>810</v>
      </c>
      <c r="D3756" s="59">
        <v>206.6</v>
      </c>
      <c r="E3756" s="59"/>
    </row>
    <row r="3757" spans="3:5" x14ac:dyDescent="0.15">
      <c r="C3757" s="255" t="s">
        <v>811</v>
      </c>
      <c r="D3757" s="59">
        <v>1040.5</v>
      </c>
      <c r="E3757" s="59"/>
    </row>
    <row r="3758" spans="3:5" x14ac:dyDescent="0.15">
      <c r="C3758" s="255" t="s">
        <v>812</v>
      </c>
      <c r="D3758" s="59">
        <v>165.9</v>
      </c>
      <c r="E3758" s="59"/>
    </row>
    <row r="3759" spans="3:5" x14ac:dyDescent="0.15">
      <c r="C3759" s="255" t="s">
        <v>813</v>
      </c>
      <c r="D3759" s="59">
        <v>58.6</v>
      </c>
      <c r="E3759" s="59"/>
    </row>
    <row r="3760" spans="3:5" x14ac:dyDescent="0.15">
      <c r="C3760" s="255" t="s">
        <v>814</v>
      </c>
      <c r="D3760" s="59">
        <v>169.2</v>
      </c>
      <c r="E3760" s="59"/>
    </row>
    <row r="3761" spans="3:5" x14ac:dyDescent="0.15">
      <c r="C3761" s="255" t="s">
        <v>815</v>
      </c>
      <c r="D3761" s="59">
        <v>1385.8</v>
      </c>
      <c r="E3761" s="59"/>
    </row>
    <row r="3762" spans="3:5" x14ac:dyDescent="0.15">
      <c r="C3762" s="255" t="s">
        <v>816</v>
      </c>
      <c r="D3762" s="59">
        <v>607.29999999999995</v>
      </c>
      <c r="E3762" s="59"/>
    </row>
    <row r="3763" spans="3:5" x14ac:dyDescent="0.15">
      <c r="C3763" s="255" t="s">
        <v>817</v>
      </c>
      <c r="D3763" s="59">
        <v>7724.5</v>
      </c>
      <c r="E3763" s="59"/>
    </row>
    <row r="3764" spans="3:5" x14ac:dyDescent="0.15">
      <c r="C3764" s="255" t="s">
        <v>818</v>
      </c>
      <c r="D3764" s="59">
        <v>567.6</v>
      </c>
      <c r="E3764" s="59"/>
    </row>
    <row r="3765" spans="3:5" x14ac:dyDescent="0.15">
      <c r="C3765" s="255" t="s">
        <v>819</v>
      </c>
      <c r="D3765" s="59">
        <v>12.7</v>
      </c>
      <c r="E3765" s="59"/>
    </row>
    <row r="3766" spans="3:5" x14ac:dyDescent="0.15">
      <c r="C3766" s="255" t="s">
        <v>820</v>
      </c>
      <c r="D3766" s="59">
        <v>2186.6</v>
      </c>
      <c r="E3766" s="59"/>
    </row>
    <row r="3767" spans="3:5" x14ac:dyDescent="0.15">
      <c r="C3767" s="255" t="s">
        <v>821</v>
      </c>
      <c r="D3767" s="59">
        <v>35.5</v>
      </c>
      <c r="E3767" s="59"/>
    </row>
    <row r="3768" spans="3:5" x14ac:dyDescent="0.15">
      <c r="C3768" s="255" t="s">
        <v>822</v>
      </c>
      <c r="D3768" s="59">
        <v>135.19999999999999</v>
      </c>
      <c r="E3768" s="59"/>
    </row>
    <row r="3769" spans="3:5" x14ac:dyDescent="0.15">
      <c r="C3769" s="255" t="s">
        <v>823</v>
      </c>
      <c r="D3769" s="59">
        <v>2.2999999999999998</v>
      </c>
      <c r="E3769" s="59"/>
    </row>
    <row r="3770" spans="3:5" x14ac:dyDescent="0.15">
      <c r="C3770" s="255" t="s">
        <v>824</v>
      </c>
      <c r="D3770" s="59">
        <v>673</v>
      </c>
      <c r="E3770" s="59"/>
    </row>
    <row r="3771" spans="3:5" x14ac:dyDescent="0.15">
      <c r="C3771" s="255" t="s">
        <v>825</v>
      </c>
      <c r="D3771" s="59">
        <v>570.20000000000005</v>
      </c>
      <c r="E3771" s="59"/>
    </row>
    <row r="3772" spans="3:5" x14ac:dyDescent="0.15">
      <c r="C3772" s="255" t="s">
        <v>826</v>
      </c>
      <c r="D3772" s="59">
        <v>1.3</v>
      </c>
      <c r="E3772" s="59"/>
    </row>
    <row r="3773" spans="3:5" x14ac:dyDescent="0.15">
      <c r="C3773" s="255" t="s">
        <v>827</v>
      </c>
      <c r="D3773" s="59">
        <v>0.8</v>
      </c>
      <c r="E3773" s="59"/>
    </row>
    <row r="3774" spans="3:5" x14ac:dyDescent="0.15">
      <c r="C3774" s="255" t="s">
        <v>828</v>
      </c>
      <c r="D3774" s="59">
        <v>2904.4</v>
      </c>
      <c r="E3774" s="59"/>
    </row>
    <row r="3775" spans="3:5" x14ac:dyDescent="0.15">
      <c r="C3775" s="255" t="s">
        <v>829</v>
      </c>
      <c r="D3775" s="59">
        <v>23.9</v>
      </c>
      <c r="E3775" s="59"/>
    </row>
    <row r="3776" spans="3:5" x14ac:dyDescent="0.15">
      <c r="C3776" s="255" t="s">
        <v>830</v>
      </c>
      <c r="D3776" s="59">
        <v>611.20000000000005</v>
      </c>
      <c r="E3776" s="59"/>
    </row>
    <row r="3777" spans="3:5" x14ac:dyDescent="0.15">
      <c r="C3777" s="255" t="s">
        <v>831</v>
      </c>
      <c r="D3777" s="59">
        <v>0</v>
      </c>
      <c r="E3777" s="59"/>
    </row>
    <row r="3778" spans="3:5" x14ac:dyDescent="0.15">
      <c r="C3778" s="255" t="s">
        <v>832</v>
      </c>
      <c r="D3778" s="59">
        <v>11633.9</v>
      </c>
      <c r="E3778" s="59"/>
    </row>
    <row r="3779" spans="3:5" x14ac:dyDescent="0.15">
      <c r="C3779" s="255" t="s">
        <v>833</v>
      </c>
      <c r="D3779" s="59">
        <v>21.4</v>
      </c>
      <c r="E3779" s="59"/>
    </row>
    <row r="3780" spans="3:5" x14ac:dyDescent="0.15">
      <c r="C3780" s="255" t="s">
        <v>834</v>
      </c>
      <c r="D3780" s="59">
        <v>2959</v>
      </c>
      <c r="E3780" s="59"/>
    </row>
    <row r="3781" spans="3:5" x14ac:dyDescent="0.15">
      <c r="C3781" s="255" t="s">
        <v>835</v>
      </c>
      <c r="D3781" s="59">
        <v>4576.8999999999996</v>
      </c>
      <c r="E3781" s="59"/>
    </row>
    <row r="3782" spans="3:5" x14ac:dyDescent="0.15">
      <c r="C3782" s="255" t="s">
        <v>836</v>
      </c>
      <c r="D3782" s="59">
        <v>1223.5999999999999</v>
      </c>
      <c r="E3782" s="59"/>
    </row>
    <row r="3783" spans="3:5" x14ac:dyDescent="0.15">
      <c r="C3783" s="255" t="s">
        <v>837</v>
      </c>
      <c r="D3783" s="59">
        <v>306</v>
      </c>
      <c r="E3783" s="59"/>
    </row>
    <row r="3784" spans="3:5" x14ac:dyDescent="0.15">
      <c r="C3784" s="255" t="s">
        <v>838</v>
      </c>
      <c r="D3784" s="59">
        <v>101.8</v>
      </c>
      <c r="E3784" s="59"/>
    </row>
    <row r="3785" spans="3:5" x14ac:dyDescent="0.15">
      <c r="C3785" s="255" t="s">
        <v>839</v>
      </c>
      <c r="D3785" s="59">
        <v>123.9</v>
      </c>
      <c r="E3785" s="59"/>
    </row>
    <row r="3786" spans="3:5" x14ac:dyDescent="0.15">
      <c r="C3786" s="255" t="s">
        <v>840</v>
      </c>
      <c r="D3786" s="59">
        <v>4.0999999999999996</v>
      </c>
      <c r="E3786" s="59"/>
    </row>
    <row r="3787" spans="3:5" x14ac:dyDescent="0.15">
      <c r="C3787" s="255" t="s">
        <v>841</v>
      </c>
      <c r="D3787" s="59">
        <v>804.9</v>
      </c>
      <c r="E3787" s="59"/>
    </row>
    <row r="3788" spans="3:5" x14ac:dyDescent="0.15">
      <c r="C3788" s="255" t="s">
        <v>842</v>
      </c>
      <c r="D3788" s="59">
        <v>1124.2</v>
      </c>
      <c r="E3788" s="59"/>
    </row>
    <row r="3789" spans="3:5" x14ac:dyDescent="0.15">
      <c r="C3789" s="255" t="s">
        <v>843</v>
      </c>
      <c r="D3789" s="59">
        <v>379</v>
      </c>
      <c r="E3789" s="59"/>
    </row>
    <row r="3790" spans="3:5" x14ac:dyDescent="0.15">
      <c r="C3790" s="255" t="s">
        <v>844</v>
      </c>
      <c r="D3790" s="59">
        <v>9.1</v>
      </c>
      <c r="E3790" s="59"/>
    </row>
    <row r="3791" spans="3:5" x14ac:dyDescent="0.15">
      <c r="C3791" s="255" t="s">
        <v>845</v>
      </c>
      <c r="D3791" s="59">
        <v>91943.8</v>
      </c>
      <c r="E3791" s="59"/>
    </row>
    <row r="3792" spans="3:5" x14ac:dyDescent="0.15">
      <c r="C3792" s="255" t="s">
        <v>846</v>
      </c>
      <c r="D3792" s="59">
        <v>24577</v>
      </c>
      <c r="E3792" s="59"/>
    </row>
    <row r="3793" spans="3:5" x14ac:dyDescent="0.15">
      <c r="C3793" s="255" t="s">
        <v>847</v>
      </c>
      <c r="D3793" s="59">
        <v>24.8</v>
      </c>
      <c r="E3793" s="59"/>
    </row>
    <row r="3794" spans="3:5" x14ac:dyDescent="0.15">
      <c r="C3794" s="255" t="s">
        <v>848</v>
      </c>
      <c r="D3794" s="59">
        <v>31172.1</v>
      </c>
      <c r="E3794" s="59"/>
    </row>
    <row r="3795" spans="3:5" x14ac:dyDescent="0.15">
      <c r="C3795" s="255" t="s">
        <v>849</v>
      </c>
      <c r="D3795" s="59">
        <v>1394.3</v>
      </c>
      <c r="E3795" s="59"/>
    </row>
    <row r="3796" spans="3:5" x14ac:dyDescent="0.15">
      <c r="C3796" s="255" t="s">
        <v>850</v>
      </c>
      <c r="D3796" s="59">
        <v>2277</v>
      </c>
      <c r="E3796" s="59"/>
    </row>
    <row r="3797" spans="3:5" x14ac:dyDescent="0.15">
      <c r="C3797" s="255" t="s">
        <v>851</v>
      </c>
      <c r="D3797" s="59">
        <v>0</v>
      </c>
      <c r="E3797" s="59"/>
    </row>
    <row r="3798" spans="3:5" x14ac:dyDescent="0.15">
      <c r="C3798" s="255" t="s">
        <v>852</v>
      </c>
      <c r="D3798" s="59">
        <v>0</v>
      </c>
      <c r="E3798" s="59"/>
    </row>
    <row r="3799" spans="3:5" x14ac:dyDescent="0.15">
      <c r="C3799" s="255" t="s">
        <v>853</v>
      </c>
      <c r="D3799" s="59">
        <v>196.6</v>
      </c>
      <c r="E3799" s="59"/>
    </row>
    <row r="3800" spans="3:5" x14ac:dyDescent="0.15">
      <c r="C3800" s="255" t="s">
        <v>854</v>
      </c>
      <c r="D3800" s="59">
        <v>0</v>
      </c>
      <c r="E3800" s="59"/>
    </row>
    <row r="3801" spans="3:5" x14ac:dyDescent="0.15">
      <c r="C3801" s="255" t="s">
        <v>855</v>
      </c>
      <c r="D3801" s="59">
        <v>266.60000000000002</v>
      </c>
      <c r="E3801" s="59"/>
    </row>
    <row r="3802" spans="3:5" x14ac:dyDescent="0.15">
      <c r="C3802" s="255" t="s">
        <v>856</v>
      </c>
      <c r="D3802" s="59">
        <v>2068.1</v>
      </c>
      <c r="E3802" s="59"/>
    </row>
    <row r="3803" spans="3:5" x14ac:dyDescent="0.15">
      <c r="C3803" s="255" t="s">
        <v>857</v>
      </c>
      <c r="D3803" s="59">
        <v>2275.1</v>
      </c>
      <c r="E3803" s="59"/>
    </row>
    <row r="3804" spans="3:5" x14ac:dyDescent="0.15">
      <c r="C3804" s="255" t="s">
        <v>858</v>
      </c>
      <c r="D3804" s="59">
        <v>2479</v>
      </c>
      <c r="E3804" s="59"/>
    </row>
    <row r="3805" spans="3:5" x14ac:dyDescent="0.15">
      <c r="C3805" s="255" t="s">
        <v>859</v>
      </c>
      <c r="D3805" s="59">
        <v>2626.3</v>
      </c>
      <c r="E3805" s="59"/>
    </row>
    <row r="3806" spans="3:5" x14ac:dyDescent="0.15">
      <c r="C3806" s="255" t="s">
        <v>860</v>
      </c>
      <c r="D3806" s="59">
        <v>186.4</v>
      </c>
      <c r="E3806" s="59"/>
    </row>
    <row r="3807" spans="3:5" x14ac:dyDescent="0.15">
      <c r="C3807" s="255" t="s">
        <v>861</v>
      </c>
      <c r="D3807" s="59">
        <v>1698.9</v>
      </c>
      <c r="E3807" s="59"/>
    </row>
    <row r="3808" spans="3:5" x14ac:dyDescent="0.15">
      <c r="C3808" s="255" t="s">
        <v>862</v>
      </c>
      <c r="D3808" s="59">
        <v>8040.3</v>
      </c>
      <c r="E3808" s="59"/>
    </row>
    <row r="3809" spans="3:5" x14ac:dyDescent="0.15">
      <c r="C3809" s="255" t="s">
        <v>863</v>
      </c>
      <c r="D3809" s="59">
        <v>1461.3</v>
      </c>
      <c r="E3809" s="59"/>
    </row>
    <row r="3810" spans="3:5" x14ac:dyDescent="0.15">
      <c r="C3810" s="255" t="s">
        <v>864</v>
      </c>
      <c r="D3810" s="59">
        <v>33.6</v>
      </c>
      <c r="E3810" s="59"/>
    </row>
    <row r="3811" spans="3:5" x14ac:dyDescent="0.15">
      <c r="C3811" s="255" t="s">
        <v>865</v>
      </c>
      <c r="D3811" s="59">
        <v>1021.5</v>
      </c>
      <c r="E3811" s="59"/>
    </row>
    <row r="3812" spans="3:5" x14ac:dyDescent="0.15">
      <c r="C3812" s="255" t="s">
        <v>866</v>
      </c>
      <c r="D3812" s="59">
        <v>27.6</v>
      </c>
      <c r="E3812" s="59"/>
    </row>
    <row r="3813" spans="3:5" x14ac:dyDescent="0.15">
      <c r="C3813" s="255" t="s">
        <v>867</v>
      </c>
      <c r="D3813" s="59">
        <v>1694.4</v>
      </c>
      <c r="E3813" s="59"/>
    </row>
    <row r="3814" spans="3:5" x14ac:dyDescent="0.15">
      <c r="C3814" s="255" t="s">
        <v>868</v>
      </c>
      <c r="D3814" s="59">
        <v>8423</v>
      </c>
      <c r="E3814" s="59"/>
    </row>
    <row r="3815" spans="3:5" x14ac:dyDescent="0.15">
      <c r="C3815" s="255" t="s">
        <v>869</v>
      </c>
      <c r="D3815" s="59">
        <v>17582.3</v>
      </c>
      <c r="E3815" s="59"/>
    </row>
    <row r="3816" spans="3:5" x14ac:dyDescent="0.15">
      <c r="C3816" s="255" t="s">
        <v>870</v>
      </c>
      <c r="D3816" s="59">
        <v>3705.8</v>
      </c>
      <c r="E3816" s="59"/>
    </row>
    <row r="3817" spans="3:5" x14ac:dyDescent="0.15">
      <c r="C3817" s="255" t="s">
        <v>871</v>
      </c>
      <c r="D3817" s="59">
        <v>824.1</v>
      </c>
      <c r="E3817" s="59"/>
    </row>
    <row r="3818" spans="3:5" x14ac:dyDescent="0.15">
      <c r="C3818" s="255" t="s">
        <v>872</v>
      </c>
      <c r="D3818" s="59">
        <v>619.20000000000005</v>
      </c>
      <c r="E3818" s="59"/>
    </row>
    <row r="3819" spans="3:5" x14ac:dyDescent="0.15">
      <c r="C3819" s="255" t="s">
        <v>873</v>
      </c>
      <c r="D3819" s="59">
        <v>901.5</v>
      </c>
      <c r="E3819" s="59"/>
    </row>
    <row r="3820" spans="3:5" x14ac:dyDescent="0.15">
      <c r="C3820" s="255" t="s">
        <v>874</v>
      </c>
      <c r="D3820" s="59">
        <v>193.9</v>
      </c>
      <c r="E3820" s="59"/>
    </row>
    <row r="3821" spans="3:5" x14ac:dyDescent="0.15">
      <c r="C3821" s="255" t="s">
        <v>875</v>
      </c>
      <c r="D3821" s="59">
        <v>52.1</v>
      </c>
      <c r="E3821" s="59"/>
    </row>
    <row r="3822" spans="3:5" x14ac:dyDescent="0.15">
      <c r="C3822" s="255" t="s">
        <v>876</v>
      </c>
      <c r="D3822" s="59">
        <v>13.9</v>
      </c>
      <c r="E3822" s="59"/>
    </row>
    <row r="3823" spans="3:5" x14ac:dyDescent="0.15">
      <c r="C3823" s="255" t="s">
        <v>877</v>
      </c>
      <c r="D3823" s="59">
        <v>4.5</v>
      </c>
      <c r="E3823" s="59"/>
    </row>
    <row r="3824" spans="3:5" x14ac:dyDescent="0.15">
      <c r="C3824" s="255" t="s">
        <v>878</v>
      </c>
      <c r="D3824" s="59">
        <v>95.1</v>
      </c>
      <c r="E3824" s="59"/>
    </row>
    <row r="3825" spans="3:5" x14ac:dyDescent="0.15">
      <c r="C3825" s="255" t="s">
        <v>879</v>
      </c>
      <c r="D3825" s="59">
        <v>880.7</v>
      </c>
      <c r="E3825" s="59"/>
    </row>
    <row r="3826" spans="3:5" x14ac:dyDescent="0.15">
      <c r="C3826" s="255" t="s">
        <v>880</v>
      </c>
      <c r="D3826" s="59">
        <v>83.5</v>
      </c>
      <c r="E3826" s="59"/>
    </row>
    <row r="3827" spans="3:5" x14ac:dyDescent="0.15">
      <c r="C3827" s="255" t="s">
        <v>881</v>
      </c>
      <c r="D3827" s="59">
        <v>1.3</v>
      </c>
      <c r="E3827" s="59"/>
    </row>
    <row r="3828" spans="3:5" x14ac:dyDescent="0.15">
      <c r="C3828" s="255" t="s">
        <v>882</v>
      </c>
      <c r="D3828" s="59">
        <v>211.3</v>
      </c>
      <c r="E3828" s="59"/>
    </row>
    <row r="3829" spans="3:5" x14ac:dyDescent="0.15">
      <c r="C3829" s="255" t="s">
        <v>883</v>
      </c>
      <c r="D3829" s="59">
        <v>601.5</v>
      </c>
      <c r="E3829" s="59"/>
    </row>
    <row r="3830" spans="3:5" x14ac:dyDescent="0.15">
      <c r="C3830" s="255" t="s">
        <v>884</v>
      </c>
      <c r="D3830" s="59">
        <v>1056.4000000000001</v>
      </c>
      <c r="E3830" s="59"/>
    </row>
    <row r="3831" spans="3:5" x14ac:dyDescent="0.15">
      <c r="C3831" s="255" t="s">
        <v>885</v>
      </c>
      <c r="D3831" s="59">
        <v>351.8</v>
      </c>
      <c r="E3831" s="59"/>
    </row>
    <row r="3832" spans="3:5" x14ac:dyDescent="0.15">
      <c r="C3832" s="255" t="s">
        <v>886</v>
      </c>
      <c r="D3832" s="59">
        <v>211.2</v>
      </c>
      <c r="E3832" s="59"/>
    </row>
    <row r="3833" spans="3:5" x14ac:dyDescent="0.15">
      <c r="C3833" s="255" t="s">
        <v>887</v>
      </c>
      <c r="D3833" s="59">
        <v>183.9</v>
      </c>
      <c r="E3833" s="59"/>
    </row>
    <row r="3834" spans="3:5" x14ac:dyDescent="0.15">
      <c r="C3834" s="255" t="s">
        <v>888</v>
      </c>
      <c r="D3834" s="59">
        <v>1.4</v>
      </c>
      <c r="E3834" s="59"/>
    </row>
    <row r="3835" spans="3:5" x14ac:dyDescent="0.15">
      <c r="C3835" s="255" t="s">
        <v>889</v>
      </c>
      <c r="D3835" s="59">
        <v>255.3</v>
      </c>
      <c r="E3835" s="59"/>
    </row>
    <row r="3836" spans="3:5" x14ac:dyDescent="0.15">
      <c r="C3836" s="255" t="s">
        <v>890</v>
      </c>
      <c r="D3836" s="59">
        <v>178</v>
      </c>
      <c r="E3836" s="59"/>
    </row>
    <row r="3837" spans="3:5" x14ac:dyDescent="0.15">
      <c r="C3837" s="255" t="s">
        <v>891</v>
      </c>
      <c r="D3837" s="59">
        <v>23.3</v>
      </c>
      <c r="E3837" s="59"/>
    </row>
    <row r="3838" spans="3:5" x14ac:dyDescent="0.15">
      <c r="C3838" s="255" t="s">
        <v>892</v>
      </c>
      <c r="D3838" s="59">
        <v>21.6</v>
      </c>
      <c r="E3838" s="59"/>
    </row>
    <row r="3839" spans="3:5" x14ac:dyDescent="0.15">
      <c r="C3839" s="255" t="s">
        <v>893</v>
      </c>
      <c r="D3839" s="59">
        <v>212</v>
      </c>
      <c r="E3839" s="59"/>
    </row>
    <row r="3840" spans="3:5" x14ac:dyDescent="0.15">
      <c r="C3840" s="255" t="s">
        <v>894</v>
      </c>
      <c r="D3840" s="59">
        <v>0</v>
      </c>
      <c r="E3840" s="59"/>
    </row>
    <row r="3841" spans="3:5" x14ac:dyDescent="0.15">
      <c r="C3841" s="255" t="s">
        <v>895</v>
      </c>
      <c r="D3841" s="59">
        <v>524.4</v>
      </c>
      <c r="E3841" s="59"/>
    </row>
    <row r="3842" spans="3:5" x14ac:dyDescent="0.15">
      <c r="C3842" s="255" t="s">
        <v>896</v>
      </c>
      <c r="D3842" s="59">
        <v>7.6</v>
      </c>
      <c r="E3842" s="59"/>
    </row>
    <row r="3843" spans="3:5" x14ac:dyDescent="0.15">
      <c r="C3843" s="255" t="s">
        <v>897</v>
      </c>
      <c r="D3843" s="59">
        <v>1209.4000000000001</v>
      </c>
      <c r="E3843" s="59"/>
    </row>
    <row r="3844" spans="3:5" x14ac:dyDescent="0.15">
      <c r="C3844" s="255" t="s">
        <v>898</v>
      </c>
      <c r="D3844" s="59">
        <v>574.29999999999995</v>
      </c>
      <c r="E3844" s="59"/>
    </row>
    <row r="3845" spans="3:5" x14ac:dyDescent="0.15">
      <c r="C3845" s="255" t="s">
        <v>899</v>
      </c>
      <c r="D3845" s="59">
        <v>85.8</v>
      </c>
      <c r="E3845" s="59"/>
    </row>
    <row r="3846" spans="3:5" x14ac:dyDescent="0.15">
      <c r="C3846" s="255" t="s">
        <v>900</v>
      </c>
      <c r="D3846" s="59">
        <v>354.8</v>
      </c>
      <c r="E3846" s="59"/>
    </row>
    <row r="3847" spans="3:5" x14ac:dyDescent="0.15">
      <c r="C3847" s="255" t="s">
        <v>901</v>
      </c>
      <c r="D3847" s="59">
        <v>1066.5999999999999</v>
      </c>
      <c r="E3847" s="59"/>
    </row>
    <row r="3848" spans="3:5" x14ac:dyDescent="0.15">
      <c r="C3848" s="255" t="s">
        <v>902</v>
      </c>
      <c r="D3848" s="59">
        <v>35.799999999999997</v>
      </c>
      <c r="E3848" s="59"/>
    </row>
    <row r="3849" spans="3:5" x14ac:dyDescent="0.15">
      <c r="C3849" s="255" t="s">
        <v>903</v>
      </c>
      <c r="D3849" s="59">
        <v>879.4</v>
      </c>
      <c r="E3849" s="59"/>
    </row>
    <row r="3850" spans="3:5" x14ac:dyDescent="0.15">
      <c r="C3850" s="255" t="s">
        <v>904</v>
      </c>
      <c r="D3850" s="59">
        <v>1225.5999999999999</v>
      </c>
      <c r="E3850" s="59"/>
    </row>
    <row r="3851" spans="3:5" x14ac:dyDescent="0.15">
      <c r="C3851" s="255" t="s">
        <v>905</v>
      </c>
      <c r="D3851" s="59">
        <v>217.5</v>
      </c>
      <c r="E3851" s="59"/>
    </row>
    <row r="3852" spans="3:5" x14ac:dyDescent="0.15">
      <c r="C3852" s="255" t="s">
        <v>906</v>
      </c>
      <c r="D3852" s="59">
        <v>106.2</v>
      </c>
      <c r="E3852" s="59"/>
    </row>
    <row r="3853" spans="3:5" x14ac:dyDescent="0.15">
      <c r="C3853" s="255" t="s">
        <v>907</v>
      </c>
      <c r="D3853" s="59">
        <v>611.5</v>
      </c>
      <c r="E3853" s="59"/>
    </row>
    <row r="3854" spans="3:5" x14ac:dyDescent="0.15">
      <c r="C3854" s="255" t="s">
        <v>908</v>
      </c>
      <c r="D3854" s="59">
        <v>6637.8</v>
      </c>
      <c r="E3854" s="59"/>
    </row>
    <row r="3855" spans="3:5" x14ac:dyDescent="0.15">
      <c r="C3855" s="255" t="s">
        <v>909</v>
      </c>
      <c r="D3855" s="59">
        <v>1831.8</v>
      </c>
      <c r="E3855" s="59"/>
    </row>
    <row r="3856" spans="3:5" x14ac:dyDescent="0.15">
      <c r="C3856" s="255" t="s">
        <v>910</v>
      </c>
      <c r="D3856" s="59">
        <v>7.3</v>
      </c>
      <c r="E3856" s="59"/>
    </row>
    <row r="3857" spans="3:5" x14ac:dyDescent="0.15">
      <c r="C3857" s="255" t="s">
        <v>911</v>
      </c>
      <c r="D3857" s="59">
        <v>118.8</v>
      </c>
      <c r="E3857" s="59"/>
    </row>
    <row r="3858" spans="3:5" x14ac:dyDescent="0.15">
      <c r="C3858" s="255" t="s">
        <v>912</v>
      </c>
      <c r="D3858" s="59">
        <v>312.60000000000002</v>
      </c>
      <c r="E3858" s="59"/>
    </row>
    <row r="3859" spans="3:5" x14ac:dyDescent="0.15">
      <c r="C3859" s="255" t="s">
        <v>913</v>
      </c>
      <c r="D3859" s="59">
        <v>0</v>
      </c>
      <c r="E3859" s="59"/>
    </row>
    <row r="3860" spans="3:5" x14ac:dyDescent="0.15">
      <c r="C3860" s="255" t="s">
        <v>914</v>
      </c>
      <c r="D3860" s="59">
        <v>2.9</v>
      </c>
      <c r="E3860" s="59"/>
    </row>
    <row r="3861" spans="3:5" x14ac:dyDescent="0.15">
      <c r="C3861" s="255" t="s">
        <v>915</v>
      </c>
      <c r="D3861" s="59">
        <v>74.2</v>
      </c>
      <c r="E3861" s="59"/>
    </row>
    <row r="3862" spans="3:5" x14ac:dyDescent="0.15">
      <c r="C3862" s="255" t="s">
        <v>916</v>
      </c>
      <c r="D3862" s="59">
        <v>161.30000000000001</v>
      </c>
      <c r="E3862" s="59"/>
    </row>
    <row r="3863" spans="3:5" x14ac:dyDescent="0.15">
      <c r="C3863" s="255" t="s">
        <v>917</v>
      </c>
      <c r="D3863" s="59">
        <v>304</v>
      </c>
      <c r="E3863" s="59"/>
    </row>
    <row r="3864" spans="3:5" x14ac:dyDescent="0.15">
      <c r="C3864" s="255" t="s">
        <v>918</v>
      </c>
      <c r="D3864" s="59">
        <v>2701.2</v>
      </c>
      <c r="E3864" s="59"/>
    </row>
    <row r="3865" spans="3:5" x14ac:dyDescent="0.15">
      <c r="C3865" s="255" t="s">
        <v>919</v>
      </c>
      <c r="D3865" s="59">
        <v>0</v>
      </c>
      <c r="E3865" s="59"/>
    </row>
    <row r="3866" spans="3:5" x14ac:dyDescent="0.15">
      <c r="C3866" s="255" t="s">
        <v>920</v>
      </c>
      <c r="D3866" s="59">
        <v>1123.3</v>
      </c>
      <c r="E3866" s="59"/>
    </row>
    <row r="3867" spans="3:5" x14ac:dyDescent="0.15">
      <c r="C3867" s="255" t="s">
        <v>921</v>
      </c>
      <c r="D3867" s="59">
        <v>0.1</v>
      </c>
      <c r="E3867" s="59"/>
    </row>
    <row r="3868" spans="3:5" x14ac:dyDescent="0.15">
      <c r="C3868" s="255" t="s">
        <v>922</v>
      </c>
      <c r="D3868" s="59">
        <v>48573.8</v>
      </c>
      <c r="E3868" s="59"/>
    </row>
    <row r="3869" spans="3:5" x14ac:dyDescent="0.15">
      <c r="C3869" s="255" t="s">
        <v>923</v>
      </c>
      <c r="D3869" s="59">
        <v>10465.700000000001</v>
      </c>
      <c r="E3869" s="59"/>
    </row>
    <row r="3870" spans="3:5" x14ac:dyDescent="0.15">
      <c r="C3870" s="255" t="s">
        <v>924</v>
      </c>
      <c r="D3870" s="59">
        <v>7728</v>
      </c>
      <c r="E3870" s="59"/>
    </row>
    <row r="3871" spans="3:5" x14ac:dyDescent="0.15">
      <c r="C3871" s="255" t="s">
        <v>925</v>
      </c>
      <c r="D3871" s="59">
        <v>495.1</v>
      </c>
      <c r="E3871" s="59"/>
    </row>
    <row r="3872" spans="3:5" x14ac:dyDescent="0.15">
      <c r="C3872" s="255" t="s">
        <v>926</v>
      </c>
      <c r="D3872" s="59">
        <v>943.2</v>
      </c>
      <c r="E3872" s="59"/>
    </row>
    <row r="3873" spans="3:5" x14ac:dyDescent="0.15">
      <c r="C3873" s="255" t="s">
        <v>927</v>
      </c>
      <c r="D3873" s="59">
        <v>719.6</v>
      </c>
      <c r="E3873" s="59"/>
    </row>
    <row r="3874" spans="3:5" x14ac:dyDescent="0.15">
      <c r="C3874" s="255" t="s">
        <v>928</v>
      </c>
      <c r="D3874" s="59">
        <v>1128.9000000000001</v>
      </c>
      <c r="E3874" s="59"/>
    </row>
    <row r="3875" spans="3:5" x14ac:dyDescent="0.15">
      <c r="C3875" s="255" t="s">
        <v>929</v>
      </c>
      <c r="D3875" s="59">
        <v>342.5</v>
      </c>
      <c r="E3875" s="59"/>
    </row>
    <row r="3876" spans="3:5" x14ac:dyDescent="0.15">
      <c r="C3876" s="255" t="s">
        <v>930</v>
      </c>
      <c r="D3876" s="59">
        <v>2900.7</v>
      </c>
      <c r="E3876" s="59"/>
    </row>
    <row r="3877" spans="3:5" x14ac:dyDescent="0.15">
      <c r="C3877" s="255" t="s">
        <v>931</v>
      </c>
      <c r="D3877" s="59">
        <v>5765.9</v>
      </c>
      <c r="E3877" s="59"/>
    </row>
    <row r="3878" spans="3:5" x14ac:dyDescent="0.15">
      <c r="C3878" s="255" t="s">
        <v>932</v>
      </c>
      <c r="D3878" s="59">
        <v>0</v>
      </c>
      <c r="E3878" s="59"/>
    </row>
    <row r="3879" spans="3:5" x14ac:dyDescent="0.15">
      <c r="C3879" s="255" t="s">
        <v>933</v>
      </c>
      <c r="D3879" s="59">
        <v>27.1</v>
      </c>
      <c r="E3879" s="59"/>
    </row>
    <row r="3880" spans="3:5" x14ac:dyDescent="0.15">
      <c r="C3880" s="255" t="s">
        <v>934</v>
      </c>
      <c r="D3880" s="59">
        <v>5408.4</v>
      </c>
      <c r="E3880" s="59"/>
    </row>
    <row r="3881" spans="3:5" x14ac:dyDescent="0.15">
      <c r="C3881" s="255" t="s">
        <v>935</v>
      </c>
      <c r="D3881" s="59">
        <v>2909.4</v>
      </c>
      <c r="E3881" s="59"/>
    </row>
    <row r="3882" spans="3:5" x14ac:dyDescent="0.15">
      <c r="C3882" s="255" t="s">
        <v>936</v>
      </c>
      <c r="D3882" s="59">
        <v>4442.2</v>
      </c>
      <c r="E3882" s="59"/>
    </row>
    <row r="3883" spans="3:5" x14ac:dyDescent="0.15">
      <c r="C3883" s="255" t="s">
        <v>937</v>
      </c>
      <c r="D3883" s="59">
        <v>911.5</v>
      </c>
      <c r="E3883" s="59"/>
    </row>
    <row r="3884" spans="3:5" x14ac:dyDescent="0.15">
      <c r="C3884" s="255" t="s">
        <v>938</v>
      </c>
      <c r="D3884" s="59">
        <v>270.7</v>
      </c>
      <c r="E3884" s="59"/>
    </row>
    <row r="3885" spans="3:5" x14ac:dyDescent="0.15">
      <c r="C3885" s="255" t="s">
        <v>939</v>
      </c>
      <c r="D3885" s="59">
        <v>0</v>
      </c>
      <c r="E3885" s="59"/>
    </row>
    <row r="3886" spans="3:5" x14ac:dyDescent="0.15">
      <c r="C3886" s="255" t="s">
        <v>940</v>
      </c>
      <c r="D3886" s="59">
        <v>52.3</v>
      </c>
      <c r="E3886" s="59"/>
    </row>
    <row r="3887" spans="3:5" x14ac:dyDescent="0.15">
      <c r="C3887" s="255" t="s">
        <v>941</v>
      </c>
      <c r="D3887" s="59">
        <v>358.1</v>
      </c>
      <c r="E3887" s="59"/>
    </row>
    <row r="3888" spans="3:5" x14ac:dyDescent="0.15">
      <c r="C3888" s="255" t="s">
        <v>942</v>
      </c>
      <c r="D3888" s="59">
        <v>0</v>
      </c>
      <c r="E3888" s="59"/>
    </row>
    <row r="3889" spans="3:5" x14ac:dyDescent="0.15">
      <c r="C3889" s="255" t="s">
        <v>943</v>
      </c>
      <c r="D3889" s="59">
        <v>1388.3</v>
      </c>
      <c r="E3889" s="59"/>
    </row>
    <row r="3890" spans="3:5" x14ac:dyDescent="0.15">
      <c r="C3890" s="255" t="s">
        <v>944</v>
      </c>
      <c r="D3890" s="59">
        <v>432.9</v>
      </c>
      <c r="E3890" s="59"/>
    </row>
    <row r="3891" spans="3:5" x14ac:dyDescent="0.15">
      <c r="C3891" s="255" t="s">
        <v>945</v>
      </c>
      <c r="D3891" s="59">
        <v>1784.5</v>
      </c>
      <c r="E3891" s="59"/>
    </row>
    <row r="3892" spans="3:5" x14ac:dyDescent="0.15">
      <c r="C3892" s="255" t="s">
        <v>946</v>
      </c>
      <c r="D3892" s="59">
        <v>66.400000000000006</v>
      </c>
      <c r="E3892" s="59"/>
    </row>
    <row r="3893" spans="3:5" x14ac:dyDescent="0.15">
      <c r="C3893" s="255" t="s">
        <v>947</v>
      </c>
      <c r="D3893" s="59">
        <v>32.200000000000003</v>
      </c>
      <c r="E3893" s="59"/>
    </row>
    <row r="3894" spans="3:5" x14ac:dyDescent="0.15">
      <c r="C3894" s="255" t="s">
        <v>948</v>
      </c>
      <c r="D3894" s="59">
        <v>9547</v>
      </c>
      <c r="E3894" s="59"/>
    </row>
    <row r="3895" spans="3:5" x14ac:dyDescent="0.15">
      <c r="C3895" s="255" t="s">
        <v>949</v>
      </c>
      <c r="D3895" s="59">
        <v>116.8</v>
      </c>
      <c r="E3895" s="59"/>
    </row>
    <row r="3896" spans="3:5" x14ac:dyDescent="0.15">
      <c r="C3896" s="255" t="s">
        <v>950</v>
      </c>
      <c r="D3896" s="59">
        <v>0.4</v>
      </c>
      <c r="E3896" s="59"/>
    </row>
    <row r="3897" spans="3:5" x14ac:dyDescent="0.15">
      <c r="C3897" s="255" t="s">
        <v>951</v>
      </c>
      <c r="D3897" s="59">
        <v>1604.6</v>
      </c>
      <c r="E3897" s="59"/>
    </row>
    <row r="3898" spans="3:5" x14ac:dyDescent="0.15">
      <c r="C3898" s="255" t="s">
        <v>952</v>
      </c>
      <c r="D3898" s="59">
        <v>77.2</v>
      </c>
      <c r="E3898" s="59"/>
    </row>
    <row r="3899" spans="3:5" x14ac:dyDescent="0.15">
      <c r="C3899" s="255" t="s">
        <v>953</v>
      </c>
      <c r="D3899" s="59">
        <v>103.6</v>
      </c>
      <c r="E3899" s="59"/>
    </row>
    <row r="3900" spans="3:5" x14ac:dyDescent="0.15">
      <c r="C3900" s="255" t="s">
        <v>954</v>
      </c>
      <c r="D3900" s="59">
        <v>3160.8</v>
      </c>
      <c r="E3900" s="59"/>
    </row>
    <row r="3901" spans="3:5" x14ac:dyDescent="0.15">
      <c r="C3901" s="255" t="s">
        <v>955</v>
      </c>
      <c r="D3901" s="59">
        <v>1728.2</v>
      </c>
      <c r="E3901" s="59"/>
    </row>
    <row r="3902" spans="3:5" x14ac:dyDescent="0.15">
      <c r="C3902" s="255" t="s">
        <v>956</v>
      </c>
      <c r="D3902" s="59">
        <v>2755.4</v>
      </c>
      <c r="E3902" s="59"/>
    </row>
    <row r="3903" spans="3:5" x14ac:dyDescent="0.15">
      <c r="C3903" s="255" t="s">
        <v>957</v>
      </c>
      <c r="D3903" s="59">
        <v>30520.2</v>
      </c>
      <c r="E3903" s="59"/>
    </row>
    <row r="3904" spans="3:5" x14ac:dyDescent="0.15">
      <c r="C3904" s="255" t="s">
        <v>958</v>
      </c>
      <c r="D3904" s="59">
        <v>122.1</v>
      </c>
      <c r="E3904" s="59"/>
    </row>
    <row r="3905" spans="3:5" x14ac:dyDescent="0.15">
      <c r="C3905" s="255" t="s">
        <v>959</v>
      </c>
      <c r="D3905" s="59">
        <v>902.6</v>
      </c>
      <c r="E3905" s="59"/>
    </row>
    <row r="3906" spans="3:5" x14ac:dyDescent="0.15">
      <c r="C3906" s="255" t="s">
        <v>960</v>
      </c>
      <c r="D3906" s="59">
        <v>22.9</v>
      </c>
      <c r="E3906" s="59"/>
    </row>
    <row r="3907" spans="3:5" x14ac:dyDescent="0.15">
      <c r="C3907" s="255" t="s">
        <v>961</v>
      </c>
      <c r="D3907" s="59">
        <v>2.2000000000000002</v>
      </c>
      <c r="E3907" s="59"/>
    </row>
    <row r="3908" spans="3:5" x14ac:dyDescent="0.15">
      <c r="C3908" s="255" t="s">
        <v>962</v>
      </c>
      <c r="D3908" s="59">
        <v>0</v>
      </c>
      <c r="E3908" s="59"/>
    </row>
    <row r="3909" spans="3:5" x14ac:dyDescent="0.15">
      <c r="C3909" s="255" t="s">
        <v>963</v>
      </c>
      <c r="D3909" s="59">
        <v>1466.8</v>
      </c>
      <c r="E3909" s="59"/>
    </row>
    <row r="3910" spans="3:5" x14ac:dyDescent="0.15">
      <c r="C3910" s="255" t="s">
        <v>964</v>
      </c>
      <c r="D3910" s="59">
        <v>489</v>
      </c>
      <c r="E3910" s="59"/>
    </row>
    <row r="3911" spans="3:5" x14ac:dyDescent="0.15">
      <c r="C3911" s="255" t="s">
        <v>965</v>
      </c>
      <c r="D3911" s="59">
        <v>117.4</v>
      </c>
      <c r="E3911" s="59"/>
    </row>
    <row r="3912" spans="3:5" x14ac:dyDescent="0.15">
      <c r="C3912" s="255" t="s">
        <v>966</v>
      </c>
      <c r="D3912" s="59">
        <v>14.6</v>
      </c>
      <c r="E3912" s="59"/>
    </row>
    <row r="3913" spans="3:5" x14ac:dyDescent="0.15">
      <c r="C3913" s="255" t="s">
        <v>967</v>
      </c>
      <c r="D3913" s="59">
        <v>236</v>
      </c>
      <c r="E3913" s="59"/>
    </row>
    <row r="3914" spans="3:5" x14ac:dyDescent="0.15">
      <c r="C3914" s="255" t="s">
        <v>968</v>
      </c>
      <c r="D3914" s="59">
        <v>4.5</v>
      </c>
      <c r="E3914" s="59"/>
    </row>
    <row r="3915" spans="3:5" x14ac:dyDescent="0.15">
      <c r="C3915" s="255" t="s">
        <v>969</v>
      </c>
      <c r="D3915" s="59">
        <v>12.4</v>
      </c>
      <c r="E3915" s="59"/>
    </row>
    <row r="3916" spans="3:5" x14ac:dyDescent="0.15">
      <c r="C3916" s="255" t="s">
        <v>970</v>
      </c>
      <c r="D3916" s="59">
        <v>0</v>
      </c>
      <c r="E3916" s="59"/>
    </row>
    <row r="3917" spans="3:5" x14ac:dyDescent="0.15">
      <c r="C3917" s="255" t="s">
        <v>971</v>
      </c>
      <c r="D3917" s="59">
        <v>618.5</v>
      </c>
      <c r="E3917" s="59"/>
    </row>
    <row r="3918" spans="3:5" x14ac:dyDescent="0.15">
      <c r="C3918" s="255" t="s">
        <v>972</v>
      </c>
      <c r="D3918" s="59">
        <v>540.79999999999995</v>
      </c>
      <c r="E3918" s="59"/>
    </row>
    <row r="3919" spans="3:5" x14ac:dyDescent="0.15">
      <c r="C3919" s="255" t="s">
        <v>973</v>
      </c>
      <c r="D3919" s="59">
        <v>21.9</v>
      </c>
      <c r="E3919" s="59"/>
    </row>
    <row r="3920" spans="3:5" x14ac:dyDescent="0.15">
      <c r="C3920" s="255" t="s">
        <v>974</v>
      </c>
      <c r="D3920" s="59">
        <v>17.3</v>
      </c>
      <c r="E3920" s="59"/>
    </row>
    <row r="3921" spans="3:5" x14ac:dyDescent="0.15">
      <c r="C3921" s="255" t="s">
        <v>975</v>
      </c>
      <c r="D3921" s="59">
        <v>0</v>
      </c>
      <c r="E3921" s="59"/>
    </row>
    <row r="3922" spans="3:5" x14ac:dyDescent="0.15">
      <c r="C3922" s="255" t="s">
        <v>976</v>
      </c>
      <c r="D3922" s="59">
        <v>19.399999999999999</v>
      </c>
      <c r="E3922" s="59"/>
    </row>
    <row r="3923" spans="3:5" x14ac:dyDescent="0.15">
      <c r="C3923" s="255" t="s">
        <v>977</v>
      </c>
      <c r="D3923" s="59">
        <v>898.1</v>
      </c>
      <c r="E3923" s="59"/>
    </row>
    <row r="3924" spans="3:5" x14ac:dyDescent="0.15">
      <c r="C3924" s="255" t="s">
        <v>978</v>
      </c>
      <c r="D3924" s="59">
        <v>1586.2</v>
      </c>
      <c r="E3924" s="59"/>
    </row>
    <row r="3925" spans="3:5" x14ac:dyDescent="0.15">
      <c r="C3925" s="255" t="s">
        <v>979</v>
      </c>
      <c r="D3925" s="59">
        <v>386</v>
      </c>
      <c r="E3925" s="59"/>
    </row>
    <row r="3926" spans="3:5" x14ac:dyDescent="0.15">
      <c r="C3926" s="255" t="s">
        <v>980</v>
      </c>
      <c r="D3926" s="59">
        <v>396.3</v>
      </c>
      <c r="E3926" s="59"/>
    </row>
    <row r="3927" spans="3:5" x14ac:dyDescent="0.15">
      <c r="C3927" s="255" t="s">
        <v>981</v>
      </c>
      <c r="D3927" s="59">
        <v>0</v>
      </c>
      <c r="E3927" s="59"/>
    </row>
    <row r="3928" spans="3:5" x14ac:dyDescent="0.15">
      <c r="C3928" s="255" t="s">
        <v>982</v>
      </c>
      <c r="D3928" s="59">
        <v>428.1</v>
      </c>
      <c r="E3928" s="59"/>
    </row>
    <row r="3929" spans="3:5" x14ac:dyDescent="0.15">
      <c r="C3929" s="255" t="s">
        <v>983</v>
      </c>
      <c r="D3929" s="59">
        <v>1740.2</v>
      </c>
      <c r="E3929" s="59"/>
    </row>
    <row r="3930" spans="3:5" x14ac:dyDescent="0.15">
      <c r="C3930" s="255" t="s">
        <v>984</v>
      </c>
      <c r="D3930" s="59">
        <v>43.8</v>
      </c>
      <c r="E3930" s="59"/>
    </row>
    <row r="3931" spans="3:5" x14ac:dyDescent="0.15">
      <c r="C3931" s="255" t="s">
        <v>985</v>
      </c>
      <c r="D3931" s="59">
        <v>1507.9</v>
      </c>
      <c r="E3931" s="59"/>
    </row>
    <row r="3932" spans="3:5" x14ac:dyDescent="0.15">
      <c r="C3932" s="255" t="s">
        <v>986</v>
      </c>
      <c r="D3932" s="59">
        <v>874.8</v>
      </c>
      <c r="E3932" s="59"/>
    </row>
    <row r="3933" spans="3:5" x14ac:dyDescent="0.15">
      <c r="C3933" s="255" t="s">
        <v>987</v>
      </c>
      <c r="D3933" s="59">
        <v>594.79999999999995</v>
      </c>
      <c r="E3933" s="59"/>
    </row>
    <row r="3934" spans="3:5" x14ac:dyDescent="0.15">
      <c r="C3934" s="255" t="s">
        <v>988</v>
      </c>
      <c r="D3934" s="59">
        <v>1532.2</v>
      </c>
      <c r="E3934" s="59"/>
    </row>
    <row r="3935" spans="3:5" x14ac:dyDescent="0.15">
      <c r="C3935" s="255" t="s">
        <v>989</v>
      </c>
      <c r="D3935" s="59">
        <v>950.2</v>
      </c>
      <c r="E3935" s="59"/>
    </row>
    <row r="3936" spans="3:5" x14ac:dyDescent="0.15">
      <c r="C3936" s="255" t="s">
        <v>990</v>
      </c>
      <c r="D3936" s="59">
        <v>321</v>
      </c>
      <c r="E3936" s="59"/>
    </row>
    <row r="3937" spans="3:5" x14ac:dyDescent="0.15">
      <c r="C3937" s="255" t="s">
        <v>991</v>
      </c>
      <c r="D3937" s="59">
        <v>5410.2</v>
      </c>
      <c r="E3937" s="59"/>
    </row>
    <row r="3938" spans="3:5" x14ac:dyDescent="0.15">
      <c r="C3938" s="255" t="s">
        <v>992</v>
      </c>
      <c r="D3938" s="59">
        <v>10.1</v>
      </c>
      <c r="E3938" s="59"/>
    </row>
    <row r="3939" spans="3:5" x14ac:dyDescent="0.15">
      <c r="C3939" s="255" t="s">
        <v>993</v>
      </c>
      <c r="D3939" s="59">
        <v>144</v>
      </c>
      <c r="E3939" s="59"/>
    </row>
    <row r="3940" spans="3:5" x14ac:dyDescent="0.15">
      <c r="C3940" s="255" t="s">
        <v>994</v>
      </c>
      <c r="D3940" s="59">
        <v>0</v>
      </c>
      <c r="E3940" s="59"/>
    </row>
    <row r="3941" spans="3:5" x14ac:dyDescent="0.15">
      <c r="C3941" s="255" t="s">
        <v>995</v>
      </c>
      <c r="D3941" s="59">
        <v>1141.9000000000001</v>
      </c>
      <c r="E3941" s="59"/>
    </row>
    <row r="3942" spans="3:5" x14ac:dyDescent="0.15">
      <c r="C3942" s="255" t="s">
        <v>996</v>
      </c>
      <c r="D3942" s="59">
        <v>426</v>
      </c>
      <c r="E3942" s="59"/>
    </row>
    <row r="3943" spans="3:5" x14ac:dyDescent="0.15">
      <c r="C3943" s="255" t="s">
        <v>997</v>
      </c>
      <c r="D3943" s="59">
        <v>258.5</v>
      </c>
      <c r="E3943" s="59"/>
    </row>
    <row r="3944" spans="3:5" x14ac:dyDescent="0.15">
      <c r="C3944" s="255" t="s">
        <v>998</v>
      </c>
      <c r="D3944" s="59">
        <v>93.1</v>
      </c>
      <c r="E3944" s="59"/>
    </row>
    <row r="3945" spans="3:5" x14ac:dyDescent="0.15">
      <c r="C3945" s="255" t="s">
        <v>999</v>
      </c>
      <c r="D3945" s="59">
        <v>5</v>
      </c>
      <c r="E3945" s="59"/>
    </row>
    <row r="3946" spans="3:5" x14ac:dyDescent="0.15">
      <c r="C3946" s="255" t="s">
        <v>1000</v>
      </c>
      <c r="D3946" s="59">
        <v>440.8</v>
      </c>
      <c r="E3946" s="59"/>
    </row>
    <row r="3947" spans="3:5" x14ac:dyDescent="0.15">
      <c r="C3947" s="255" t="s">
        <v>1001</v>
      </c>
      <c r="D3947" s="59">
        <v>316.39999999999998</v>
      </c>
      <c r="E3947" s="59"/>
    </row>
    <row r="3948" spans="3:5" x14ac:dyDescent="0.15">
      <c r="C3948" s="255" t="s">
        <v>1002</v>
      </c>
      <c r="D3948" s="59">
        <v>142.6</v>
      </c>
      <c r="E3948" s="59"/>
    </row>
    <row r="3949" spans="3:5" x14ac:dyDescent="0.15">
      <c r="C3949" s="255" t="s">
        <v>1003</v>
      </c>
      <c r="D3949" s="59">
        <v>103.1</v>
      </c>
      <c r="E3949" s="59"/>
    </row>
    <row r="3950" spans="3:5" x14ac:dyDescent="0.15">
      <c r="C3950" s="255" t="s">
        <v>1004</v>
      </c>
      <c r="D3950" s="59">
        <v>103.9</v>
      </c>
      <c r="E3950" s="59"/>
    </row>
    <row r="3951" spans="3:5" x14ac:dyDescent="0.15">
      <c r="C3951" s="255" t="s">
        <v>1005</v>
      </c>
      <c r="D3951" s="59">
        <v>45.5</v>
      </c>
      <c r="E3951" s="59"/>
    </row>
    <row r="3952" spans="3:5" x14ac:dyDescent="0.15">
      <c r="C3952" s="255" t="s">
        <v>1006</v>
      </c>
      <c r="D3952" s="59">
        <v>6011</v>
      </c>
      <c r="E3952" s="59"/>
    </row>
    <row r="3953" spans="3:5" x14ac:dyDescent="0.15">
      <c r="C3953" s="255" t="s">
        <v>1007</v>
      </c>
      <c r="D3953" s="59">
        <v>1543.3</v>
      </c>
      <c r="E3953" s="59"/>
    </row>
    <row r="3954" spans="3:5" x14ac:dyDescent="0.15">
      <c r="C3954" s="255" t="s">
        <v>1008</v>
      </c>
      <c r="D3954" s="59">
        <v>700</v>
      </c>
      <c r="E3954" s="59"/>
    </row>
    <row r="3955" spans="3:5" x14ac:dyDescent="0.15">
      <c r="C3955" s="255" t="s">
        <v>1009</v>
      </c>
      <c r="D3955" s="59">
        <v>384</v>
      </c>
      <c r="E3955" s="59"/>
    </row>
    <row r="3956" spans="3:5" x14ac:dyDescent="0.15">
      <c r="C3956" s="255" t="s">
        <v>1010</v>
      </c>
      <c r="D3956" s="59">
        <v>312.7</v>
      </c>
      <c r="E3956" s="59"/>
    </row>
    <row r="3957" spans="3:5" x14ac:dyDescent="0.15">
      <c r="C3957" s="255" t="s">
        <v>1011</v>
      </c>
      <c r="D3957" s="59">
        <v>146.69999999999999</v>
      </c>
      <c r="E3957" s="59"/>
    </row>
    <row r="3958" spans="3:5" x14ac:dyDescent="0.15">
      <c r="C3958" s="255" t="s">
        <v>1012</v>
      </c>
      <c r="D3958" s="59">
        <v>18023.099999999999</v>
      </c>
      <c r="E3958" s="59"/>
    </row>
    <row r="3959" spans="3:5" x14ac:dyDescent="0.15">
      <c r="C3959" s="255" t="s">
        <v>1013</v>
      </c>
      <c r="D3959" s="59">
        <v>9552.7000000000007</v>
      </c>
      <c r="E3959" s="59"/>
    </row>
    <row r="3960" spans="3:5" x14ac:dyDescent="0.15">
      <c r="C3960" s="255" t="s">
        <v>1014</v>
      </c>
      <c r="D3960" s="59">
        <v>4005.6</v>
      </c>
      <c r="E3960" s="59"/>
    </row>
    <row r="3961" spans="3:5" x14ac:dyDescent="0.15">
      <c r="C3961" s="255" t="s">
        <v>1015</v>
      </c>
      <c r="D3961" s="59">
        <v>744.8</v>
      </c>
      <c r="E3961" s="59"/>
    </row>
    <row r="3962" spans="3:5" x14ac:dyDescent="0.15">
      <c r="C3962" s="255" t="s">
        <v>1016</v>
      </c>
      <c r="D3962" s="59">
        <v>1773.1</v>
      </c>
      <c r="E3962" s="59"/>
    </row>
    <row r="3963" spans="3:5" x14ac:dyDescent="0.15">
      <c r="C3963" s="255" t="s">
        <v>1017</v>
      </c>
      <c r="D3963" s="59">
        <v>1946.9</v>
      </c>
      <c r="E3963" s="59"/>
    </row>
    <row r="3964" spans="3:5" x14ac:dyDescent="0.15">
      <c r="C3964" s="255" t="s">
        <v>1018</v>
      </c>
      <c r="D3964" s="59">
        <v>0</v>
      </c>
      <c r="E3964" s="59"/>
    </row>
    <row r="3965" spans="3:5" x14ac:dyDescent="0.15">
      <c r="C3965" s="255" t="s">
        <v>1019</v>
      </c>
      <c r="D3965" s="59">
        <v>33055</v>
      </c>
      <c r="E3965" s="59"/>
    </row>
    <row r="3966" spans="3:5" x14ac:dyDescent="0.15">
      <c r="C3966" s="255" t="s">
        <v>1020</v>
      </c>
      <c r="D3966" s="59">
        <v>390.8</v>
      </c>
      <c r="E3966" s="59"/>
    </row>
    <row r="3967" spans="3:5" x14ac:dyDescent="0.15">
      <c r="C3967" s="255" t="s">
        <v>1021</v>
      </c>
      <c r="D3967" s="59">
        <v>842.5</v>
      </c>
      <c r="E3967" s="59"/>
    </row>
    <row r="3968" spans="3:5" x14ac:dyDescent="0.15">
      <c r="C3968" s="255" t="s">
        <v>1022</v>
      </c>
      <c r="D3968" s="59">
        <v>540.4</v>
      </c>
      <c r="E3968" s="59"/>
    </row>
    <row r="3969" spans="3:5" x14ac:dyDescent="0.15">
      <c r="C3969" s="255" t="s">
        <v>1023</v>
      </c>
      <c r="D3969" s="59">
        <v>166.7</v>
      </c>
      <c r="E3969" s="59"/>
    </row>
    <row r="3970" spans="3:5" x14ac:dyDescent="0.15">
      <c r="C3970" s="255" t="s">
        <v>1024</v>
      </c>
      <c r="D3970" s="59">
        <v>10.199999999999999</v>
      </c>
      <c r="E3970" s="59"/>
    </row>
    <row r="3971" spans="3:5" x14ac:dyDescent="0.15">
      <c r="C3971" s="255" t="s">
        <v>1025</v>
      </c>
      <c r="D3971" s="59">
        <v>276.39999999999998</v>
      </c>
      <c r="E3971" s="59"/>
    </row>
    <row r="3972" spans="3:5" x14ac:dyDescent="0.15">
      <c r="C3972" s="255" t="s">
        <v>1026</v>
      </c>
      <c r="D3972" s="59">
        <v>3915</v>
      </c>
      <c r="E3972" s="59"/>
    </row>
    <row r="3973" spans="3:5" x14ac:dyDescent="0.15">
      <c r="C3973" s="255" t="s">
        <v>1027</v>
      </c>
      <c r="D3973" s="59">
        <v>0</v>
      </c>
      <c r="E3973" s="59"/>
    </row>
    <row r="3974" spans="3:5" x14ac:dyDescent="0.15">
      <c r="C3974" s="255" t="s">
        <v>1028</v>
      </c>
      <c r="D3974" s="59">
        <v>510.9</v>
      </c>
      <c r="E3974" s="59"/>
    </row>
    <row r="3975" spans="3:5" x14ac:dyDescent="0.15">
      <c r="C3975" s="255" t="s">
        <v>1029</v>
      </c>
      <c r="D3975" s="59">
        <v>460.1</v>
      </c>
      <c r="E3975" s="59"/>
    </row>
    <row r="3976" spans="3:5" x14ac:dyDescent="0.15">
      <c r="C3976" s="255" t="s">
        <v>1030</v>
      </c>
      <c r="D3976" s="59">
        <v>28.9</v>
      </c>
      <c r="E3976" s="59"/>
    </row>
    <row r="3977" spans="3:5" x14ac:dyDescent="0.15">
      <c r="C3977" s="255" t="s">
        <v>1031</v>
      </c>
      <c r="D3977" s="59">
        <v>372.9</v>
      </c>
      <c r="E3977" s="59"/>
    </row>
    <row r="3978" spans="3:5" x14ac:dyDescent="0.15">
      <c r="C3978" s="255" t="s">
        <v>1032</v>
      </c>
      <c r="D3978" s="59">
        <v>606.20000000000005</v>
      </c>
      <c r="E3978" s="59"/>
    </row>
    <row r="3979" spans="3:5" x14ac:dyDescent="0.15">
      <c r="C3979" s="255" t="s">
        <v>1033</v>
      </c>
      <c r="D3979" s="59">
        <v>2.4</v>
      </c>
      <c r="E3979" s="59"/>
    </row>
    <row r="3980" spans="3:5" x14ac:dyDescent="0.15">
      <c r="C3980" s="255" t="s">
        <v>1034</v>
      </c>
      <c r="D3980" s="59">
        <v>198.2</v>
      </c>
      <c r="E3980" s="59"/>
    </row>
    <row r="3981" spans="3:5" x14ac:dyDescent="0.15">
      <c r="C3981" s="255" t="s">
        <v>1035</v>
      </c>
      <c r="D3981" s="59">
        <v>5155.5</v>
      </c>
      <c r="E3981" s="59"/>
    </row>
    <row r="3982" spans="3:5" x14ac:dyDescent="0.15">
      <c r="C3982" s="255" t="s">
        <v>1036</v>
      </c>
      <c r="D3982" s="59">
        <v>0</v>
      </c>
      <c r="E3982" s="59"/>
    </row>
    <row r="3983" spans="3:5" x14ac:dyDescent="0.15">
      <c r="C3983" s="255" t="s">
        <v>1037</v>
      </c>
      <c r="D3983" s="59">
        <v>1444.9</v>
      </c>
      <c r="E3983" s="59"/>
    </row>
    <row r="3984" spans="3:5" x14ac:dyDescent="0.15">
      <c r="C3984" s="255" t="s">
        <v>1038</v>
      </c>
      <c r="D3984" s="59">
        <v>5327.4</v>
      </c>
      <c r="E3984" s="59"/>
    </row>
    <row r="3985" spans="2:5" x14ac:dyDescent="0.15">
      <c r="C3985" s="255" t="s">
        <v>1039</v>
      </c>
      <c r="D3985" s="59">
        <v>1173.3</v>
      </c>
      <c r="E3985" s="59"/>
    </row>
    <row r="3986" spans="2:5" x14ac:dyDescent="0.15">
      <c r="C3986" s="255" t="s">
        <v>1040</v>
      </c>
      <c r="D3986" s="59">
        <v>6332</v>
      </c>
      <c r="E3986" s="59"/>
    </row>
    <row r="3987" spans="2:5" x14ac:dyDescent="0.15">
      <c r="C3987" s="255" t="s">
        <v>1041</v>
      </c>
      <c r="D3987" s="59">
        <v>429.9</v>
      </c>
      <c r="E3987" s="59"/>
    </row>
    <row r="3988" spans="2:5" x14ac:dyDescent="0.15">
      <c r="C3988" s="255" t="s">
        <v>1042</v>
      </c>
      <c r="D3988" s="59">
        <v>3209.2</v>
      </c>
      <c r="E3988" s="59"/>
    </row>
    <row r="3989" spans="2:5" x14ac:dyDescent="0.15">
      <c r="C3989" s="255" t="s">
        <v>1043</v>
      </c>
      <c r="D3989" s="59">
        <v>850.7</v>
      </c>
      <c r="E3989" s="59"/>
    </row>
    <row r="3990" spans="2:5" x14ac:dyDescent="0.15">
      <c r="C3990" s="255" t="s">
        <v>1044</v>
      </c>
      <c r="D3990" s="59">
        <v>213.5</v>
      </c>
      <c r="E3990" s="59"/>
    </row>
    <row r="3991" spans="2:5" x14ac:dyDescent="0.15">
      <c r="C3991" s="255" t="s">
        <v>1045</v>
      </c>
      <c r="D3991" s="59">
        <v>58.4</v>
      </c>
      <c r="E3991" s="59"/>
    </row>
    <row r="3992" spans="2:5" x14ac:dyDescent="0.15">
      <c r="C3992" s="255" t="s">
        <v>1046</v>
      </c>
      <c r="D3992" s="59">
        <v>359.3</v>
      </c>
      <c r="E3992" s="59"/>
    </row>
    <row r="3993" spans="2:5" x14ac:dyDescent="0.15">
      <c r="C3993" s="255" t="s">
        <v>1047</v>
      </c>
      <c r="D3993" s="59">
        <v>78.099999999999994</v>
      </c>
      <c r="E3993" s="59"/>
    </row>
    <row r="3994" spans="2:5" x14ac:dyDescent="0.15">
      <c r="C3994" s="255" t="s">
        <v>1048</v>
      </c>
      <c r="D3994" s="59">
        <v>101.2</v>
      </c>
      <c r="E3994" s="59"/>
    </row>
    <row r="3995" spans="2:5" x14ac:dyDescent="0.15">
      <c r="B3995" s="255" t="s">
        <v>1057</v>
      </c>
      <c r="C3995" s="255" t="s">
        <v>743</v>
      </c>
      <c r="D3995" s="59">
        <v>19</v>
      </c>
      <c r="E3995" s="59"/>
    </row>
    <row r="3996" spans="2:5" x14ac:dyDescent="0.15">
      <c r="C3996" s="255" t="s">
        <v>744</v>
      </c>
      <c r="D3996" s="59">
        <v>29.9</v>
      </c>
      <c r="E3996" s="59"/>
    </row>
    <row r="3997" spans="2:5" x14ac:dyDescent="0.15">
      <c r="C3997" s="255" t="s">
        <v>745</v>
      </c>
      <c r="D3997" s="59">
        <v>58.8</v>
      </c>
      <c r="E3997" s="59"/>
    </row>
    <row r="3998" spans="2:5" x14ac:dyDescent="0.15">
      <c r="C3998" s="255" t="s">
        <v>746</v>
      </c>
      <c r="D3998" s="59">
        <v>2</v>
      </c>
      <c r="E3998" s="59"/>
    </row>
    <row r="3999" spans="2:5" x14ac:dyDescent="0.15">
      <c r="C3999" s="255" t="s">
        <v>747</v>
      </c>
      <c r="D3999" s="59">
        <v>1.3</v>
      </c>
      <c r="E3999" s="59"/>
    </row>
    <row r="4000" spans="2:5" x14ac:dyDescent="0.15">
      <c r="C4000" s="255" t="s">
        <v>748</v>
      </c>
      <c r="D4000" s="59">
        <v>0.6</v>
      </c>
      <c r="E4000" s="59"/>
    </row>
    <row r="4001" spans="3:5" x14ac:dyDescent="0.15">
      <c r="C4001" s="255" t="s">
        <v>749</v>
      </c>
      <c r="D4001" s="59">
        <v>0.2</v>
      </c>
      <c r="E4001" s="59"/>
    </row>
    <row r="4002" spans="3:5" x14ac:dyDescent="0.15">
      <c r="C4002" s="255" t="s">
        <v>750</v>
      </c>
      <c r="D4002" s="59">
        <v>0.6</v>
      </c>
      <c r="E4002" s="59"/>
    </row>
    <row r="4003" spans="3:5" x14ac:dyDescent="0.15">
      <c r="C4003" s="255" t="s">
        <v>751</v>
      </c>
      <c r="D4003" s="59">
        <v>40.4</v>
      </c>
      <c r="E4003" s="59"/>
    </row>
    <row r="4004" spans="3:5" x14ac:dyDescent="0.15">
      <c r="C4004" s="255" t="s">
        <v>752</v>
      </c>
      <c r="D4004" s="59">
        <v>1.4</v>
      </c>
      <c r="E4004" s="59"/>
    </row>
    <row r="4005" spans="3:5" x14ac:dyDescent="0.15">
      <c r="C4005" s="255" t="s">
        <v>753</v>
      </c>
      <c r="D4005" s="59">
        <v>86.3</v>
      </c>
      <c r="E4005" s="59"/>
    </row>
    <row r="4006" spans="3:5" x14ac:dyDescent="0.15">
      <c r="C4006" s="255" t="s">
        <v>754</v>
      </c>
      <c r="D4006" s="59">
        <v>1934.4</v>
      </c>
      <c r="E4006" s="59"/>
    </row>
    <row r="4007" spans="3:5" x14ac:dyDescent="0.15">
      <c r="C4007" s="255" t="s">
        <v>192</v>
      </c>
      <c r="D4007" s="59">
        <v>189877</v>
      </c>
      <c r="E4007" s="59"/>
    </row>
    <row r="4008" spans="3:5" x14ac:dyDescent="0.15">
      <c r="C4008" s="255" t="s">
        <v>755</v>
      </c>
      <c r="D4008" s="59">
        <v>29364.799999999999</v>
      </c>
      <c r="E4008" s="59"/>
    </row>
    <row r="4009" spans="3:5" x14ac:dyDescent="0.15">
      <c r="C4009" s="255" t="s">
        <v>756</v>
      </c>
      <c r="D4009" s="59">
        <v>109.2</v>
      </c>
      <c r="E4009" s="59"/>
    </row>
    <row r="4010" spans="3:5" x14ac:dyDescent="0.15">
      <c r="C4010" s="255" t="s">
        <v>757</v>
      </c>
      <c r="D4010" s="59">
        <v>74.599999999999994</v>
      </c>
      <c r="E4010" s="59"/>
    </row>
    <row r="4011" spans="3:5" x14ac:dyDescent="0.15">
      <c r="C4011" s="255" t="s">
        <v>758</v>
      </c>
      <c r="D4011" s="59">
        <v>1980</v>
      </c>
      <c r="E4011" s="59"/>
    </row>
    <row r="4012" spans="3:5" x14ac:dyDescent="0.15">
      <c r="C4012" s="255" t="s">
        <v>759</v>
      </c>
      <c r="D4012" s="59">
        <v>1469.3</v>
      </c>
      <c r="E4012" s="59"/>
    </row>
    <row r="4013" spans="3:5" x14ac:dyDescent="0.15">
      <c r="C4013" s="255" t="s">
        <v>760</v>
      </c>
      <c r="D4013" s="59">
        <v>187.7</v>
      </c>
      <c r="E4013" s="59"/>
    </row>
    <row r="4014" spans="3:5" x14ac:dyDescent="0.15">
      <c r="C4014" s="255" t="s">
        <v>761</v>
      </c>
      <c r="D4014" s="59">
        <v>257.10000000000002</v>
      </c>
      <c r="E4014" s="59"/>
    </row>
    <row r="4015" spans="3:5" x14ac:dyDescent="0.15">
      <c r="C4015" s="255" t="s">
        <v>762</v>
      </c>
      <c r="D4015" s="59">
        <v>331.2</v>
      </c>
      <c r="E4015" s="59"/>
    </row>
    <row r="4016" spans="3:5" x14ac:dyDescent="0.15">
      <c r="C4016" s="255" t="s">
        <v>763</v>
      </c>
      <c r="D4016" s="59">
        <v>68.7</v>
      </c>
      <c r="E4016" s="59"/>
    </row>
    <row r="4017" spans="3:5" x14ac:dyDescent="0.15">
      <c r="C4017" s="255" t="s">
        <v>764</v>
      </c>
      <c r="D4017" s="59">
        <v>1867.2</v>
      </c>
      <c r="E4017" s="59"/>
    </row>
    <row r="4018" spans="3:5" x14ac:dyDescent="0.15">
      <c r="C4018" s="255" t="s">
        <v>765</v>
      </c>
      <c r="D4018" s="59">
        <v>927.9</v>
      </c>
      <c r="E4018" s="59"/>
    </row>
    <row r="4019" spans="3:5" x14ac:dyDescent="0.15">
      <c r="C4019" s="255" t="s">
        <v>766</v>
      </c>
      <c r="D4019" s="59">
        <v>14.7</v>
      </c>
      <c r="E4019" s="59"/>
    </row>
    <row r="4020" spans="3:5" x14ac:dyDescent="0.15">
      <c r="C4020" s="255" t="s">
        <v>767</v>
      </c>
      <c r="D4020" s="59">
        <v>1020.8</v>
      </c>
      <c r="E4020" s="59"/>
    </row>
    <row r="4021" spans="3:5" x14ac:dyDescent="0.15">
      <c r="C4021" s="255" t="s">
        <v>768</v>
      </c>
      <c r="D4021" s="59">
        <v>2.9</v>
      </c>
      <c r="E4021" s="59"/>
    </row>
    <row r="4022" spans="3:5" x14ac:dyDescent="0.15">
      <c r="C4022" s="255" t="s">
        <v>769</v>
      </c>
      <c r="D4022" s="59">
        <v>64.7</v>
      </c>
      <c r="E4022" s="59"/>
    </row>
    <row r="4023" spans="3:5" x14ac:dyDescent="0.15">
      <c r="C4023" s="255" t="s">
        <v>770</v>
      </c>
      <c r="D4023" s="59">
        <v>978.5</v>
      </c>
      <c r="E4023" s="59"/>
    </row>
    <row r="4024" spans="3:5" x14ac:dyDescent="0.15">
      <c r="C4024" s="255" t="s">
        <v>771</v>
      </c>
      <c r="D4024" s="59">
        <v>1534.1</v>
      </c>
      <c r="E4024" s="59"/>
    </row>
    <row r="4025" spans="3:5" x14ac:dyDescent="0.15">
      <c r="C4025" s="255" t="s">
        <v>772</v>
      </c>
      <c r="D4025" s="59">
        <v>206.7</v>
      </c>
      <c r="E4025" s="59"/>
    </row>
    <row r="4026" spans="3:5" x14ac:dyDescent="0.15">
      <c r="C4026" s="255" t="s">
        <v>773</v>
      </c>
      <c r="D4026" s="59">
        <v>100.4</v>
      </c>
      <c r="E4026" s="59"/>
    </row>
    <row r="4027" spans="3:5" x14ac:dyDescent="0.15">
      <c r="C4027" s="255" t="s">
        <v>774</v>
      </c>
      <c r="D4027" s="59">
        <v>5.4</v>
      </c>
      <c r="E4027" s="59"/>
    </row>
    <row r="4028" spans="3:5" x14ac:dyDescent="0.15">
      <c r="C4028" s="255" t="s">
        <v>775</v>
      </c>
      <c r="D4028" s="59">
        <v>70</v>
      </c>
      <c r="E4028" s="59"/>
    </row>
    <row r="4029" spans="3:5" x14ac:dyDescent="0.15">
      <c r="C4029" s="255" t="s">
        <v>776</v>
      </c>
      <c r="D4029" s="59">
        <v>249.7</v>
      </c>
      <c r="E4029" s="59"/>
    </row>
    <row r="4030" spans="3:5" x14ac:dyDescent="0.15">
      <c r="C4030" s="255" t="s">
        <v>777</v>
      </c>
      <c r="D4030" s="59">
        <v>680.9</v>
      </c>
      <c r="E4030" s="59"/>
    </row>
    <row r="4031" spans="3:5" x14ac:dyDescent="0.15">
      <c r="C4031" s="255" t="s">
        <v>778</v>
      </c>
      <c r="D4031" s="59">
        <v>215.4</v>
      </c>
      <c r="E4031" s="59"/>
    </row>
    <row r="4032" spans="3:5" x14ac:dyDescent="0.15">
      <c r="C4032" s="255" t="s">
        <v>779</v>
      </c>
      <c r="D4032" s="59">
        <v>499.9</v>
      </c>
      <c r="E4032" s="59"/>
    </row>
    <row r="4033" spans="3:5" x14ac:dyDescent="0.15">
      <c r="C4033" s="255" t="s">
        <v>780</v>
      </c>
      <c r="D4033" s="59">
        <v>0.4</v>
      </c>
      <c r="E4033" s="59"/>
    </row>
    <row r="4034" spans="3:5" x14ac:dyDescent="0.15">
      <c r="C4034" s="255" t="s">
        <v>781</v>
      </c>
      <c r="D4034" s="59">
        <v>679.9</v>
      </c>
      <c r="E4034" s="59"/>
    </row>
    <row r="4035" spans="3:5" x14ac:dyDescent="0.15">
      <c r="C4035" s="255" t="s">
        <v>782</v>
      </c>
      <c r="D4035" s="59">
        <v>772.5</v>
      </c>
      <c r="E4035" s="59"/>
    </row>
    <row r="4036" spans="3:5" x14ac:dyDescent="0.15">
      <c r="C4036" s="255" t="s">
        <v>783</v>
      </c>
      <c r="D4036" s="59">
        <v>461.4</v>
      </c>
      <c r="E4036" s="59"/>
    </row>
    <row r="4037" spans="3:5" x14ac:dyDescent="0.15">
      <c r="C4037" s="255" t="s">
        <v>784</v>
      </c>
      <c r="D4037" s="59">
        <v>769.6</v>
      </c>
      <c r="E4037" s="59"/>
    </row>
    <row r="4038" spans="3:5" x14ac:dyDescent="0.15">
      <c r="C4038" s="255" t="s">
        <v>785</v>
      </c>
      <c r="D4038" s="59">
        <v>361.8</v>
      </c>
      <c r="E4038" s="59"/>
    </row>
    <row r="4039" spans="3:5" x14ac:dyDescent="0.15">
      <c r="C4039" s="255" t="s">
        <v>786</v>
      </c>
      <c r="D4039" s="59">
        <v>48.7</v>
      </c>
      <c r="E4039" s="59"/>
    </row>
    <row r="4040" spans="3:5" x14ac:dyDescent="0.15">
      <c r="C4040" s="255" t="s">
        <v>787</v>
      </c>
      <c r="D4040" s="59">
        <v>82.4</v>
      </c>
      <c r="E4040" s="59"/>
    </row>
    <row r="4041" spans="3:5" x14ac:dyDescent="0.15">
      <c r="C4041" s="255" t="s">
        <v>788</v>
      </c>
      <c r="D4041" s="59">
        <v>48.8</v>
      </c>
      <c r="E4041" s="59"/>
    </row>
    <row r="4042" spans="3:5" x14ac:dyDescent="0.15">
      <c r="C4042" s="255" t="s">
        <v>789</v>
      </c>
      <c r="D4042" s="59">
        <v>0.5</v>
      </c>
      <c r="E4042" s="59"/>
    </row>
    <row r="4043" spans="3:5" x14ac:dyDescent="0.15">
      <c r="C4043" s="255" t="s">
        <v>790</v>
      </c>
      <c r="D4043" s="59">
        <v>1570</v>
      </c>
      <c r="E4043" s="59"/>
    </row>
    <row r="4044" spans="3:5" x14ac:dyDescent="0.15">
      <c r="C4044" s="255" t="s">
        <v>791</v>
      </c>
      <c r="D4044" s="59">
        <v>30.3</v>
      </c>
      <c r="E4044" s="59"/>
    </row>
    <row r="4045" spans="3:5" x14ac:dyDescent="0.15">
      <c r="C4045" s="255" t="s">
        <v>792</v>
      </c>
      <c r="D4045" s="59">
        <v>372.3</v>
      </c>
      <c r="E4045" s="59"/>
    </row>
    <row r="4046" spans="3:5" x14ac:dyDescent="0.15">
      <c r="C4046" s="255" t="s">
        <v>793</v>
      </c>
      <c r="D4046" s="59">
        <v>310.8</v>
      </c>
      <c r="E4046" s="59"/>
    </row>
    <row r="4047" spans="3:5" x14ac:dyDescent="0.15">
      <c r="C4047" s="255" t="s">
        <v>794</v>
      </c>
      <c r="D4047" s="59">
        <v>2500</v>
      </c>
      <c r="E4047" s="59"/>
    </row>
    <row r="4048" spans="3:5" x14ac:dyDescent="0.15">
      <c r="C4048" s="255" t="s">
        <v>795</v>
      </c>
      <c r="D4048" s="59">
        <v>49.2</v>
      </c>
      <c r="E4048" s="59"/>
    </row>
    <row r="4049" spans="3:5" x14ac:dyDescent="0.15">
      <c r="C4049" s="255" t="s">
        <v>796</v>
      </c>
      <c r="D4049" s="59">
        <v>825.1</v>
      </c>
      <c r="E4049" s="59"/>
    </row>
    <row r="4050" spans="3:5" x14ac:dyDescent="0.15">
      <c r="C4050" s="255" t="s">
        <v>797</v>
      </c>
      <c r="D4050" s="59">
        <v>496.7</v>
      </c>
      <c r="E4050" s="59"/>
    </row>
    <row r="4051" spans="3:5" x14ac:dyDescent="0.15">
      <c r="C4051" s="255" t="s">
        <v>798</v>
      </c>
      <c r="D4051" s="59">
        <v>354.9</v>
      </c>
      <c r="E4051" s="59"/>
    </row>
    <row r="4052" spans="3:5" x14ac:dyDescent="0.15">
      <c r="C4052" s="255" t="s">
        <v>799</v>
      </c>
      <c r="D4052" s="59">
        <v>57.4</v>
      </c>
      <c r="E4052" s="59"/>
    </row>
    <row r="4053" spans="3:5" x14ac:dyDescent="0.15">
      <c r="C4053" s="255" t="s">
        <v>800</v>
      </c>
      <c r="D4053" s="59">
        <v>28.6</v>
      </c>
      <c r="E4053" s="59"/>
    </row>
    <row r="4054" spans="3:5" x14ac:dyDescent="0.15">
      <c r="C4054" s="255" t="s">
        <v>801</v>
      </c>
      <c r="D4054" s="59">
        <v>200.7</v>
      </c>
      <c r="E4054" s="59"/>
    </row>
    <row r="4055" spans="3:5" x14ac:dyDescent="0.15">
      <c r="C4055" s="255" t="s">
        <v>802</v>
      </c>
      <c r="D4055" s="59">
        <v>773.9</v>
      </c>
      <c r="E4055" s="59"/>
    </row>
    <row r="4056" spans="3:5" x14ac:dyDescent="0.15">
      <c r="C4056" s="255" t="s">
        <v>803</v>
      </c>
      <c r="D4056" s="59">
        <v>737.1</v>
      </c>
      <c r="E4056" s="59"/>
    </row>
    <row r="4057" spans="3:5" x14ac:dyDescent="0.15">
      <c r="C4057" s="255" t="s">
        <v>804</v>
      </c>
      <c r="D4057" s="59">
        <v>908.8</v>
      </c>
      <c r="E4057" s="59"/>
    </row>
    <row r="4058" spans="3:5" x14ac:dyDescent="0.15">
      <c r="C4058" s="255" t="s">
        <v>805</v>
      </c>
      <c r="D4058" s="59">
        <v>0.7</v>
      </c>
      <c r="E4058" s="59"/>
    </row>
    <row r="4059" spans="3:5" x14ac:dyDescent="0.15">
      <c r="C4059" s="255" t="s">
        <v>806</v>
      </c>
      <c r="D4059" s="59">
        <v>583.4</v>
      </c>
      <c r="E4059" s="59"/>
    </row>
    <row r="4060" spans="3:5" x14ac:dyDescent="0.15">
      <c r="C4060" s="255" t="s">
        <v>807</v>
      </c>
      <c r="D4060" s="59">
        <v>322.8</v>
      </c>
      <c r="E4060" s="59"/>
    </row>
    <row r="4061" spans="3:5" x14ac:dyDescent="0.15">
      <c r="C4061" s="255" t="s">
        <v>808</v>
      </c>
      <c r="D4061" s="59">
        <v>3.8</v>
      </c>
      <c r="E4061" s="59"/>
    </row>
    <row r="4062" spans="3:5" x14ac:dyDescent="0.15">
      <c r="C4062" s="255" t="s">
        <v>809</v>
      </c>
      <c r="D4062" s="59">
        <v>486.7</v>
      </c>
      <c r="E4062" s="59"/>
    </row>
    <row r="4063" spans="3:5" x14ac:dyDescent="0.15">
      <c r="C4063" s="255" t="s">
        <v>810</v>
      </c>
      <c r="D4063" s="59">
        <v>103.9</v>
      </c>
      <c r="E4063" s="59"/>
    </row>
    <row r="4064" spans="3:5" x14ac:dyDescent="0.15">
      <c r="C4064" s="255" t="s">
        <v>811</v>
      </c>
      <c r="D4064" s="59">
        <v>617.4</v>
      </c>
      <c r="E4064" s="59"/>
    </row>
    <row r="4065" spans="3:5" x14ac:dyDescent="0.15">
      <c r="C4065" s="255" t="s">
        <v>812</v>
      </c>
      <c r="D4065" s="59">
        <v>41.9</v>
      </c>
      <c r="E4065" s="59"/>
    </row>
    <row r="4066" spans="3:5" x14ac:dyDescent="0.15">
      <c r="C4066" s="255" t="s">
        <v>813</v>
      </c>
      <c r="D4066" s="59">
        <v>2.7</v>
      </c>
      <c r="E4066" s="59"/>
    </row>
    <row r="4067" spans="3:5" x14ac:dyDescent="0.15">
      <c r="C4067" s="255" t="s">
        <v>814</v>
      </c>
      <c r="D4067" s="59">
        <v>126.3</v>
      </c>
      <c r="E4067" s="59"/>
    </row>
    <row r="4068" spans="3:5" x14ac:dyDescent="0.15">
      <c r="C4068" s="255" t="s">
        <v>815</v>
      </c>
      <c r="D4068" s="59">
        <v>1209.8</v>
      </c>
      <c r="E4068" s="59"/>
    </row>
    <row r="4069" spans="3:5" x14ac:dyDescent="0.15">
      <c r="C4069" s="255" t="s">
        <v>816</v>
      </c>
      <c r="D4069" s="59">
        <v>506.4</v>
      </c>
      <c r="E4069" s="59"/>
    </row>
    <row r="4070" spans="3:5" x14ac:dyDescent="0.15">
      <c r="C4070" s="255" t="s">
        <v>817</v>
      </c>
      <c r="D4070" s="59">
        <v>7850.4</v>
      </c>
      <c r="E4070" s="59"/>
    </row>
    <row r="4071" spans="3:5" x14ac:dyDescent="0.15">
      <c r="C4071" s="255" t="s">
        <v>818</v>
      </c>
      <c r="D4071" s="59">
        <v>1090.0999999999999</v>
      </c>
      <c r="E4071" s="59"/>
    </row>
    <row r="4072" spans="3:5" x14ac:dyDescent="0.15">
      <c r="C4072" s="255" t="s">
        <v>819</v>
      </c>
      <c r="D4072" s="59">
        <v>0.2</v>
      </c>
      <c r="E4072" s="59"/>
    </row>
    <row r="4073" spans="3:5" x14ac:dyDescent="0.15">
      <c r="C4073" s="255" t="s">
        <v>820</v>
      </c>
      <c r="D4073" s="59">
        <v>1027.0999999999999</v>
      </c>
      <c r="E4073" s="59"/>
    </row>
    <row r="4074" spans="3:5" x14ac:dyDescent="0.15">
      <c r="C4074" s="255" t="s">
        <v>821</v>
      </c>
      <c r="D4074" s="59">
        <v>60.6</v>
      </c>
      <c r="E4074" s="59"/>
    </row>
    <row r="4075" spans="3:5" x14ac:dyDescent="0.15">
      <c r="C4075" s="255" t="s">
        <v>822</v>
      </c>
      <c r="D4075" s="59">
        <v>82.1</v>
      </c>
      <c r="E4075" s="59"/>
    </row>
    <row r="4076" spans="3:5" x14ac:dyDescent="0.15">
      <c r="C4076" s="255" t="s">
        <v>823</v>
      </c>
      <c r="D4076" s="59">
        <v>0.3</v>
      </c>
      <c r="E4076" s="59"/>
    </row>
    <row r="4077" spans="3:5" x14ac:dyDescent="0.15">
      <c r="C4077" s="255" t="s">
        <v>824</v>
      </c>
      <c r="D4077" s="59">
        <v>811.5</v>
      </c>
      <c r="E4077" s="59"/>
    </row>
    <row r="4078" spans="3:5" x14ac:dyDescent="0.15">
      <c r="C4078" s="255" t="s">
        <v>825</v>
      </c>
      <c r="D4078" s="59">
        <v>843.1</v>
      </c>
      <c r="E4078" s="59"/>
    </row>
    <row r="4079" spans="3:5" x14ac:dyDescent="0.15">
      <c r="C4079" s="255" t="s">
        <v>826</v>
      </c>
      <c r="D4079" s="59">
        <v>15.6</v>
      </c>
      <c r="E4079" s="59"/>
    </row>
    <row r="4080" spans="3:5" x14ac:dyDescent="0.15">
      <c r="C4080" s="255" t="s">
        <v>827</v>
      </c>
      <c r="D4080" s="59">
        <v>0</v>
      </c>
      <c r="E4080" s="59"/>
    </row>
    <row r="4081" spans="3:5" x14ac:dyDescent="0.15">
      <c r="C4081" s="255" t="s">
        <v>828</v>
      </c>
      <c r="D4081" s="59">
        <v>3196.8</v>
      </c>
      <c r="E4081" s="59"/>
    </row>
    <row r="4082" spans="3:5" x14ac:dyDescent="0.15">
      <c r="C4082" s="255" t="s">
        <v>829</v>
      </c>
      <c r="D4082" s="59">
        <v>0.4</v>
      </c>
      <c r="E4082" s="59"/>
    </row>
    <row r="4083" spans="3:5" x14ac:dyDescent="0.15">
      <c r="C4083" s="255" t="s">
        <v>830</v>
      </c>
      <c r="D4083" s="59">
        <v>722.6</v>
      </c>
      <c r="E4083" s="59"/>
    </row>
    <row r="4084" spans="3:5" x14ac:dyDescent="0.15">
      <c r="C4084" s="255" t="s">
        <v>831</v>
      </c>
      <c r="D4084" s="59">
        <v>0</v>
      </c>
      <c r="E4084" s="59"/>
    </row>
    <row r="4085" spans="3:5" x14ac:dyDescent="0.15">
      <c r="C4085" s="255" t="s">
        <v>832</v>
      </c>
      <c r="D4085" s="59">
        <v>3736.1</v>
      </c>
      <c r="E4085" s="59"/>
    </row>
    <row r="4086" spans="3:5" x14ac:dyDescent="0.15">
      <c r="C4086" s="255" t="s">
        <v>833</v>
      </c>
      <c r="D4086" s="59">
        <v>3.4</v>
      </c>
      <c r="E4086" s="59"/>
    </row>
    <row r="4087" spans="3:5" x14ac:dyDescent="0.15">
      <c r="C4087" s="255" t="s">
        <v>834</v>
      </c>
      <c r="D4087" s="59">
        <v>45.9</v>
      </c>
      <c r="E4087" s="59"/>
    </row>
    <row r="4088" spans="3:5" x14ac:dyDescent="0.15">
      <c r="C4088" s="255" t="s">
        <v>835</v>
      </c>
      <c r="D4088" s="59">
        <v>1632.9</v>
      </c>
      <c r="E4088" s="59"/>
    </row>
    <row r="4089" spans="3:5" x14ac:dyDescent="0.15">
      <c r="C4089" s="255" t="s">
        <v>836</v>
      </c>
      <c r="D4089" s="59">
        <v>737.2</v>
      </c>
      <c r="E4089" s="59"/>
    </row>
    <row r="4090" spans="3:5" x14ac:dyDescent="0.15">
      <c r="C4090" s="255" t="s">
        <v>837</v>
      </c>
      <c r="D4090" s="59">
        <v>266.8</v>
      </c>
      <c r="E4090" s="59"/>
    </row>
    <row r="4091" spans="3:5" x14ac:dyDescent="0.15">
      <c r="C4091" s="255" t="s">
        <v>838</v>
      </c>
      <c r="D4091" s="59">
        <v>138.6</v>
      </c>
      <c r="E4091" s="59"/>
    </row>
    <row r="4092" spans="3:5" x14ac:dyDescent="0.15">
      <c r="C4092" s="255" t="s">
        <v>839</v>
      </c>
      <c r="D4092" s="59">
        <v>0</v>
      </c>
      <c r="E4092" s="59"/>
    </row>
    <row r="4093" spans="3:5" x14ac:dyDescent="0.15">
      <c r="C4093" s="255" t="s">
        <v>840</v>
      </c>
      <c r="D4093" s="59">
        <v>0</v>
      </c>
      <c r="E4093" s="59"/>
    </row>
    <row r="4094" spans="3:5" x14ac:dyDescent="0.15">
      <c r="C4094" s="255" t="s">
        <v>841</v>
      </c>
      <c r="D4094" s="59">
        <v>378.1</v>
      </c>
      <c r="E4094" s="59"/>
    </row>
    <row r="4095" spans="3:5" x14ac:dyDescent="0.15">
      <c r="C4095" s="255" t="s">
        <v>842</v>
      </c>
      <c r="D4095" s="59">
        <v>98.1</v>
      </c>
      <c r="E4095" s="59"/>
    </row>
    <row r="4096" spans="3:5" x14ac:dyDescent="0.15">
      <c r="C4096" s="255" t="s">
        <v>843</v>
      </c>
      <c r="D4096" s="59">
        <v>435.2</v>
      </c>
      <c r="E4096" s="59"/>
    </row>
    <row r="4097" spans="3:5" x14ac:dyDescent="0.15">
      <c r="C4097" s="255" t="s">
        <v>844</v>
      </c>
      <c r="D4097" s="59">
        <v>0</v>
      </c>
      <c r="E4097" s="59"/>
    </row>
    <row r="4098" spans="3:5" x14ac:dyDescent="0.15">
      <c r="C4098" s="255" t="s">
        <v>845</v>
      </c>
      <c r="D4098" s="59">
        <v>80897.899999999994</v>
      </c>
      <c r="E4098" s="59"/>
    </row>
    <row r="4099" spans="3:5" x14ac:dyDescent="0.15">
      <c r="C4099" s="255" t="s">
        <v>846</v>
      </c>
      <c r="D4099" s="59">
        <v>46449.2</v>
      </c>
      <c r="E4099" s="59"/>
    </row>
    <row r="4100" spans="3:5" x14ac:dyDescent="0.15">
      <c r="C4100" s="255" t="s">
        <v>847</v>
      </c>
      <c r="D4100" s="59">
        <v>135.5</v>
      </c>
      <c r="E4100" s="59"/>
    </row>
    <row r="4101" spans="3:5" x14ac:dyDescent="0.15">
      <c r="C4101" s="255" t="s">
        <v>848</v>
      </c>
      <c r="D4101" s="59">
        <v>9258.4</v>
      </c>
      <c r="E4101" s="59"/>
    </row>
    <row r="4102" spans="3:5" x14ac:dyDescent="0.15">
      <c r="C4102" s="255" t="s">
        <v>849</v>
      </c>
      <c r="D4102" s="59">
        <v>172.9</v>
      </c>
      <c r="E4102" s="59"/>
    </row>
    <row r="4103" spans="3:5" x14ac:dyDescent="0.15">
      <c r="C4103" s="255" t="s">
        <v>850</v>
      </c>
      <c r="D4103" s="59">
        <v>4948</v>
      </c>
      <c r="E4103" s="59"/>
    </row>
    <row r="4104" spans="3:5" x14ac:dyDescent="0.15">
      <c r="C4104" s="255" t="s">
        <v>851</v>
      </c>
      <c r="D4104" s="59">
        <v>0</v>
      </c>
      <c r="E4104" s="59"/>
    </row>
    <row r="4105" spans="3:5" x14ac:dyDescent="0.15">
      <c r="C4105" s="255" t="s">
        <v>852</v>
      </c>
      <c r="D4105" s="59">
        <v>0</v>
      </c>
      <c r="E4105" s="59"/>
    </row>
    <row r="4106" spans="3:5" x14ac:dyDescent="0.15">
      <c r="C4106" s="255" t="s">
        <v>853</v>
      </c>
      <c r="D4106" s="59">
        <v>54</v>
      </c>
      <c r="E4106" s="59"/>
    </row>
    <row r="4107" spans="3:5" x14ac:dyDescent="0.15">
      <c r="C4107" s="255" t="s">
        <v>854</v>
      </c>
      <c r="D4107" s="59">
        <v>0</v>
      </c>
      <c r="E4107" s="59"/>
    </row>
    <row r="4108" spans="3:5" x14ac:dyDescent="0.15">
      <c r="C4108" s="255" t="s">
        <v>855</v>
      </c>
      <c r="D4108" s="59">
        <v>0</v>
      </c>
      <c r="E4108" s="59"/>
    </row>
    <row r="4109" spans="3:5" x14ac:dyDescent="0.15">
      <c r="C4109" s="255" t="s">
        <v>856</v>
      </c>
      <c r="D4109" s="59">
        <v>536.70000000000005</v>
      </c>
      <c r="E4109" s="59"/>
    </row>
    <row r="4110" spans="3:5" x14ac:dyDescent="0.15">
      <c r="C4110" s="255" t="s">
        <v>857</v>
      </c>
      <c r="D4110" s="59">
        <v>2086.9</v>
      </c>
      <c r="E4110" s="59"/>
    </row>
    <row r="4111" spans="3:5" x14ac:dyDescent="0.15">
      <c r="C4111" s="255" t="s">
        <v>858</v>
      </c>
      <c r="D4111" s="59">
        <v>2318.9</v>
      </c>
      <c r="E4111" s="59"/>
    </row>
    <row r="4112" spans="3:5" x14ac:dyDescent="0.15">
      <c r="C4112" s="255" t="s">
        <v>859</v>
      </c>
      <c r="D4112" s="59">
        <v>927.9</v>
      </c>
      <c r="E4112" s="59"/>
    </row>
    <row r="4113" spans="3:5" x14ac:dyDescent="0.15">
      <c r="C4113" s="255" t="s">
        <v>860</v>
      </c>
      <c r="D4113" s="59">
        <v>0</v>
      </c>
      <c r="E4113" s="59"/>
    </row>
    <row r="4114" spans="3:5" x14ac:dyDescent="0.15">
      <c r="C4114" s="255" t="s">
        <v>861</v>
      </c>
      <c r="D4114" s="59">
        <v>716.3</v>
      </c>
      <c r="E4114" s="59"/>
    </row>
    <row r="4115" spans="3:5" x14ac:dyDescent="0.15">
      <c r="C4115" s="255" t="s">
        <v>862</v>
      </c>
      <c r="D4115" s="59">
        <v>6644.1</v>
      </c>
      <c r="E4115" s="59"/>
    </row>
    <row r="4116" spans="3:5" x14ac:dyDescent="0.15">
      <c r="C4116" s="255" t="s">
        <v>863</v>
      </c>
      <c r="D4116" s="59">
        <v>1536.1</v>
      </c>
      <c r="E4116" s="59"/>
    </row>
    <row r="4117" spans="3:5" x14ac:dyDescent="0.15">
      <c r="C4117" s="255" t="s">
        <v>864</v>
      </c>
      <c r="D4117" s="59">
        <v>0</v>
      </c>
      <c r="E4117" s="59"/>
    </row>
    <row r="4118" spans="3:5" x14ac:dyDescent="0.15">
      <c r="C4118" s="255" t="s">
        <v>865</v>
      </c>
      <c r="D4118" s="59">
        <v>944.8</v>
      </c>
      <c r="E4118" s="59"/>
    </row>
    <row r="4119" spans="3:5" x14ac:dyDescent="0.15">
      <c r="C4119" s="255" t="s">
        <v>866</v>
      </c>
      <c r="D4119" s="59">
        <v>0</v>
      </c>
      <c r="E4119" s="59"/>
    </row>
    <row r="4120" spans="3:5" x14ac:dyDescent="0.15">
      <c r="C4120" s="255" t="s">
        <v>867</v>
      </c>
      <c r="D4120" s="59">
        <v>549.1</v>
      </c>
      <c r="E4120" s="59"/>
    </row>
    <row r="4121" spans="3:5" x14ac:dyDescent="0.15">
      <c r="C4121" s="255" t="s">
        <v>868</v>
      </c>
      <c r="D4121" s="59">
        <v>3619.3</v>
      </c>
      <c r="E4121" s="59"/>
    </row>
    <row r="4122" spans="3:5" x14ac:dyDescent="0.15">
      <c r="C4122" s="255" t="s">
        <v>869</v>
      </c>
      <c r="D4122" s="59">
        <v>7982.2</v>
      </c>
      <c r="E4122" s="59"/>
    </row>
    <row r="4123" spans="3:5" x14ac:dyDescent="0.15">
      <c r="C4123" s="255" t="s">
        <v>870</v>
      </c>
      <c r="D4123" s="59">
        <v>1909.1</v>
      </c>
      <c r="E4123" s="59"/>
    </row>
    <row r="4124" spans="3:5" x14ac:dyDescent="0.15">
      <c r="C4124" s="255" t="s">
        <v>871</v>
      </c>
      <c r="D4124" s="59">
        <v>0</v>
      </c>
      <c r="E4124" s="59"/>
    </row>
    <row r="4125" spans="3:5" x14ac:dyDescent="0.15">
      <c r="C4125" s="255" t="s">
        <v>872</v>
      </c>
      <c r="D4125" s="59">
        <v>63.2</v>
      </c>
      <c r="E4125" s="59"/>
    </row>
    <row r="4126" spans="3:5" x14ac:dyDescent="0.15">
      <c r="C4126" s="255" t="s">
        <v>873</v>
      </c>
      <c r="D4126" s="59">
        <v>480</v>
      </c>
      <c r="E4126" s="59"/>
    </row>
    <row r="4127" spans="3:5" x14ac:dyDescent="0.15">
      <c r="C4127" s="255" t="s">
        <v>874</v>
      </c>
      <c r="D4127" s="59">
        <v>0</v>
      </c>
      <c r="E4127" s="59"/>
    </row>
    <row r="4128" spans="3:5" x14ac:dyDescent="0.15">
      <c r="C4128" s="255" t="s">
        <v>875</v>
      </c>
      <c r="D4128" s="59">
        <v>0</v>
      </c>
      <c r="E4128" s="59"/>
    </row>
    <row r="4129" spans="3:5" x14ac:dyDescent="0.15">
      <c r="C4129" s="255" t="s">
        <v>876</v>
      </c>
      <c r="D4129" s="59">
        <v>0</v>
      </c>
      <c r="E4129" s="59"/>
    </row>
    <row r="4130" spans="3:5" x14ac:dyDescent="0.15">
      <c r="C4130" s="255" t="s">
        <v>877</v>
      </c>
      <c r="D4130" s="59">
        <v>28.9</v>
      </c>
      <c r="E4130" s="59"/>
    </row>
    <row r="4131" spans="3:5" x14ac:dyDescent="0.15">
      <c r="C4131" s="255" t="s">
        <v>878</v>
      </c>
      <c r="D4131" s="59">
        <v>2.8</v>
      </c>
      <c r="E4131" s="59"/>
    </row>
    <row r="4132" spans="3:5" x14ac:dyDescent="0.15">
      <c r="C4132" s="255" t="s">
        <v>879</v>
      </c>
      <c r="D4132" s="59">
        <v>0</v>
      </c>
      <c r="E4132" s="59"/>
    </row>
    <row r="4133" spans="3:5" x14ac:dyDescent="0.15">
      <c r="C4133" s="255" t="s">
        <v>880</v>
      </c>
      <c r="D4133" s="59">
        <v>4.7</v>
      </c>
      <c r="E4133" s="59"/>
    </row>
    <row r="4134" spans="3:5" x14ac:dyDescent="0.15">
      <c r="C4134" s="255" t="s">
        <v>881</v>
      </c>
      <c r="D4134" s="59">
        <v>0</v>
      </c>
      <c r="E4134" s="59"/>
    </row>
    <row r="4135" spans="3:5" x14ac:dyDescent="0.15">
      <c r="C4135" s="255" t="s">
        <v>882</v>
      </c>
      <c r="D4135" s="59">
        <v>6.9</v>
      </c>
      <c r="E4135" s="59"/>
    </row>
    <row r="4136" spans="3:5" x14ac:dyDescent="0.15">
      <c r="C4136" s="255" t="s">
        <v>883</v>
      </c>
      <c r="D4136" s="59">
        <v>730.2</v>
      </c>
      <c r="E4136" s="59"/>
    </row>
    <row r="4137" spans="3:5" x14ac:dyDescent="0.15">
      <c r="C4137" s="255" t="s">
        <v>884</v>
      </c>
      <c r="D4137" s="59">
        <v>180.7</v>
      </c>
      <c r="E4137" s="59"/>
    </row>
    <row r="4138" spans="3:5" x14ac:dyDescent="0.15">
      <c r="C4138" s="255" t="s">
        <v>885</v>
      </c>
      <c r="D4138" s="59">
        <v>37.299999999999997</v>
      </c>
      <c r="E4138" s="59"/>
    </row>
    <row r="4139" spans="3:5" x14ac:dyDescent="0.15">
      <c r="C4139" s="255" t="s">
        <v>886</v>
      </c>
      <c r="D4139" s="59">
        <v>0</v>
      </c>
      <c r="E4139" s="59"/>
    </row>
    <row r="4140" spans="3:5" x14ac:dyDescent="0.15">
      <c r="C4140" s="255" t="s">
        <v>887</v>
      </c>
      <c r="D4140" s="59">
        <v>0</v>
      </c>
      <c r="E4140" s="59"/>
    </row>
    <row r="4141" spans="3:5" x14ac:dyDescent="0.15">
      <c r="C4141" s="255" t="s">
        <v>888</v>
      </c>
      <c r="D4141" s="59">
        <v>0</v>
      </c>
      <c r="E4141" s="59"/>
    </row>
    <row r="4142" spans="3:5" x14ac:dyDescent="0.15">
      <c r="C4142" s="255" t="s">
        <v>889</v>
      </c>
      <c r="D4142" s="59">
        <v>0</v>
      </c>
      <c r="E4142" s="59"/>
    </row>
    <row r="4143" spans="3:5" x14ac:dyDescent="0.15">
      <c r="C4143" s="255" t="s">
        <v>890</v>
      </c>
      <c r="D4143" s="59">
        <v>0</v>
      </c>
      <c r="E4143" s="59"/>
    </row>
    <row r="4144" spans="3:5" x14ac:dyDescent="0.15">
      <c r="C4144" s="255" t="s">
        <v>891</v>
      </c>
      <c r="D4144" s="59">
        <v>0</v>
      </c>
      <c r="E4144" s="59"/>
    </row>
    <row r="4145" spans="3:5" x14ac:dyDescent="0.15">
      <c r="C4145" s="255" t="s">
        <v>892</v>
      </c>
      <c r="D4145" s="59">
        <v>0</v>
      </c>
      <c r="E4145" s="59"/>
    </row>
    <row r="4146" spans="3:5" x14ac:dyDescent="0.15">
      <c r="C4146" s="255" t="s">
        <v>893</v>
      </c>
      <c r="D4146" s="59">
        <v>0</v>
      </c>
      <c r="E4146" s="59"/>
    </row>
    <row r="4147" spans="3:5" x14ac:dyDescent="0.15">
      <c r="C4147" s="255" t="s">
        <v>894</v>
      </c>
      <c r="D4147" s="59">
        <v>0</v>
      </c>
      <c r="E4147" s="59"/>
    </row>
    <row r="4148" spans="3:5" x14ac:dyDescent="0.15">
      <c r="C4148" s="255" t="s">
        <v>895</v>
      </c>
      <c r="D4148" s="59">
        <v>276.60000000000002</v>
      </c>
      <c r="E4148" s="59"/>
    </row>
    <row r="4149" spans="3:5" x14ac:dyDescent="0.15">
      <c r="C4149" s="255" t="s">
        <v>896</v>
      </c>
      <c r="D4149" s="59">
        <v>0</v>
      </c>
      <c r="E4149" s="59"/>
    </row>
    <row r="4150" spans="3:5" x14ac:dyDescent="0.15">
      <c r="C4150" s="255" t="s">
        <v>897</v>
      </c>
      <c r="D4150" s="59">
        <v>1671.6</v>
      </c>
      <c r="E4150" s="59"/>
    </row>
    <row r="4151" spans="3:5" x14ac:dyDescent="0.15">
      <c r="C4151" s="255" t="s">
        <v>898</v>
      </c>
      <c r="D4151" s="59">
        <v>189.9</v>
      </c>
      <c r="E4151" s="59"/>
    </row>
    <row r="4152" spans="3:5" x14ac:dyDescent="0.15">
      <c r="C4152" s="255" t="s">
        <v>899</v>
      </c>
      <c r="D4152" s="59">
        <v>0</v>
      </c>
      <c r="E4152" s="59"/>
    </row>
    <row r="4153" spans="3:5" x14ac:dyDescent="0.15">
      <c r="C4153" s="255" t="s">
        <v>900</v>
      </c>
      <c r="D4153" s="59">
        <v>0</v>
      </c>
      <c r="E4153" s="59"/>
    </row>
    <row r="4154" spans="3:5" x14ac:dyDescent="0.15">
      <c r="C4154" s="255" t="s">
        <v>901</v>
      </c>
      <c r="D4154" s="59">
        <v>86.7</v>
      </c>
      <c r="E4154" s="59"/>
    </row>
    <row r="4155" spans="3:5" x14ac:dyDescent="0.15">
      <c r="C4155" s="255" t="s">
        <v>902</v>
      </c>
      <c r="D4155" s="59">
        <v>0</v>
      </c>
      <c r="E4155" s="59"/>
    </row>
    <row r="4156" spans="3:5" x14ac:dyDescent="0.15">
      <c r="C4156" s="255" t="s">
        <v>903</v>
      </c>
      <c r="D4156" s="59">
        <v>1045</v>
      </c>
      <c r="E4156" s="59"/>
    </row>
    <row r="4157" spans="3:5" x14ac:dyDescent="0.15">
      <c r="C4157" s="255" t="s">
        <v>904</v>
      </c>
      <c r="D4157" s="59">
        <v>1090.8</v>
      </c>
      <c r="E4157" s="59"/>
    </row>
    <row r="4158" spans="3:5" x14ac:dyDescent="0.15">
      <c r="C4158" s="255" t="s">
        <v>905</v>
      </c>
      <c r="D4158" s="59">
        <v>7.3</v>
      </c>
      <c r="E4158" s="59"/>
    </row>
    <row r="4159" spans="3:5" x14ac:dyDescent="0.15">
      <c r="C4159" s="255" t="s">
        <v>906</v>
      </c>
      <c r="D4159" s="59">
        <v>19</v>
      </c>
      <c r="E4159" s="59"/>
    </row>
    <row r="4160" spans="3:5" x14ac:dyDescent="0.15">
      <c r="C4160" s="255" t="s">
        <v>907</v>
      </c>
      <c r="D4160" s="59">
        <v>151.4</v>
      </c>
      <c r="E4160" s="59"/>
    </row>
    <row r="4161" spans="3:5" x14ac:dyDescent="0.15">
      <c r="C4161" s="255" t="s">
        <v>908</v>
      </c>
      <c r="D4161" s="59">
        <v>5023.2</v>
      </c>
      <c r="E4161" s="59"/>
    </row>
    <row r="4162" spans="3:5" x14ac:dyDescent="0.15">
      <c r="C4162" s="255" t="s">
        <v>909</v>
      </c>
      <c r="D4162" s="59">
        <v>2179.6</v>
      </c>
      <c r="E4162" s="59"/>
    </row>
    <row r="4163" spans="3:5" x14ac:dyDescent="0.15">
      <c r="C4163" s="255" t="s">
        <v>910</v>
      </c>
      <c r="D4163" s="59">
        <v>0</v>
      </c>
      <c r="E4163" s="59"/>
    </row>
    <row r="4164" spans="3:5" x14ac:dyDescent="0.15">
      <c r="C4164" s="255" t="s">
        <v>911</v>
      </c>
      <c r="D4164" s="59">
        <v>0</v>
      </c>
      <c r="E4164" s="59"/>
    </row>
    <row r="4165" spans="3:5" x14ac:dyDescent="0.15">
      <c r="C4165" s="255" t="s">
        <v>912</v>
      </c>
      <c r="D4165" s="59">
        <v>0</v>
      </c>
      <c r="E4165" s="59"/>
    </row>
    <row r="4166" spans="3:5" x14ac:dyDescent="0.15">
      <c r="C4166" s="255" t="s">
        <v>913</v>
      </c>
      <c r="D4166" s="59">
        <v>0</v>
      </c>
      <c r="E4166" s="59"/>
    </row>
    <row r="4167" spans="3:5" x14ac:dyDescent="0.15">
      <c r="C4167" s="255" t="s">
        <v>914</v>
      </c>
      <c r="D4167" s="59">
        <v>0</v>
      </c>
      <c r="E4167" s="59"/>
    </row>
    <row r="4168" spans="3:5" x14ac:dyDescent="0.15">
      <c r="C4168" s="255" t="s">
        <v>915</v>
      </c>
      <c r="D4168" s="59">
        <v>0</v>
      </c>
      <c r="E4168" s="59"/>
    </row>
    <row r="4169" spans="3:5" x14ac:dyDescent="0.15">
      <c r="C4169" s="255" t="s">
        <v>916</v>
      </c>
      <c r="D4169" s="59">
        <v>6.9</v>
      </c>
      <c r="E4169" s="59"/>
    </row>
    <row r="4170" spans="3:5" x14ac:dyDescent="0.15">
      <c r="C4170" s="255" t="s">
        <v>917</v>
      </c>
      <c r="D4170" s="59">
        <v>0</v>
      </c>
      <c r="E4170" s="59"/>
    </row>
    <row r="4171" spans="3:5" x14ac:dyDescent="0.15">
      <c r="C4171" s="255" t="s">
        <v>918</v>
      </c>
      <c r="D4171" s="59">
        <v>1971.3</v>
      </c>
      <c r="E4171" s="59"/>
    </row>
    <row r="4172" spans="3:5" x14ac:dyDescent="0.15">
      <c r="C4172" s="255" t="s">
        <v>919</v>
      </c>
      <c r="D4172" s="59">
        <v>0</v>
      </c>
      <c r="E4172" s="59"/>
    </row>
    <row r="4173" spans="3:5" x14ac:dyDescent="0.15">
      <c r="C4173" s="255" t="s">
        <v>920</v>
      </c>
      <c r="D4173" s="59">
        <v>865.6</v>
      </c>
      <c r="E4173" s="59"/>
    </row>
    <row r="4174" spans="3:5" x14ac:dyDescent="0.15">
      <c r="C4174" s="255" t="s">
        <v>921</v>
      </c>
      <c r="D4174" s="59">
        <v>0</v>
      </c>
      <c r="E4174" s="59"/>
    </row>
    <row r="4175" spans="3:5" x14ac:dyDescent="0.15">
      <c r="C4175" s="255" t="s">
        <v>922</v>
      </c>
      <c r="D4175" s="59">
        <v>11757.7</v>
      </c>
      <c r="E4175" s="59"/>
    </row>
    <row r="4176" spans="3:5" x14ac:dyDescent="0.15">
      <c r="C4176" s="255" t="s">
        <v>923</v>
      </c>
      <c r="D4176" s="59">
        <v>0</v>
      </c>
      <c r="E4176" s="59"/>
    </row>
    <row r="4177" spans="3:5" x14ac:dyDescent="0.15">
      <c r="C4177" s="255" t="s">
        <v>924</v>
      </c>
      <c r="D4177" s="59">
        <v>1039.4000000000001</v>
      </c>
      <c r="E4177" s="59"/>
    </row>
    <row r="4178" spans="3:5" x14ac:dyDescent="0.15">
      <c r="C4178" s="255" t="s">
        <v>925</v>
      </c>
      <c r="D4178" s="59">
        <v>392.9</v>
      </c>
      <c r="E4178" s="59"/>
    </row>
    <row r="4179" spans="3:5" x14ac:dyDescent="0.15">
      <c r="C4179" s="255" t="s">
        <v>926</v>
      </c>
      <c r="D4179" s="59">
        <v>226.1</v>
      </c>
      <c r="E4179" s="59"/>
    </row>
    <row r="4180" spans="3:5" x14ac:dyDescent="0.15">
      <c r="C4180" s="255" t="s">
        <v>927</v>
      </c>
      <c r="D4180" s="59">
        <v>35.5</v>
      </c>
      <c r="E4180" s="59"/>
    </row>
    <row r="4181" spans="3:5" x14ac:dyDescent="0.15">
      <c r="C4181" s="255" t="s">
        <v>928</v>
      </c>
      <c r="D4181" s="59">
        <v>0</v>
      </c>
      <c r="E4181" s="59"/>
    </row>
    <row r="4182" spans="3:5" x14ac:dyDescent="0.15">
      <c r="C4182" s="255" t="s">
        <v>929</v>
      </c>
      <c r="D4182" s="59">
        <v>0</v>
      </c>
      <c r="E4182" s="59"/>
    </row>
    <row r="4183" spans="3:5" x14ac:dyDescent="0.15">
      <c r="C4183" s="255" t="s">
        <v>930</v>
      </c>
      <c r="D4183" s="59">
        <v>783</v>
      </c>
      <c r="E4183" s="59"/>
    </row>
    <row r="4184" spans="3:5" x14ac:dyDescent="0.15">
      <c r="C4184" s="255" t="s">
        <v>931</v>
      </c>
      <c r="D4184" s="59">
        <v>2337.1</v>
      </c>
      <c r="E4184" s="59"/>
    </row>
    <row r="4185" spans="3:5" x14ac:dyDescent="0.15">
      <c r="C4185" s="255" t="s">
        <v>932</v>
      </c>
      <c r="D4185" s="59">
        <v>0</v>
      </c>
      <c r="E4185" s="59"/>
    </row>
    <row r="4186" spans="3:5" x14ac:dyDescent="0.15">
      <c r="C4186" s="255" t="s">
        <v>933</v>
      </c>
      <c r="D4186" s="59">
        <v>0</v>
      </c>
      <c r="E4186" s="59"/>
    </row>
    <row r="4187" spans="3:5" x14ac:dyDescent="0.15">
      <c r="C4187" s="255" t="s">
        <v>934</v>
      </c>
      <c r="D4187" s="59">
        <v>900.1</v>
      </c>
      <c r="E4187" s="59"/>
    </row>
    <row r="4188" spans="3:5" x14ac:dyDescent="0.15">
      <c r="C4188" s="255" t="s">
        <v>935</v>
      </c>
      <c r="D4188" s="59">
        <v>180.7</v>
      </c>
      <c r="E4188" s="59"/>
    </row>
    <row r="4189" spans="3:5" x14ac:dyDescent="0.15">
      <c r="C4189" s="255" t="s">
        <v>936</v>
      </c>
      <c r="D4189" s="59">
        <v>2741.2</v>
      </c>
      <c r="E4189" s="59"/>
    </row>
    <row r="4190" spans="3:5" x14ac:dyDescent="0.15">
      <c r="C4190" s="255" t="s">
        <v>937</v>
      </c>
      <c r="D4190" s="59">
        <v>31.4</v>
      </c>
      <c r="E4190" s="59"/>
    </row>
    <row r="4191" spans="3:5" x14ac:dyDescent="0.15">
      <c r="C4191" s="255" t="s">
        <v>938</v>
      </c>
      <c r="D4191" s="59">
        <v>0</v>
      </c>
      <c r="E4191" s="59"/>
    </row>
    <row r="4192" spans="3:5" x14ac:dyDescent="0.15">
      <c r="C4192" s="255" t="s">
        <v>939</v>
      </c>
      <c r="D4192" s="59">
        <v>0</v>
      </c>
      <c r="E4192" s="59"/>
    </row>
    <row r="4193" spans="3:5" x14ac:dyDescent="0.15">
      <c r="C4193" s="255" t="s">
        <v>940</v>
      </c>
      <c r="D4193" s="59">
        <v>23.7</v>
      </c>
      <c r="E4193" s="59"/>
    </row>
    <row r="4194" spans="3:5" x14ac:dyDescent="0.15">
      <c r="C4194" s="255" t="s">
        <v>941</v>
      </c>
      <c r="D4194" s="59">
        <v>0</v>
      </c>
      <c r="E4194" s="59"/>
    </row>
    <row r="4195" spans="3:5" x14ac:dyDescent="0.15">
      <c r="C4195" s="255" t="s">
        <v>942</v>
      </c>
      <c r="D4195" s="59">
        <v>0</v>
      </c>
      <c r="E4195" s="59"/>
    </row>
    <row r="4196" spans="3:5" x14ac:dyDescent="0.15">
      <c r="C4196" s="255" t="s">
        <v>943</v>
      </c>
      <c r="D4196" s="59">
        <v>762.8</v>
      </c>
      <c r="E4196" s="59"/>
    </row>
    <row r="4197" spans="3:5" x14ac:dyDescent="0.15">
      <c r="C4197" s="255" t="s">
        <v>944</v>
      </c>
      <c r="D4197" s="59">
        <v>287.8</v>
      </c>
      <c r="E4197" s="59"/>
    </row>
    <row r="4198" spans="3:5" x14ac:dyDescent="0.15">
      <c r="C4198" s="255" t="s">
        <v>945</v>
      </c>
      <c r="D4198" s="59">
        <v>2016</v>
      </c>
      <c r="E4198" s="59"/>
    </row>
    <row r="4199" spans="3:5" x14ac:dyDescent="0.15">
      <c r="C4199" s="255" t="s">
        <v>946</v>
      </c>
      <c r="D4199" s="59">
        <v>0</v>
      </c>
      <c r="E4199" s="59"/>
    </row>
    <row r="4200" spans="3:5" x14ac:dyDescent="0.15">
      <c r="C4200" s="255" t="s">
        <v>947</v>
      </c>
      <c r="D4200" s="59">
        <v>0</v>
      </c>
      <c r="E4200" s="59"/>
    </row>
    <row r="4201" spans="3:5" x14ac:dyDescent="0.15">
      <c r="C4201" s="255" t="s">
        <v>948</v>
      </c>
      <c r="D4201" s="59">
        <v>6874.9</v>
      </c>
      <c r="E4201" s="59"/>
    </row>
    <row r="4202" spans="3:5" x14ac:dyDescent="0.15">
      <c r="C4202" s="255" t="s">
        <v>949</v>
      </c>
      <c r="D4202" s="59">
        <v>9.6</v>
      </c>
      <c r="E4202" s="59"/>
    </row>
    <row r="4203" spans="3:5" x14ac:dyDescent="0.15">
      <c r="C4203" s="255" t="s">
        <v>950</v>
      </c>
      <c r="D4203" s="59">
        <v>33.299999999999997</v>
      </c>
      <c r="E4203" s="59"/>
    </row>
    <row r="4204" spans="3:5" x14ac:dyDescent="0.15">
      <c r="C4204" s="255" t="s">
        <v>951</v>
      </c>
      <c r="D4204" s="59">
        <v>764.3</v>
      </c>
      <c r="E4204" s="59"/>
    </row>
    <row r="4205" spans="3:5" x14ac:dyDescent="0.15">
      <c r="C4205" s="255" t="s">
        <v>952</v>
      </c>
      <c r="D4205" s="59">
        <v>0</v>
      </c>
      <c r="E4205" s="59"/>
    </row>
    <row r="4206" spans="3:5" x14ac:dyDescent="0.15">
      <c r="C4206" s="255" t="s">
        <v>953</v>
      </c>
      <c r="D4206" s="59">
        <v>0</v>
      </c>
      <c r="E4206" s="59"/>
    </row>
    <row r="4207" spans="3:5" x14ac:dyDescent="0.15">
      <c r="C4207" s="255" t="s">
        <v>954</v>
      </c>
      <c r="D4207" s="59">
        <v>3108.9</v>
      </c>
      <c r="E4207" s="59"/>
    </row>
    <row r="4208" spans="3:5" x14ac:dyDescent="0.15">
      <c r="C4208" s="255" t="s">
        <v>955</v>
      </c>
      <c r="D4208" s="59">
        <v>1821</v>
      </c>
      <c r="E4208" s="59"/>
    </row>
    <row r="4209" spans="3:5" x14ac:dyDescent="0.15">
      <c r="C4209" s="255" t="s">
        <v>956</v>
      </c>
      <c r="D4209" s="59">
        <v>1137.8</v>
      </c>
      <c r="E4209" s="59"/>
    </row>
    <row r="4210" spans="3:5" x14ac:dyDescent="0.15">
      <c r="C4210" s="255" t="s">
        <v>957</v>
      </c>
      <c r="D4210" s="59">
        <v>16082</v>
      </c>
      <c r="E4210" s="59"/>
    </row>
    <row r="4211" spans="3:5" x14ac:dyDescent="0.15">
      <c r="C4211" s="255" t="s">
        <v>958</v>
      </c>
      <c r="D4211" s="59">
        <v>22.9</v>
      </c>
      <c r="E4211" s="59"/>
    </row>
    <row r="4212" spans="3:5" x14ac:dyDescent="0.15">
      <c r="C4212" s="255" t="s">
        <v>959</v>
      </c>
      <c r="D4212" s="59">
        <v>38.700000000000003</v>
      </c>
      <c r="E4212" s="59"/>
    </row>
    <row r="4213" spans="3:5" x14ac:dyDescent="0.15">
      <c r="C4213" s="255" t="s">
        <v>960</v>
      </c>
      <c r="D4213" s="59">
        <v>0</v>
      </c>
      <c r="E4213" s="59"/>
    </row>
    <row r="4214" spans="3:5" x14ac:dyDescent="0.15">
      <c r="C4214" s="255" t="s">
        <v>961</v>
      </c>
      <c r="D4214" s="59">
        <v>0</v>
      </c>
      <c r="E4214" s="59"/>
    </row>
    <row r="4215" spans="3:5" x14ac:dyDescent="0.15">
      <c r="C4215" s="255" t="s">
        <v>962</v>
      </c>
      <c r="D4215" s="59">
        <v>0</v>
      </c>
      <c r="E4215" s="59"/>
    </row>
    <row r="4216" spans="3:5" x14ac:dyDescent="0.15">
      <c r="C4216" s="255" t="s">
        <v>963</v>
      </c>
      <c r="D4216" s="59">
        <v>643.4</v>
      </c>
      <c r="E4216" s="59"/>
    </row>
    <row r="4217" spans="3:5" x14ac:dyDescent="0.15">
      <c r="C4217" s="255" t="s">
        <v>964</v>
      </c>
      <c r="D4217" s="59">
        <v>2337.5</v>
      </c>
      <c r="E4217" s="59"/>
    </row>
    <row r="4218" spans="3:5" x14ac:dyDescent="0.15">
      <c r="C4218" s="255" t="s">
        <v>965</v>
      </c>
      <c r="D4218" s="59">
        <v>0</v>
      </c>
      <c r="E4218" s="59"/>
    </row>
    <row r="4219" spans="3:5" x14ac:dyDescent="0.15">
      <c r="C4219" s="255" t="s">
        <v>966</v>
      </c>
      <c r="D4219" s="59">
        <v>0</v>
      </c>
      <c r="E4219" s="59"/>
    </row>
    <row r="4220" spans="3:5" x14ac:dyDescent="0.15">
      <c r="C4220" s="255" t="s">
        <v>967</v>
      </c>
      <c r="D4220" s="59">
        <v>6.3</v>
      </c>
      <c r="E4220" s="59"/>
    </row>
    <row r="4221" spans="3:5" x14ac:dyDescent="0.15">
      <c r="C4221" s="255" t="s">
        <v>968</v>
      </c>
      <c r="D4221" s="59">
        <v>0</v>
      </c>
      <c r="E4221" s="59"/>
    </row>
    <row r="4222" spans="3:5" x14ac:dyDescent="0.15">
      <c r="C4222" s="255" t="s">
        <v>969</v>
      </c>
      <c r="D4222" s="59">
        <v>98.6</v>
      </c>
      <c r="E4222" s="59"/>
    </row>
    <row r="4223" spans="3:5" x14ac:dyDescent="0.15">
      <c r="C4223" s="255" t="s">
        <v>970</v>
      </c>
      <c r="D4223" s="59">
        <v>0</v>
      </c>
      <c r="E4223" s="59"/>
    </row>
    <row r="4224" spans="3:5" x14ac:dyDescent="0.15">
      <c r="C4224" s="255" t="s">
        <v>971</v>
      </c>
      <c r="D4224" s="59">
        <v>159.5</v>
      </c>
      <c r="E4224" s="59"/>
    </row>
    <row r="4225" spans="3:5" x14ac:dyDescent="0.15">
      <c r="C4225" s="255" t="s">
        <v>972</v>
      </c>
      <c r="D4225" s="59">
        <v>0</v>
      </c>
      <c r="E4225" s="59"/>
    </row>
    <row r="4226" spans="3:5" x14ac:dyDescent="0.15">
      <c r="C4226" s="255" t="s">
        <v>973</v>
      </c>
      <c r="D4226" s="59">
        <v>0</v>
      </c>
      <c r="E4226" s="59"/>
    </row>
    <row r="4227" spans="3:5" x14ac:dyDescent="0.15">
      <c r="C4227" s="255" t="s">
        <v>974</v>
      </c>
      <c r="D4227" s="59">
        <v>0</v>
      </c>
      <c r="E4227" s="59"/>
    </row>
    <row r="4228" spans="3:5" x14ac:dyDescent="0.15">
      <c r="C4228" s="255" t="s">
        <v>975</v>
      </c>
      <c r="D4228" s="59">
        <v>0</v>
      </c>
      <c r="E4228" s="59"/>
    </row>
    <row r="4229" spans="3:5" x14ac:dyDescent="0.15">
      <c r="C4229" s="255" t="s">
        <v>976</v>
      </c>
      <c r="D4229" s="59">
        <v>0</v>
      </c>
      <c r="E4229" s="59"/>
    </row>
    <row r="4230" spans="3:5" x14ac:dyDescent="0.15">
      <c r="C4230" s="255" t="s">
        <v>977</v>
      </c>
      <c r="D4230" s="59">
        <v>6.1</v>
      </c>
      <c r="E4230" s="59"/>
    </row>
    <row r="4231" spans="3:5" x14ac:dyDescent="0.15">
      <c r="C4231" s="255" t="s">
        <v>978</v>
      </c>
      <c r="D4231" s="59">
        <v>460.2</v>
      </c>
      <c r="E4231" s="59"/>
    </row>
    <row r="4232" spans="3:5" x14ac:dyDescent="0.15">
      <c r="C4232" s="255" t="s">
        <v>979</v>
      </c>
      <c r="D4232" s="59">
        <v>0</v>
      </c>
      <c r="E4232" s="59"/>
    </row>
    <row r="4233" spans="3:5" x14ac:dyDescent="0.15">
      <c r="C4233" s="255" t="s">
        <v>980</v>
      </c>
      <c r="D4233" s="59">
        <v>208.5</v>
      </c>
      <c r="E4233" s="59"/>
    </row>
    <row r="4234" spans="3:5" x14ac:dyDescent="0.15">
      <c r="C4234" s="255" t="s">
        <v>981</v>
      </c>
      <c r="D4234" s="59">
        <v>0</v>
      </c>
      <c r="E4234" s="59"/>
    </row>
    <row r="4235" spans="3:5" x14ac:dyDescent="0.15">
      <c r="C4235" s="255" t="s">
        <v>982</v>
      </c>
      <c r="D4235" s="59">
        <v>0</v>
      </c>
      <c r="E4235" s="59"/>
    </row>
    <row r="4236" spans="3:5" x14ac:dyDescent="0.15">
      <c r="C4236" s="255" t="s">
        <v>983</v>
      </c>
      <c r="D4236" s="59">
        <v>588.79999999999995</v>
      </c>
      <c r="E4236" s="59"/>
    </row>
    <row r="4237" spans="3:5" x14ac:dyDescent="0.15">
      <c r="C4237" s="255" t="s">
        <v>984</v>
      </c>
      <c r="D4237" s="59">
        <v>0</v>
      </c>
      <c r="E4237" s="59"/>
    </row>
    <row r="4238" spans="3:5" x14ac:dyDescent="0.15">
      <c r="C4238" s="255" t="s">
        <v>985</v>
      </c>
      <c r="D4238" s="59">
        <v>2515.5</v>
      </c>
      <c r="E4238" s="59"/>
    </row>
    <row r="4239" spans="3:5" x14ac:dyDescent="0.15">
      <c r="C4239" s="255" t="s">
        <v>986</v>
      </c>
      <c r="D4239" s="59">
        <v>0</v>
      </c>
      <c r="E4239" s="59"/>
    </row>
    <row r="4240" spans="3:5" x14ac:dyDescent="0.15">
      <c r="C4240" s="255" t="s">
        <v>987</v>
      </c>
      <c r="D4240" s="59">
        <v>2212.9</v>
      </c>
      <c r="E4240" s="59"/>
    </row>
    <row r="4241" spans="3:5" x14ac:dyDescent="0.15">
      <c r="C4241" s="255" t="s">
        <v>988</v>
      </c>
      <c r="D4241" s="59">
        <v>1078.7</v>
      </c>
      <c r="E4241" s="59"/>
    </row>
    <row r="4242" spans="3:5" x14ac:dyDescent="0.15">
      <c r="C4242" s="255" t="s">
        <v>989</v>
      </c>
      <c r="D4242" s="59">
        <v>580.20000000000005</v>
      </c>
      <c r="E4242" s="59"/>
    </row>
    <row r="4243" spans="3:5" x14ac:dyDescent="0.15">
      <c r="C4243" s="255" t="s">
        <v>990</v>
      </c>
      <c r="D4243" s="59">
        <v>88.5</v>
      </c>
      <c r="E4243" s="59"/>
    </row>
    <row r="4244" spans="3:5" x14ac:dyDescent="0.15">
      <c r="C4244" s="255" t="s">
        <v>991</v>
      </c>
      <c r="D4244" s="59">
        <v>4026.5</v>
      </c>
      <c r="E4244" s="59"/>
    </row>
    <row r="4245" spans="3:5" x14ac:dyDescent="0.15">
      <c r="C4245" s="255" t="s">
        <v>992</v>
      </c>
      <c r="D4245" s="59">
        <v>0</v>
      </c>
      <c r="E4245" s="59"/>
    </row>
    <row r="4246" spans="3:5" x14ac:dyDescent="0.15">
      <c r="C4246" s="255" t="s">
        <v>993</v>
      </c>
      <c r="D4246" s="59">
        <v>9.9</v>
      </c>
      <c r="E4246" s="59"/>
    </row>
    <row r="4247" spans="3:5" x14ac:dyDescent="0.15">
      <c r="C4247" s="255" t="s">
        <v>994</v>
      </c>
      <c r="D4247" s="59">
        <v>0</v>
      </c>
      <c r="E4247" s="59"/>
    </row>
    <row r="4248" spans="3:5" x14ac:dyDescent="0.15">
      <c r="C4248" s="255" t="s">
        <v>995</v>
      </c>
      <c r="D4248" s="59">
        <v>409.4</v>
      </c>
      <c r="E4248" s="59"/>
    </row>
    <row r="4249" spans="3:5" x14ac:dyDescent="0.15">
      <c r="C4249" s="255" t="s">
        <v>996</v>
      </c>
      <c r="D4249" s="59">
        <v>0</v>
      </c>
      <c r="E4249" s="59"/>
    </row>
    <row r="4250" spans="3:5" x14ac:dyDescent="0.15">
      <c r="C4250" s="255" t="s">
        <v>997</v>
      </c>
      <c r="D4250" s="59">
        <v>11.5</v>
      </c>
      <c r="E4250" s="59"/>
    </row>
    <row r="4251" spans="3:5" x14ac:dyDescent="0.15">
      <c r="C4251" s="255" t="s">
        <v>998</v>
      </c>
      <c r="D4251" s="59">
        <v>0</v>
      </c>
      <c r="E4251" s="59"/>
    </row>
    <row r="4252" spans="3:5" x14ac:dyDescent="0.15">
      <c r="C4252" s="255" t="s">
        <v>999</v>
      </c>
      <c r="D4252" s="59">
        <v>0</v>
      </c>
      <c r="E4252" s="59"/>
    </row>
    <row r="4253" spans="3:5" x14ac:dyDescent="0.15">
      <c r="C4253" s="255" t="s">
        <v>1000</v>
      </c>
      <c r="D4253" s="59">
        <v>4.9000000000000004</v>
      </c>
      <c r="E4253" s="59"/>
    </row>
    <row r="4254" spans="3:5" x14ac:dyDescent="0.15">
      <c r="C4254" s="255" t="s">
        <v>1001</v>
      </c>
      <c r="D4254" s="59">
        <v>88</v>
      </c>
      <c r="E4254" s="59"/>
    </row>
    <row r="4255" spans="3:5" x14ac:dyDescent="0.15">
      <c r="C4255" s="255" t="s">
        <v>1002</v>
      </c>
      <c r="D4255" s="59">
        <v>6.8</v>
      </c>
      <c r="E4255" s="59"/>
    </row>
    <row r="4256" spans="3:5" x14ac:dyDescent="0.15">
      <c r="C4256" s="255" t="s">
        <v>1003</v>
      </c>
      <c r="D4256" s="59">
        <v>12.3</v>
      </c>
      <c r="E4256" s="59"/>
    </row>
    <row r="4257" spans="3:5" x14ac:dyDescent="0.15">
      <c r="C4257" s="255" t="s">
        <v>1004</v>
      </c>
      <c r="D4257" s="59">
        <v>1</v>
      </c>
      <c r="E4257" s="59"/>
    </row>
    <row r="4258" spans="3:5" x14ac:dyDescent="0.15">
      <c r="C4258" s="255" t="s">
        <v>1005</v>
      </c>
      <c r="D4258" s="59">
        <v>0</v>
      </c>
      <c r="E4258" s="59"/>
    </row>
    <row r="4259" spans="3:5" x14ac:dyDescent="0.15">
      <c r="C4259" s="255" t="s">
        <v>1006</v>
      </c>
      <c r="D4259" s="59">
        <v>465.4</v>
      </c>
      <c r="E4259" s="59"/>
    </row>
    <row r="4260" spans="3:5" x14ac:dyDescent="0.15">
      <c r="C4260" s="255" t="s">
        <v>1007</v>
      </c>
      <c r="D4260" s="59">
        <v>165.4</v>
      </c>
      <c r="E4260" s="59"/>
    </row>
    <row r="4261" spans="3:5" x14ac:dyDescent="0.15">
      <c r="C4261" s="255" t="s">
        <v>1008</v>
      </c>
      <c r="D4261" s="59">
        <v>165.4</v>
      </c>
      <c r="E4261" s="59"/>
    </row>
    <row r="4262" spans="3:5" x14ac:dyDescent="0.15">
      <c r="C4262" s="255" t="s">
        <v>1009</v>
      </c>
      <c r="D4262" s="59">
        <v>0</v>
      </c>
      <c r="E4262" s="59"/>
    </row>
    <row r="4263" spans="3:5" x14ac:dyDescent="0.15">
      <c r="C4263" s="255" t="s">
        <v>1010</v>
      </c>
      <c r="D4263" s="59">
        <v>0</v>
      </c>
      <c r="E4263" s="59"/>
    </row>
    <row r="4264" spans="3:5" x14ac:dyDescent="0.15">
      <c r="C4264" s="255" t="s">
        <v>1011</v>
      </c>
      <c r="D4264" s="59">
        <v>0</v>
      </c>
      <c r="E4264" s="59"/>
    </row>
    <row r="4265" spans="3:5" x14ac:dyDescent="0.15">
      <c r="C4265" s="255" t="s">
        <v>1012</v>
      </c>
      <c r="D4265" s="59">
        <v>5727.8</v>
      </c>
      <c r="E4265" s="59"/>
    </row>
    <row r="4266" spans="3:5" x14ac:dyDescent="0.15">
      <c r="C4266" s="255" t="s">
        <v>1013</v>
      </c>
      <c r="D4266" s="59">
        <v>3124.4</v>
      </c>
      <c r="E4266" s="59"/>
    </row>
    <row r="4267" spans="3:5" x14ac:dyDescent="0.15">
      <c r="C4267" s="255" t="s">
        <v>1014</v>
      </c>
      <c r="D4267" s="59">
        <v>1518.5</v>
      </c>
      <c r="E4267" s="59"/>
    </row>
    <row r="4268" spans="3:5" x14ac:dyDescent="0.15">
      <c r="C4268" s="255" t="s">
        <v>1015</v>
      </c>
      <c r="D4268" s="59">
        <v>530.70000000000005</v>
      </c>
      <c r="E4268" s="59"/>
    </row>
    <row r="4269" spans="3:5" x14ac:dyDescent="0.15">
      <c r="C4269" s="255" t="s">
        <v>1016</v>
      </c>
      <c r="D4269" s="59">
        <v>116.9</v>
      </c>
      <c r="E4269" s="59"/>
    </row>
    <row r="4270" spans="3:5" x14ac:dyDescent="0.15">
      <c r="C4270" s="255" t="s">
        <v>1017</v>
      </c>
      <c r="D4270" s="59">
        <v>437.3</v>
      </c>
      <c r="E4270" s="59"/>
    </row>
    <row r="4271" spans="3:5" x14ac:dyDescent="0.15">
      <c r="C4271" s="255" t="s">
        <v>1018</v>
      </c>
      <c r="D4271" s="59">
        <v>0</v>
      </c>
      <c r="E4271" s="59"/>
    </row>
    <row r="4272" spans="3:5" x14ac:dyDescent="0.15">
      <c r="C4272" s="255" t="s">
        <v>1019</v>
      </c>
      <c r="D4272" s="59">
        <v>14414.5</v>
      </c>
      <c r="E4272" s="59"/>
    </row>
    <row r="4273" spans="3:5" x14ac:dyDescent="0.15">
      <c r="C4273" s="255" t="s">
        <v>1020</v>
      </c>
      <c r="D4273" s="59">
        <v>392.2</v>
      </c>
      <c r="E4273" s="59"/>
    </row>
    <row r="4274" spans="3:5" x14ac:dyDescent="0.15">
      <c r="C4274" s="255" t="s">
        <v>1021</v>
      </c>
      <c r="D4274" s="59">
        <v>0</v>
      </c>
      <c r="E4274" s="59"/>
    </row>
    <row r="4275" spans="3:5" x14ac:dyDescent="0.15">
      <c r="C4275" s="255" t="s">
        <v>1022</v>
      </c>
      <c r="D4275" s="59">
        <v>0</v>
      </c>
      <c r="E4275" s="59"/>
    </row>
    <row r="4276" spans="3:5" x14ac:dyDescent="0.15">
      <c r="C4276" s="255" t="s">
        <v>1023</v>
      </c>
      <c r="D4276" s="59">
        <v>0</v>
      </c>
      <c r="E4276" s="59"/>
    </row>
    <row r="4277" spans="3:5" x14ac:dyDescent="0.15">
      <c r="C4277" s="255" t="s">
        <v>1024</v>
      </c>
      <c r="D4277" s="59">
        <v>0</v>
      </c>
      <c r="E4277" s="59"/>
    </row>
    <row r="4278" spans="3:5" x14ac:dyDescent="0.15">
      <c r="C4278" s="255" t="s">
        <v>1025</v>
      </c>
      <c r="D4278" s="59">
        <v>117.4</v>
      </c>
      <c r="E4278" s="59"/>
    </row>
    <row r="4279" spans="3:5" x14ac:dyDescent="0.15">
      <c r="C4279" s="255" t="s">
        <v>1026</v>
      </c>
      <c r="D4279" s="59">
        <v>1357.4</v>
      </c>
      <c r="E4279" s="59"/>
    </row>
    <row r="4280" spans="3:5" x14ac:dyDescent="0.15">
      <c r="C4280" s="255" t="s">
        <v>1027</v>
      </c>
      <c r="D4280" s="59">
        <v>0</v>
      </c>
      <c r="E4280" s="59"/>
    </row>
    <row r="4281" spans="3:5" x14ac:dyDescent="0.15">
      <c r="C4281" s="255" t="s">
        <v>1028</v>
      </c>
      <c r="D4281" s="59">
        <v>81.2</v>
      </c>
      <c r="E4281" s="59"/>
    </row>
    <row r="4282" spans="3:5" x14ac:dyDescent="0.15">
      <c r="C4282" s="255" t="s">
        <v>1029</v>
      </c>
      <c r="D4282" s="59">
        <v>22.5</v>
      </c>
      <c r="E4282" s="59"/>
    </row>
    <row r="4283" spans="3:5" x14ac:dyDescent="0.15">
      <c r="C4283" s="255" t="s">
        <v>1030</v>
      </c>
      <c r="D4283" s="59">
        <v>0</v>
      </c>
      <c r="E4283" s="59"/>
    </row>
    <row r="4284" spans="3:5" x14ac:dyDescent="0.15">
      <c r="C4284" s="255" t="s">
        <v>1031</v>
      </c>
      <c r="D4284" s="59">
        <v>29.1</v>
      </c>
      <c r="E4284" s="59"/>
    </row>
    <row r="4285" spans="3:5" x14ac:dyDescent="0.15">
      <c r="C4285" s="255" t="s">
        <v>1032</v>
      </c>
      <c r="D4285" s="59">
        <v>0</v>
      </c>
      <c r="E4285" s="59"/>
    </row>
    <row r="4286" spans="3:5" x14ac:dyDescent="0.15">
      <c r="C4286" s="255" t="s">
        <v>1033</v>
      </c>
      <c r="D4286" s="59">
        <v>0</v>
      </c>
      <c r="E4286" s="59"/>
    </row>
    <row r="4287" spans="3:5" x14ac:dyDescent="0.15">
      <c r="C4287" s="255" t="s">
        <v>1034</v>
      </c>
      <c r="D4287" s="59">
        <v>58.5</v>
      </c>
      <c r="E4287" s="59"/>
    </row>
    <row r="4288" spans="3:5" x14ac:dyDescent="0.15">
      <c r="C4288" s="255" t="s">
        <v>1035</v>
      </c>
      <c r="D4288" s="59">
        <v>2474.6999999999998</v>
      </c>
      <c r="E4288" s="59"/>
    </row>
    <row r="4289" spans="2:5" x14ac:dyDescent="0.15">
      <c r="C4289" s="255" t="s">
        <v>1036</v>
      </c>
      <c r="D4289" s="59">
        <v>0</v>
      </c>
      <c r="E4289" s="59"/>
    </row>
    <row r="4290" spans="2:5" x14ac:dyDescent="0.15">
      <c r="C4290" s="255" t="s">
        <v>1037</v>
      </c>
      <c r="D4290" s="59">
        <v>379.7</v>
      </c>
      <c r="E4290" s="59"/>
    </row>
    <row r="4291" spans="2:5" x14ac:dyDescent="0.15">
      <c r="C4291" s="255" t="s">
        <v>1038</v>
      </c>
      <c r="D4291" s="59">
        <v>2786.7</v>
      </c>
      <c r="E4291" s="59"/>
    </row>
    <row r="4292" spans="2:5" x14ac:dyDescent="0.15">
      <c r="C4292" s="255" t="s">
        <v>1039</v>
      </c>
      <c r="D4292" s="59">
        <v>963.8</v>
      </c>
      <c r="E4292" s="59"/>
    </row>
    <row r="4293" spans="2:5" x14ac:dyDescent="0.15">
      <c r="C4293" s="255" t="s">
        <v>1040</v>
      </c>
      <c r="D4293" s="59">
        <v>2200.9</v>
      </c>
      <c r="E4293" s="59"/>
    </row>
    <row r="4294" spans="2:5" x14ac:dyDescent="0.15">
      <c r="C4294" s="255" t="s">
        <v>1041</v>
      </c>
      <c r="D4294" s="59">
        <v>181.5</v>
      </c>
      <c r="E4294" s="59"/>
    </row>
    <row r="4295" spans="2:5" x14ac:dyDescent="0.15">
      <c r="C4295" s="255" t="s">
        <v>1042</v>
      </c>
      <c r="D4295" s="59">
        <v>2575.1999999999998</v>
      </c>
      <c r="E4295" s="59"/>
    </row>
    <row r="4296" spans="2:5" x14ac:dyDescent="0.15">
      <c r="C4296" s="255" t="s">
        <v>1043</v>
      </c>
      <c r="D4296" s="59">
        <v>78.7</v>
      </c>
      <c r="E4296" s="59"/>
    </row>
    <row r="4297" spans="2:5" x14ac:dyDescent="0.15">
      <c r="C4297" s="255" t="s">
        <v>1044</v>
      </c>
      <c r="D4297" s="59">
        <v>0</v>
      </c>
      <c r="E4297" s="59"/>
    </row>
    <row r="4298" spans="2:5" x14ac:dyDescent="0.15">
      <c r="C4298" s="255" t="s">
        <v>1045</v>
      </c>
      <c r="D4298" s="59">
        <v>47.5</v>
      </c>
      <c r="E4298" s="59"/>
    </row>
    <row r="4299" spans="2:5" x14ac:dyDescent="0.15">
      <c r="C4299" s="255" t="s">
        <v>1046</v>
      </c>
      <c r="D4299" s="59">
        <v>627.9</v>
      </c>
      <c r="E4299" s="59"/>
    </row>
    <row r="4300" spans="2:5" x14ac:dyDescent="0.15">
      <c r="C4300" s="255" t="s">
        <v>1047</v>
      </c>
      <c r="D4300" s="59">
        <v>0</v>
      </c>
      <c r="E4300" s="59"/>
    </row>
    <row r="4301" spans="2:5" x14ac:dyDescent="0.15">
      <c r="C4301" s="255" t="s">
        <v>1048</v>
      </c>
      <c r="D4301" s="59">
        <v>39.700000000000003</v>
      </c>
      <c r="E4301" s="59"/>
    </row>
    <row r="4302" spans="2:5" x14ac:dyDescent="0.15">
      <c r="B4302" s="255" t="s">
        <v>1058</v>
      </c>
      <c r="C4302" s="255" t="s">
        <v>743</v>
      </c>
      <c r="D4302" s="59">
        <v>116</v>
      </c>
      <c r="E4302" s="59"/>
    </row>
    <row r="4303" spans="2:5" x14ac:dyDescent="0.15">
      <c r="C4303" s="255" t="s">
        <v>744</v>
      </c>
      <c r="D4303" s="59">
        <v>136</v>
      </c>
      <c r="E4303" s="59"/>
    </row>
    <row r="4304" spans="2:5" x14ac:dyDescent="0.15">
      <c r="C4304" s="255" t="s">
        <v>745</v>
      </c>
      <c r="D4304" s="59">
        <v>184.5</v>
      </c>
      <c r="E4304" s="59"/>
    </row>
    <row r="4305" spans="3:5" x14ac:dyDescent="0.15">
      <c r="C4305" s="255" t="s">
        <v>746</v>
      </c>
      <c r="D4305" s="59">
        <v>1.4</v>
      </c>
      <c r="E4305" s="59"/>
    </row>
    <row r="4306" spans="3:5" x14ac:dyDescent="0.15">
      <c r="C4306" s="255" t="s">
        <v>747</v>
      </c>
      <c r="D4306" s="59">
        <v>1.2</v>
      </c>
      <c r="E4306" s="59"/>
    </row>
    <row r="4307" spans="3:5" x14ac:dyDescent="0.15">
      <c r="C4307" s="255" t="s">
        <v>748</v>
      </c>
      <c r="D4307" s="59">
        <v>0.1</v>
      </c>
      <c r="E4307" s="59"/>
    </row>
    <row r="4308" spans="3:5" x14ac:dyDescent="0.15">
      <c r="C4308" s="255" t="s">
        <v>749</v>
      </c>
      <c r="D4308" s="59">
        <v>0</v>
      </c>
      <c r="E4308" s="59"/>
    </row>
    <row r="4309" spans="3:5" x14ac:dyDescent="0.15">
      <c r="C4309" s="255" t="s">
        <v>750</v>
      </c>
      <c r="D4309" s="59">
        <v>0.6</v>
      </c>
      <c r="E4309" s="59"/>
    </row>
    <row r="4310" spans="3:5" x14ac:dyDescent="0.15">
      <c r="C4310" s="255" t="s">
        <v>751</v>
      </c>
      <c r="D4310" s="59">
        <v>24.8</v>
      </c>
      <c r="E4310" s="59"/>
    </row>
    <row r="4311" spans="3:5" x14ac:dyDescent="0.15">
      <c r="C4311" s="255" t="s">
        <v>752</v>
      </c>
      <c r="D4311" s="59">
        <v>1.2</v>
      </c>
      <c r="E4311" s="59"/>
    </row>
    <row r="4312" spans="3:5" x14ac:dyDescent="0.15">
      <c r="C4312" s="255" t="s">
        <v>753</v>
      </c>
      <c r="D4312" s="59">
        <v>64.5</v>
      </c>
      <c r="E4312" s="59"/>
    </row>
    <row r="4313" spans="3:5" x14ac:dyDescent="0.15">
      <c r="C4313" s="255" t="s">
        <v>754</v>
      </c>
      <c r="D4313" s="59">
        <v>1947.7</v>
      </c>
      <c r="E4313" s="59"/>
    </row>
    <row r="4314" spans="3:5" x14ac:dyDescent="0.15">
      <c r="C4314" s="255" t="s">
        <v>192</v>
      </c>
      <c r="D4314" s="59">
        <v>154790.39999999999</v>
      </c>
      <c r="E4314" s="59"/>
    </row>
    <row r="4315" spans="3:5" x14ac:dyDescent="0.15">
      <c r="C4315" s="255" t="s">
        <v>755</v>
      </c>
      <c r="D4315" s="59">
        <v>20829.099999999999</v>
      </c>
      <c r="E4315" s="59"/>
    </row>
    <row r="4316" spans="3:5" x14ac:dyDescent="0.15">
      <c r="C4316" s="255" t="s">
        <v>756</v>
      </c>
      <c r="D4316" s="59">
        <v>47.7</v>
      </c>
      <c r="E4316" s="59"/>
    </row>
    <row r="4317" spans="3:5" x14ac:dyDescent="0.15">
      <c r="C4317" s="255" t="s">
        <v>757</v>
      </c>
      <c r="D4317" s="59">
        <v>19.399999999999999</v>
      </c>
      <c r="E4317" s="59"/>
    </row>
    <row r="4318" spans="3:5" x14ac:dyDescent="0.15">
      <c r="C4318" s="255" t="s">
        <v>758</v>
      </c>
      <c r="D4318" s="59">
        <v>1227.5999999999999</v>
      </c>
      <c r="E4318" s="59"/>
    </row>
    <row r="4319" spans="3:5" x14ac:dyDescent="0.15">
      <c r="C4319" s="255" t="s">
        <v>759</v>
      </c>
      <c r="D4319" s="59">
        <v>791.7</v>
      </c>
      <c r="E4319" s="59"/>
    </row>
    <row r="4320" spans="3:5" x14ac:dyDescent="0.15">
      <c r="C4320" s="255" t="s">
        <v>760</v>
      </c>
      <c r="D4320" s="59">
        <v>171.4</v>
      </c>
      <c r="E4320" s="59"/>
    </row>
    <row r="4321" spans="3:5" x14ac:dyDescent="0.15">
      <c r="C4321" s="255" t="s">
        <v>761</v>
      </c>
      <c r="D4321" s="59">
        <v>258.7</v>
      </c>
      <c r="E4321" s="59"/>
    </row>
    <row r="4322" spans="3:5" x14ac:dyDescent="0.15">
      <c r="C4322" s="255" t="s">
        <v>762</v>
      </c>
      <c r="D4322" s="59">
        <v>286.89999999999998</v>
      </c>
      <c r="E4322" s="59"/>
    </row>
    <row r="4323" spans="3:5" x14ac:dyDescent="0.15">
      <c r="C4323" s="255" t="s">
        <v>763</v>
      </c>
      <c r="D4323" s="59">
        <v>130</v>
      </c>
      <c r="E4323" s="59"/>
    </row>
    <row r="4324" spans="3:5" x14ac:dyDescent="0.15">
      <c r="C4324" s="255" t="s">
        <v>764</v>
      </c>
      <c r="D4324" s="59">
        <v>950.4</v>
      </c>
      <c r="E4324" s="59"/>
    </row>
    <row r="4325" spans="3:5" x14ac:dyDescent="0.15">
      <c r="C4325" s="255" t="s">
        <v>765</v>
      </c>
      <c r="D4325" s="59">
        <v>251.3</v>
      </c>
      <c r="E4325" s="59"/>
    </row>
    <row r="4326" spans="3:5" x14ac:dyDescent="0.15">
      <c r="C4326" s="255" t="s">
        <v>766</v>
      </c>
      <c r="D4326" s="59">
        <v>9</v>
      </c>
      <c r="E4326" s="59"/>
    </row>
    <row r="4327" spans="3:5" x14ac:dyDescent="0.15">
      <c r="C4327" s="255" t="s">
        <v>767</v>
      </c>
      <c r="D4327" s="59">
        <v>591.20000000000005</v>
      </c>
      <c r="E4327" s="59"/>
    </row>
    <row r="4328" spans="3:5" x14ac:dyDescent="0.15">
      <c r="C4328" s="255" t="s">
        <v>768</v>
      </c>
      <c r="D4328" s="59">
        <v>2.8</v>
      </c>
      <c r="E4328" s="59"/>
    </row>
    <row r="4329" spans="3:5" x14ac:dyDescent="0.15">
      <c r="C4329" s="255" t="s">
        <v>769</v>
      </c>
      <c r="D4329" s="59">
        <v>11.7</v>
      </c>
      <c r="E4329" s="59"/>
    </row>
    <row r="4330" spans="3:5" x14ac:dyDescent="0.15">
      <c r="C4330" s="255" t="s">
        <v>770</v>
      </c>
      <c r="D4330" s="59">
        <v>787.4</v>
      </c>
      <c r="E4330" s="59"/>
    </row>
    <row r="4331" spans="3:5" x14ac:dyDescent="0.15">
      <c r="C4331" s="255" t="s">
        <v>771</v>
      </c>
      <c r="D4331" s="59">
        <v>809.3</v>
      </c>
      <c r="E4331" s="59"/>
    </row>
    <row r="4332" spans="3:5" x14ac:dyDescent="0.15">
      <c r="C4332" s="255" t="s">
        <v>772</v>
      </c>
      <c r="D4332" s="59">
        <v>157.80000000000001</v>
      </c>
      <c r="E4332" s="59"/>
    </row>
    <row r="4333" spans="3:5" x14ac:dyDescent="0.15">
      <c r="C4333" s="255" t="s">
        <v>773</v>
      </c>
      <c r="D4333" s="59">
        <v>37.299999999999997</v>
      </c>
      <c r="E4333" s="59"/>
    </row>
    <row r="4334" spans="3:5" x14ac:dyDescent="0.15">
      <c r="C4334" s="255" t="s">
        <v>774</v>
      </c>
      <c r="D4334" s="59">
        <v>10.8</v>
      </c>
      <c r="E4334" s="59"/>
    </row>
    <row r="4335" spans="3:5" x14ac:dyDescent="0.15">
      <c r="C4335" s="255" t="s">
        <v>775</v>
      </c>
      <c r="D4335" s="59">
        <v>74.2</v>
      </c>
      <c r="E4335" s="59"/>
    </row>
    <row r="4336" spans="3:5" x14ac:dyDescent="0.15">
      <c r="C4336" s="255" t="s">
        <v>776</v>
      </c>
      <c r="D4336" s="59">
        <v>89.2</v>
      </c>
      <c r="E4336" s="59"/>
    </row>
    <row r="4337" spans="3:5" x14ac:dyDescent="0.15">
      <c r="C4337" s="255" t="s">
        <v>777</v>
      </c>
      <c r="D4337" s="59">
        <v>339.8</v>
      </c>
      <c r="E4337" s="59"/>
    </row>
    <row r="4338" spans="3:5" x14ac:dyDescent="0.15">
      <c r="C4338" s="255" t="s">
        <v>778</v>
      </c>
      <c r="D4338" s="59">
        <v>211</v>
      </c>
      <c r="E4338" s="59"/>
    </row>
    <row r="4339" spans="3:5" x14ac:dyDescent="0.15">
      <c r="C4339" s="255" t="s">
        <v>779</v>
      </c>
      <c r="D4339" s="59">
        <v>325.89999999999998</v>
      </c>
      <c r="E4339" s="59"/>
    </row>
    <row r="4340" spans="3:5" x14ac:dyDescent="0.15">
      <c r="C4340" s="255" t="s">
        <v>780</v>
      </c>
      <c r="D4340" s="59">
        <v>0.1</v>
      </c>
      <c r="E4340" s="59"/>
    </row>
    <row r="4341" spans="3:5" x14ac:dyDescent="0.15">
      <c r="C4341" s="255" t="s">
        <v>781</v>
      </c>
      <c r="D4341" s="59">
        <v>445.5</v>
      </c>
      <c r="E4341" s="59"/>
    </row>
    <row r="4342" spans="3:5" x14ac:dyDescent="0.15">
      <c r="C4342" s="255" t="s">
        <v>782</v>
      </c>
      <c r="D4342" s="59">
        <v>1131.8</v>
      </c>
      <c r="E4342" s="59"/>
    </row>
    <row r="4343" spans="3:5" x14ac:dyDescent="0.15">
      <c r="C4343" s="255" t="s">
        <v>783</v>
      </c>
      <c r="D4343" s="59">
        <v>428.6</v>
      </c>
      <c r="E4343" s="59"/>
    </row>
    <row r="4344" spans="3:5" x14ac:dyDescent="0.15">
      <c r="C4344" s="255" t="s">
        <v>784</v>
      </c>
      <c r="D4344" s="59">
        <v>442.2</v>
      </c>
      <c r="E4344" s="59"/>
    </row>
    <row r="4345" spans="3:5" x14ac:dyDescent="0.15">
      <c r="C4345" s="255" t="s">
        <v>785</v>
      </c>
      <c r="D4345" s="59">
        <v>167.3</v>
      </c>
      <c r="E4345" s="59"/>
    </row>
    <row r="4346" spans="3:5" x14ac:dyDescent="0.15">
      <c r="C4346" s="255" t="s">
        <v>786</v>
      </c>
      <c r="D4346" s="59">
        <v>35.5</v>
      </c>
      <c r="E4346" s="59"/>
    </row>
    <row r="4347" spans="3:5" x14ac:dyDescent="0.15">
      <c r="C4347" s="255" t="s">
        <v>787</v>
      </c>
      <c r="D4347" s="59">
        <v>65.900000000000006</v>
      </c>
      <c r="E4347" s="59"/>
    </row>
    <row r="4348" spans="3:5" x14ac:dyDescent="0.15">
      <c r="C4348" s="255" t="s">
        <v>788</v>
      </c>
      <c r="D4348" s="59">
        <v>80.599999999999994</v>
      </c>
      <c r="E4348" s="59"/>
    </row>
    <row r="4349" spans="3:5" x14ac:dyDescent="0.15">
      <c r="C4349" s="255" t="s">
        <v>789</v>
      </c>
      <c r="D4349" s="59">
        <v>0.6</v>
      </c>
      <c r="E4349" s="59"/>
    </row>
    <row r="4350" spans="3:5" x14ac:dyDescent="0.15">
      <c r="C4350" s="255" t="s">
        <v>790</v>
      </c>
      <c r="D4350" s="59">
        <v>1223.3</v>
      </c>
      <c r="E4350" s="59"/>
    </row>
    <row r="4351" spans="3:5" x14ac:dyDescent="0.15">
      <c r="C4351" s="255" t="s">
        <v>791</v>
      </c>
      <c r="D4351" s="59">
        <v>113.1</v>
      </c>
      <c r="E4351" s="59"/>
    </row>
    <row r="4352" spans="3:5" x14ac:dyDescent="0.15">
      <c r="C4352" s="255" t="s">
        <v>792</v>
      </c>
      <c r="D4352" s="59">
        <v>449.5</v>
      </c>
      <c r="E4352" s="59"/>
    </row>
    <row r="4353" spans="3:5" x14ac:dyDescent="0.15">
      <c r="C4353" s="255" t="s">
        <v>793</v>
      </c>
      <c r="D4353" s="59">
        <v>107.9</v>
      </c>
      <c r="E4353" s="59"/>
    </row>
    <row r="4354" spans="3:5" x14ac:dyDescent="0.15">
      <c r="C4354" s="255" t="s">
        <v>794</v>
      </c>
      <c r="D4354" s="59">
        <v>1409.1</v>
      </c>
      <c r="E4354" s="59"/>
    </row>
    <row r="4355" spans="3:5" x14ac:dyDescent="0.15">
      <c r="C4355" s="255" t="s">
        <v>795</v>
      </c>
      <c r="D4355" s="59">
        <v>144.30000000000001</v>
      </c>
      <c r="E4355" s="59"/>
    </row>
    <row r="4356" spans="3:5" x14ac:dyDescent="0.15">
      <c r="C4356" s="255" t="s">
        <v>796</v>
      </c>
      <c r="D4356" s="59">
        <v>385.8</v>
      </c>
      <c r="E4356" s="59"/>
    </row>
    <row r="4357" spans="3:5" x14ac:dyDescent="0.15">
      <c r="C4357" s="255" t="s">
        <v>797</v>
      </c>
      <c r="D4357" s="59">
        <v>178.4</v>
      </c>
      <c r="E4357" s="59"/>
    </row>
    <row r="4358" spans="3:5" x14ac:dyDescent="0.15">
      <c r="C4358" s="255" t="s">
        <v>798</v>
      </c>
      <c r="D4358" s="59">
        <v>304.60000000000002</v>
      </c>
      <c r="E4358" s="59"/>
    </row>
    <row r="4359" spans="3:5" x14ac:dyDescent="0.15">
      <c r="C4359" s="255" t="s">
        <v>799</v>
      </c>
      <c r="D4359" s="59">
        <v>45.8</v>
      </c>
      <c r="E4359" s="59"/>
    </row>
    <row r="4360" spans="3:5" x14ac:dyDescent="0.15">
      <c r="C4360" s="255" t="s">
        <v>800</v>
      </c>
      <c r="D4360" s="59">
        <v>34.700000000000003</v>
      </c>
      <c r="E4360" s="59"/>
    </row>
    <row r="4361" spans="3:5" x14ac:dyDescent="0.15">
      <c r="C4361" s="255" t="s">
        <v>801</v>
      </c>
      <c r="D4361" s="59">
        <v>180.9</v>
      </c>
      <c r="E4361" s="59"/>
    </row>
    <row r="4362" spans="3:5" x14ac:dyDescent="0.15">
      <c r="C4362" s="255" t="s">
        <v>802</v>
      </c>
      <c r="D4362" s="59">
        <v>690.1</v>
      </c>
      <c r="E4362" s="59"/>
    </row>
    <row r="4363" spans="3:5" x14ac:dyDescent="0.15">
      <c r="C4363" s="255" t="s">
        <v>803</v>
      </c>
      <c r="D4363" s="59">
        <v>822</v>
      </c>
      <c r="E4363" s="59"/>
    </row>
    <row r="4364" spans="3:5" x14ac:dyDescent="0.15">
      <c r="C4364" s="255" t="s">
        <v>804</v>
      </c>
      <c r="D4364" s="59">
        <v>561.5</v>
      </c>
      <c r="E4364" s="59"/>
    </row>
    <row r="4365" spans="3:5" x14ac:dyDescent="0.15">
      <c r="C4365" s="255" t="s">
        <v>805</v>
      </c>
      <c r="D4365" s="59">
        <v>0.8</v>
      </c>
      <c r="E4365" s="59"/>
    </row>
    <row r="4366" spans="3:5" x14ac:dyDescent="0.15">
      <c r="C4366" s="255" t="s">
        <v>806</v>
      </c>
      <c r="D4366" s="59">
        <v>666.6</v>
      </c>
      <c r="E4366" s="59"/>
    </row>
    <row r="4367" spans="3:5" x14ac:dyDescent="0.15">
      <c r="C4367" s="255" t="s">
        <v>807</v>
      </c>
      <c r="D4367" s="59">
        <v>266.10000000000002</v>
      </c>
      <c r="E4367" s="59"/>
    </row>
    <row r="4368" spans="3:5" x14ac:dyDescent="0.15">
      <c r="C4368" s="255" t="s">
        <v>808</v>
      </c>
      <c r="D4368" s="59">
        <v>62.9</v>
      </c>
      <c r="E4368" s="59"/>
    </row>
    <row r="4369" spans="3:5" x14ac:dyDescent="0.15">
      <c r="C4369" s="255" t="s">
        <v>809</v>
      </c>
      <c r="D4369" s="59">
        <v>511.5</v>
      </c>
      <c r="E4369" s="59"/>
    </row>
    <row r="4370" spans="3:5" x14ac:dyDescent="0.15">
      <c r="C4370" s="255" t="s">
        <v>810</v>
      </c>
      <c r="D4370" s="59">
        <v>120.4</v>
      </c>
      <c r="E4370" s="59"/>
    </row>
    <row r="4371" spans="3:5" x14ac:dyDescent="0.15">
      <c r="C4371" s="255" t="s">
        <v>811</v>
      </c>
      <c r="D4371" s="59">
        <v>380.2</v>
      </c>
      <c r="E4371" s="59"/>
    </row>
    <row r="4372" spans="3:5" x14ac:dyDescent="0.15">
      <c r="C4372" s="255" t="s">
        <v>812</v>
      </c>
      <c r="D4372" s="59">
        <v>166.5</v>
      </c>
      <c r="E4372" s="59"/>
    </row>
    <row r="4373" spans="3:5" x14ac:dyDescent="0.15">
      <c r="C4373" s="255" t="s">
        <v>813</v>
      </c>
      <c r="D4373" s="59">
        <v>15.4</v>
      </c>
      <c r="E4373" s="59"/>
    </row>
    <row r="4374" spans="3:5" x14ac:dyDescent="0.15">
      <c r="C4374" s="255" t="s">
        <v>814</v>
      </c>
      <c r="D4374" s="59">
        <v>193.4</v>
      </c>
      <c r="E4374" s="59"/>
    </row>
    <row r="4375" spans="3:5" x14ac:dyDescent="0.15">
      <c r="C4375" s="255" t="s">
        <v>815</v>
      </c>
      <c r="D4375" s="59">
        <v>879.7</v>
      </c>
      <c r="E4375" s="59"/>
    </row>
    <row r="4376" spans="3:5" x14ac:dyDescent="0.15">
      <c r="C4376" s="255" t="s">
        <v>816</v>
      </c>
      <c r="D4376" s="59">
        <v>523.9</v>
      </c>
      <c r="E4376" s="59"/>
    </row>
    <row r="4377" spans="3:5" x14ac:dyDescent="0.15">
      <c r="C4377" s="255" t="s">
        <v>817</v>
      </c>
      <c r="D4377" s="59">
        <v>3776.1</v>
      </c>
      <c r="E4377" s="59"/>
    </row>
    <row r="4378" spans="3:5" x14ac:dyDescent="0.15">
      <c r="C4378" s="255" t="s">
        <v>818</v>
      </c>
      <c r="D4378" s="59">
        <v>487.3</v>
      </c>
      <c r="E4378" s="59"/>
    </row>
    <row r="4379" spans="3:5" x14ac:dyDescent="0.15">
      <c r="C4379" s="255" t="s">
        <v>819</v>
      </c>
      <c r="D4379" s="59">
        <v>41.6</v>
      </c>
      <c r="E4379" s="59"/>
    </row>
    <row r="4380" spans="3:5" x14ac:dyDescent="0.15">
      <c r="C4380" s="255" t="s">
        <v>820</v>
      </c>
      <c r="D4380" s="59">
        <v>616.70000000000005</v>
      </c>
      <c r="E4380" s="59"/>
    </row>
    <row r="4381" spans="3:5" x14ac:dyDescent="0.15">
      <c r="C4381" s="255" t="s">
        <v>821</v>
      </c>
      <c r="D4381" s="59">
        <v>90</v>
      </c>
      <c r="E4381" s="59"/>
    </row>
    <row r="4382" spans="3:5" x14ac:dyDescent="0.15">
      <c r="C4382" s="255" t="s">
        <v>822</v>
      </c>
      <c r="D4382" s="59">
        <v>206.6</v>
      </c>
      <c r="E4382" s="59"/>
    </row>
    <row r="4383" spans="3:5" x14ac:dyDescent="0.15">
      <c r="C4383" s="255" t="s">
        <v>823</v>
      </c>
      <c r="D4383" s="59">
        <v>1.2</v>
      </c>
      <c r="E4383" s="59"/>
    </row>
    <row r="4384" spans="3:5" x14ac:dyDescent="0.15">
      <c r="C4384" s="255" t="s">
        <v>824</v>
      </c>
      <c r="D4384" s="59">
        <v>340.5</v>
      </c>
      <c r="E4384" s="59"/>
    </row>
    <row r="4385" spans="3:5" x14ac:dyDescent="0.15">
      <c r="C4385" s="255" t="s">
        <v>825</v>
      </c>
      <c r="D4385" s="59">
        <v>400.6</v>
      </c>
      <c r="E4385" s="59"/>
    </row>
    <row r="4386" spans="3:5" x14ac:dyDescent="0.15">
      <c r="C4386" s="255" t="s">
        <v>826</v>
      </c>
      <c r="D4386" s="59">
        <v>0.3</v>
      </c>
      <c r="E4386" s="59"/>
    </row>
    <row r="4387" spans="3:5" x14ac:dyDescent="0.15">
      <c r="C4387" s="255" t="s">
        <v>827</v>
      </c>
      <c r="D4387" s="59">
        <v>16.600000000000001</v>
      </c>
      <c r="E4387" s="59"/>
    </row>
    <row r="4388" spans="3:5" x14ac:dyDescent="0.15">
      <c r="C4388" s="255" t="s">
        <v>828</v>
      </c>
      <c r="D4388" s="59">
        <v>1512.7</v>
      </c>
      <c r="E4388" s="59"/>
    </row>
    <row r="4389" spans="3:5" x14ac:dyDescent="0.15">
      <c r="C4389" s="255" t="s">
        <v>829</v>
      </c>
      <c r="D4389" s="59">
        <v>1.1000000000000001</v>
      </c>
      <c r="E4389" s="59"/>
    </row>
    <row r="4390" spans="3:5" x14ac:dyDescent="0.15">
      <c r="C4390" s="255" t="s">
        <v>830</v>
      </c>
      <c r="D4390" s="59">
        <v>61.1</v>
      </c>
      <c r="E4390" s="59"/>
    </row>
    <row r="4391" spans="3:5" x14ac:dyDescent="0.15">
      <c r="C4391" s="255" t="s">
        <v>831</v>
      </c>
      <c r="D4391" s="59">
        <v>0</v>
      </c>
      <c r="E4391" s="59"/>
    </row>
    <row r="4392" spans="3:5" x14ac:dyDescent="0.15">
      <c r="C4392" s="255" t="s">
        <v>832</v>
      </c>
      <c r="D4392" s="59">
        <v>8577.7999999999993</v>
      </c>
      <c r="E4392" s="59"/>
    </row>
    <row r="4393" spans="3:5" x14ac:dyDescent="0.15">
      <c r="C4393" s="255" t="s">
        <v>833</v>
      </c>
      <c r="D4393" s="59">
        <v>210.6</v>
      </c>
      <c r="E4393" s="59"/>
    </row>
    <row r="4394" spans="3:5" x14ac:dyDescent="0.15">
      <c r="C4394" s="255" t="s">
        <v>834</v>
      </c>
      <c r="D4394" s="59">
        <v>2852</v>
      </c>
      <c r="E4394" s="59"/>
    </row>
    <row r="4395" spans="3:5" x14ac:dyDescent="0.15">
      <c r="C4395" s="255" t="s">
        <v>835</v>
      </c>
      <c r="D4395" s="59">
        <v>3643.7</v>
      </c>
      <c r="E4395" s="59"/>
    </row>
    <row r="4396" spans="3:5" x14ac:dyDescent="0.15">
      <c r="C4396" s="255" t="s">
        <v>836</v>
      </c>
      <c r="D4396" s="59">
        <v>309.39999999999998</v>
      </c>
      <c r="E4396" s="59"/>
    </row>
    <row r="4397" spans="3:5" x14ac:dyDescent="0.15">
      <c r="C4397" s="255" t="s">
        <v>837</v>
      </c>
      <c r="D4397" s="59">
        <v>216.5</v>
      </c>
      <c r="E4397" s="59"/>
    </row>
    <row r="4398" spans="3:5" x14ac:dyDescent="0.15">
      <c r="C4398" s="255" t="s">
        <v>838</v>
      </c>
      <c r="D4398" s="59">
        <v>228.6</v>
      </c>
      <c r="E4398" s="59"/>
    </row>
    <row r="4399" spans="3:5" x14ac:dyDescent="0.15">
      <c r="C4399" s="255" t="s">
        <v>839</v>
      </c>
      <c r="D4399" s="59">
        <v>26.6</v>
      </c>
      <c r="E4399" s="59"/>
    </row>
    <row r="4400" spans="3:5" x14ac:dyDescent="0.15">
      <c r="C4400" s="255" t="s">
        <v>840</v>
      </c>
      <c r="D4400" s="59">
        <v>0</v>
      </c>
      <c r="E4400" s="59"/>
    </row>
    <row r="4401" spans="3:5" x14ac:dyDescent="0.15">
      <c r="C4401" s="255" t="s">
        <v>841</v>
      </c>
      <c r="D4401" s="59">
        <v>240.9</v>
      </c>
      <c r="E4401" s="59"/>
    </row>
    <row r="4402" spans="3:5" x14ac:dyDescent="0.15">
      <c r="C4402" s="255" t="s">
        <v>842</v>
      </c>
      <c r="D4402" s="59">
        <v>805.6</v>
      </c>
      <c r="E4402" s="59"/>
    </row>
    <row r="4403" spans="3:5" x14ac:dyDescent="0.15">
      <c r="C4403" s="255" t="s">
        <v>843</v>
      </c>
      <c r="D4403" s="59">
        <v>37.200000000000003</v>
      </c>
      <c r="E4403" s="59"/>
    </row>
    <row r="4404" spans="3:5" x14ac:dyDescent="0.15">
      <c r="C4404" s="255" t="s">
        <v>844</v>
      </c>
      <c r="D4404" s="59">
        <v>6.7</v>
      </c>
      <c r="E4404" s="59"/>
    </row>
    <row r="4405" spans="3:5" x14ac:dyDescent="0.15">
      <c r="C4405" s="255" t="s">
        <v>845</v>
      </c>
      <c r="D4405" s="59">
        <v>55938.7</v>
      </c>
      <c r="E4405" s="59"/>
    </row>
    <row r="4406" spans="3:5" x14ac:dyDescent="0.15">
      <c r="C4406" s="255" t="s">
        <v>846</v>
      </c>
      <c r="D4406" s="59">
        <v>36658.1</v>
      </c>
      <c r="E4406" s="59"/>
    </row>
    <row r="4407" spans="3:5" x14ac:dyDescent="0.15">
      <c r="C4407" s="255" t="s">
        <v>847</v>
      </c>
      <c r="D4407" s="59">
        <v>77.3</v>
      </c>
      <c r="E4407" s="59"/>
    </row>
    <row r="4408" spans="3:5" x14ac:dyDescent="0.15">
      <c r="C4408" s="255" t="s">
        <v>848</v>
      </c>
      <c r="D4408" s="59">
        <v>887.7</v>
      </c>
      <c r="E4408" s="59"/>
    </row>
    <row r="4409" spans="3:5" x14ac:dyDescent="0.15">
      <c r="C4409" s="255" t="s">
        <v>849</v>
      </c>
      <c r="D4409" s="59">
        <v>0</v>
      </c>
      <c r="E4409" s="59"/>
    </row>
    <row r="4410" spans="3:5" x14ac:dyDescent="0.15">
      <c r="C4410" s="255" t="s">
        <v>850</v>
      </c>
      <c r="D4410" s="59">
        <v>69.7</v>
      </c>
      <c r="E4410" s="59"/>
    </row>
    <row r="4411" spans="3:5" x14ac:dyDescent="0.15">
      <c r="C4411" s="255" t="s">
        <v>851</v>
      </c>
      <c r="D4411" s="59">
        <v>0</v>
      </c>
      <c r="E4411" s="59"/>
    </row>
    <row r="4412" spans="3:5" x14ac:dyDescent="0.15">
      <c r="C4412" s="255" t="s">
        <v>852</v>
      </c>
      <c r="D4412" s="59">
        <v>0</v>
      </c>
      <c r="E4412" s="59"/>
    </row>
    <row r="4413" spans="3:5" x14ac:dyDescent="0.15">
      <c r="C4413" s="255" t="s">
        <v>853</v>
      </c>
      <c r="D4413" s="59">
        <v>0</v>
      </c>
      <c r="E4413" s="59"/>
    </row>
    <row r="4414" spans="3:5" x14ac:dyDescent="0.15">
      <c r="C4414" s="255" t="s">
        <v>854</v>
      </c>
      <c r="D4414" s="59">
        <v>0</v>
      </c>
      <c r="E4414" s="59"/>
    </row>
    <row r="4415" spans="3:5" x14ac:dyDescent="0.15">
      <c r="C4415" s="255" t="s">
        <v>855</v>
      </c>
      <c r="D4415" s="59">
        <v>0</v>
      </c>
      <c r="E4415" s="59"/>
    </row>
    <row r="4416" spans="3:5" x14ac:dyDescent="0.15">
      <c r="C4416" s="255" t="s">
        <v>856</v>
      </c>
      <c r="D4416" s="59">
        <v>592</v>
      </c>
      <c r="E4416" s="59"/>
    </row>
    <row r="4417" spans="3:5" x14ac:dyDescent="0.15">
      <c r="C4417" s="255" t="s">
        <v>857</v>
      </c>
      <c r="D4417" s="59">
        <v>1572.4</v>
      </c>
      <c r="E4417" s="59"/>
    </row>
    <row r="4418" spans="3:5" x14ac:dyDescent="0.15">
      <c r="C4418" s="255" t="s">
        <v>858</v>
      </c>
      <c r="D4418" s="59">
        <v>1491.9</v>
      </c>
      <c r="E4418" s="59"/>
    </row>
    <row r="4419" spans="3:5" x14ac:dyDescent="0.15">
      <c r="C4419" s="255" t="s">
        <v>859</v>
      </c>
      <c r="D4419" s="59">
        <v>535.9</v>
      </c>
      <c r="E4419" s="59"/>
    </row>
    <row r="4420" spans="3:5" x14ac:dyDescent="0.15">
      <c r="C4420" s="255" t="s">
        <v>860</v>
      </c>
      <c r="D4420" s="59">
        <v>0</v>
      </c>
      <c r="E4420" s="59"/>
    </row>
    <row r="4421" spans="3:5" x14ac:dyDescent="0.15">
      <c r="C4421" s="255" t="s">
        <v>861</v>
      </c>
      <c r="D4421" s="59">
        <v>489.2</v>
      </c>
      <c r="E4421" s="59"/>
    </row>
    <row r="4422" spans="3:5" x14ac:dyDescent="0.15">
      <c r="C4422" s="255" t="s">
        <v>862</v>
      </c>
      <c r="D4422" s="59">
        <v>3255.9</v>
      </c>
      <c r="E4422" s="59"/>
    </row>
    <row r="4423" spans="3:5" x14ac:dyDescent="0.15">
      <c r="C4423" s="255" t="s">
        <v>863</v>
      </c>
      <c r="D4423" s="59">
        <v>126.3</v>
      </c>
      <c r="E4423" s="59"/>
    </row>
    <row r="4424" spans="3:5" x14ac:dyDescent="0.15">
      <c r="C4424" s="255" t="s">
        <v>864</v>
      </c>
      <c r="D4424" s="59">
        <v>0</v>
      </c>
      <c r="E4424" s="59"/>
    </row>
    <row r="4425" spans="3:5" x14ac:dyDescent="0.15">
      <c r="C4425" s="255" t="s">
        <v>865</v>
      </c>
      <c r="D4425" s="59">
        <v>57.4</v>
      </c>
      <c r="E4425" s="59"/>
    </row>
    <row r="4426" spans="3:5" x14ac:dyDescent="0.15">
      <c r="C4426" s="255" t="s">
        <v>866</v>
      </c>
      <c r="D4426" s="59">
        <v>3.9</v>
      </c>
      <c r="E4426" s="59"/>
    </row>
    <row r="4427" spans="3:5" x14ac:dyDescent="0.15">
      <c r="C4427" s="255" t="s">
        <v>867</v>
      </c>
      <c r="D4427" s="59">
        <v>299.5</v>
      </c>
      <c r="E4427" s="59"/>
    </row>
    <row r="4428" spans="3:5" x14ac:dyDescent="0.15">
      <c r="C4428" s="255" t="s">
        <v>868</v>
      </c>
      <c r="D4428" s="59">
        <v>9821.2999999999993</v>
      </c>
      <c r="E4428" s="59"/>
    </row>
    <row r="4429" spans="3:5" x14ac:dyDescent="0.15">
      <c r="C4429" s="255" t="s">
        <v>869</v>
      </c>
      <c r="D4429" s="59">
        <v>6621.4</v>
      </c>
      <c r="E4429" s="59"/>
    </row>
    <row r="4430" spans="3:5" x14ac:dyDescent="0.15">
      <c r="C4430" s="255" t="s">
        <v>870</v>
      </c>
      <c r="D4430" s="59">
        <v>3167.2</v>
      </c>
      <c r="E4430" s="59"/>
    </row>
    <row r="4431" spans="3:5" x14ac:dyDescent="0.15">
      <c r="C4431" s="255" t="s">
        <v>871</v>
      </c>
      <c r="D4431" s="59">
        <v>1.2</v>
      </c>
      <c r="E4431" s="59"/>
    </row>
    <row r="4432" spans="3:5" x14ac:dyDescent="0.15">
      <c r="C4432" s="255" t="s">
        <v>872</v>
      </c>
      <c r="D4432" s="59">
        <v>129.6</v>
      </c>
      <c r="E4432" s="59"/>
    </row>
    <row r="4433" spans="3:5" x14ac:dyDescent="0.15">
      <c r="C4433" s="255" t="s">
        <v>873</v>
      </c>
      <c r="D4433" s="59">
        <v>672.1</v>
      </c>
      <c r="E4433" s="59"/>
    </row>
    <row r="4434" spans="3:5" x14ac:dyDescent="0.15">
      <c r="C4434" s="255" t="s">
        <v>874</v>
      </c>
      <c r="D4434" s="59">
        <v>105.1</v>
      </c>
      <c r="E4434" s="59"/>
    </row>
    <row r="4435" spans="3:5" x14ac:dyDescent="0.15">
      <c r="C4435" s="255" t="s">
        <v>875</v>
      </c>
      <c r="D4435" s="59">
        <v>0</v>
      </c>
      <c r="E4435" s="59"/>
    </row>
    <row r="4436" spans="3:5" x14ac:dyDescent="0.15">
      <c r="C4436" s="255" t="s">
        <v>876</v>
      </c>
      <c r="D4436" s="59">
        <v>0</v>
      </c>
      <c r="E4436" s="59"/>
    </row>
    <row r="4437" spans="3:5" x14ac:dyDescent="0.15">
      <c r="C4437" s="255" t="s">
        <v>877</v>
      </c>
      <c r="D4437" s="59">
        <v>0.4</v>
      </c>
      <c r="E4437" s="59"/>
    </row>
    <row r="4438" spans="3:5" x14ac:dyDescent="0.15">
      <c r="C4438" s="255" t="s">
        <v>878</v>
      </c>
      <c r="D4438" s="59">
        <v>2.7</v>
      </c>
      <c r="E4438" s="59"/>
    </row>
    <row r="4439" spans="3:5" x14ac:dyDescent="0.15">
      <c r="C4439" s="255" t="s">
        <v>879</v>
      </c>
      <c r="D4439" s="59">
        <v>80.900000000000006</v>
      </c>
      <c r="E4439" s="59"/>
    </row>
    <row r="4440" spans="3:5" x14ac:dyDescent="0.15">
      <c r="C4440" s="255" t="s">
        <v>880</v>
      </c>
      <c r="D4440" s="59">
        <v>3.6</v>
      </c>
      <c r="E4440" s="59"/>
    </row>
    <row r="4441" spans="3:5" x14ac:dyDescent="0.15">
      <c r="C4441" s="255" t="s">
        <v>881</v>
      </c>
      <c r="D4441" s="59">
        <v>0</v>
      </c>
      <c r="E4441" s="59"/>
    </row>
    <row r="4442" spans="3:5" x14ac:dyDescent="0.15">
      <c r="C4442" s="255" t="s">
        <v>882</v>
      </c>
      <c r="D4442" s="59">
        <v>74.400000000000006</v>
      </c>
      <c r="E4442" s="59"/>
    </row>
    <row r="4443" spans="3:5" x14ac:dyDescent="0.15">
      <c r="C4443" s="255" t="s">
        <v>883</v>
      </c>
      <c r="D4443" s="59">
        <v>138.4</v>
      </c>
      <c r="E4443" s="59"/>
    </row>
    <row r="4444" spans="3:5" x14ac:dyDescent="0.15">
      <c r="C4444" s="255" t="s">
        <v>884</v>
      </c>
      <c r="D4444" s="59">
        <v>373.9</v>
      </c>
      <c r="E4444" s="59"/>
    </row>
    <row r="4445" spans="3:5" x14ac:dyDescent="0.15">
      <c r="C4445" s="255" t="s">
        <v>885</v>
      </c>
      <c r="D4445" s="59">
        <v>27.5</v>
      </c>
      <c r="E4445" s="59"/>
    </row>
    <row r="4446" spans="3:5" x14ac:dyDescent="0.15">
      <c r="C4446" s="255" t="s">
        <v>886</v>
      </c>
      <c r="D4446" s="59">
        <v>1.5</v>
      </c>
      <c r="E4446" s="59"/>
    </row>
    <row r="4447" spans="3:5" x14ac:dyDescent="0.15">
      <c r="C4447" s="255" t="s">
        <v>887</v>
      </c>
      <c r="D4447" s="59">
        <v>0.5</v>
      </c>
      <c r="E4447" s="59"/>
    </row>
    <row r="4448" spans="3:5" x14ac:dyDescent="0.15">
      <c r="C4448" s="255" t="s">
        <v>888</v>
      </c>
      <c r="D4448" s="59">
        <v>2</v>
      </c>
      <c r="E4448" s="59"/>
    </row>
    <row r="4449" spans="3:5" x14ac:dyDescent="0.15">
      <c r="C4449" s="255" t="s">
        <v>889</v>
      </c>
      <c r="D4449" s="59">
        <v>8.6</v>
      </c>
      <c r="E4449" s="59"/>
    </row>
    <row r="4450" spans="3:5" x14ac:dyDescent="0.15">
      <c r="C4450" s="255" t="s">
        <v>890</v>
      </c>
      <c r="D4450" s="59">
        <v>0.5</v>
      </c>
      <c r="E4450" s="59"/>
    </row>
    <row r="4451" spans="3:5" x14ac:dyDescent="0.15">
      <c r="C4451" s="255" t="s">
        <v>891</v>
      </c>
      <c r="D4451" s="59">
        <v>0.1</v>
      </c>
      <c r="E4451" s="59"/>
    </row>
    <row r="4452" spans="3:5" x14ac:dyDescent="0.15">
      <c r="C4452" s="255" t="s">
        <v>892</v>
      </c>
      <c r="D4452" s="59">
        <v>0</v>
      </c>
      <c r="E4452" s="59"/>
    </row>
    <row r="4453" spans="3:5" x14ac:dyDescent="0.15">
      <c r="C4453" s="255" t="s">
        <v>893</v>
      </c>
      <c r="D4453" s="59">
        <v>31.1</v>
      </c>
      <c r="E4453" s="59"/>
    </row>
    <row r="4454" spans="3:5" x14ac:dyDescent="0.15">
      <c r="C4454" s="255" t="s">
        <v>894</v>
      </c>
      <c r="D4454" s="59">
        <v>0</v>
      </c>
      <c r="E4454" s="59"/>
    </row>
    <row r="4455" spans="3:5" x14ac:dyDescent="0.15">
      <c r="C4455" s="255" t="s">
        <v>895</v>
      </c>
      <c r="D4455" s="59">
        <v>269.7</v>
      </c>
      <c r="E4455" s="59"/>
    </row>
    <row r="4456" spans="3:5" x14ac:dyDescent="0.15">
      <c r="C4456" s="255" t="s">
        <v>896</v>
      </c>
      <c r="D4456" s="59">
        <v>99.3</v>
      </c>
      <c r="E4456" s="59"/>
    </row>
    <row r="4457" spans="3:5" x14ac:dyDescent="0.15">
      <c r="C4457" s="255" t="s">
        <v>897</v>
      </c>
      <c r="D4457" s="59">
        <v>292.7</v>
      </c>
      <c r="E4457" s="59"/>
    </row>
    <row r="4458" spans="3:5" x14ac:dyDescent="0.15">
      <c r="C4458" s="255" t="s">
        <v>898</v>
      </c>
      <c r="D4458" s="59">
        <v>2.1</v>
      </c>
      <c r="E4458" s="59"/>
    </row>
    <row r="4459" spans="3:5" x14ac:dyDescent="0.15">
      <c r="C4459" s="255" t="s">
        <v>899</v>
      </c>
      <c r="D4459" s="59">
        <v>0.4</v>
      </c>
      <c r="E4459" s="59"/>
    </row>
    <row r="4460" spans="3:5" x14ac:dyDescent="0.15">
      <c r="C4460" s="255" t="s">
        <v>900</v>
      </c>
      <c r="D4460" s="59">
        <v>5.0999999999999996</v>
      </c>
      <c r="E4460" s="59"/>
    </row>
    <row r="4461" spans="3:5" x14ac:dyDescent="0.15">
      <c r="C4461" s="255" t="s">
        <v>901</v>
      </c>
      <c r="D4461" s="59">
        <v>138.5</v>
      </c>
      <c r="E4461" s="59"/>
    </row>
    <row r="4462" spans="3:5" x14ac:dyDescent="0.15">
      <c r="C4462" s="255" t="s">
        <v>902</v>
      </c>
      <c r="D4462" s="59">
        <v>0.1</v>
      </c>
      <c r="E4462" s="59"/>
    </row>
    <row r="4463" spans="3:5" x14ac:dyDescent="0.15">
      <c r="C4463" s="255" t="s">
        <v>903</v>
      </c>
      <c r="D4463" s="59">
        <v>260.10000000000002</v>
      </c>
      <c r="E4463" s="59"/>
    </row>
    <row r="4464" spans="3:5" x14ac:dyDescent="0.15">
      <c r="C4464" s="255" t="s">
        <v>904</v>
      </c>
      <c r="D4464" s="59">
        <v>624</v>
      </c>
      <c r="E4464" s="59"/>
    </row>
    <row r="4465" spans="3:5" x14ac:dyDescent="0.15">
      <c r="C4465" s="255" t="s">
        <v>905</v>
      </c>
      <c r="D4465" s="59">
        <v>0</v>
      </c>
      <c r="E4465" s="59"/>
    </row>
    <row r="4466" spans="3:5" x14ac:dyDescent="0.15">
      <c r="C4466" s="255" t="s">
        <v>906</v>
      </c>
      <c r="D4466" s="59">
        <v>97.2</v>
      </c>
      <c r="E4466" s="59"/>
    </row>
    <row r="4467" spans="3:5" x14ac:dyDescent="0.15">
      <c r="C4467" s="255" t="s">
        <v>907</v>
      </c>
      <c r="D4467" s="59">
        <v>10.8</v>
      </c>
      <c r="E4467" s="59"/>
    </row>
    <row r="4468" spans="3:5" x14ac:dyDescent="0.15">
      <c r="C4468" s="255" t="s">
        <v>908</v>
      </c>
      <c r="D4468" s="59">
        <v>2280.6999999999998</v>
      </c>
      <c r="E4468" s="59"/>
    </row>
    <row r="4469" spans="3:5" x14ac:dyDescent="0.15">
      <c r="C4469" s="255" t="s">
        <v>909</v>
      </c>
      <c r="D4469" s="59">
        <v>703.9</v>
      </c>
      <c r="E4469" s="59"/>
    </row>
    <row r="4470" spans="3:5" x14ac:dyDescent="0.15">
      <c r="C4470" s="255" t="s">
        <v>910</v>
      </c>
      <c r="D4470" s="59">
        <v>5.5</v>
      </c>
      <c r="E4470" s="59"/>
    </row>
    <row r="4471" spans="3:5" x14ac:dyDescent="0.15">
      <c r="C4471" s="255" t="s">
        <v>911</v>
      </c>
      <c r="D4471" s="59">
        <v>44.4</v>
      </c>
      <c r="E4471" s="59"/>
    </row>
    <row r="4472" spans="3:5" x14ac:dyDescent="0.15">
      <c r="C4472" s="255" t="s">
        <v>912</v>
      </c>
      <c r="D4472" s="59">
        <v>140.5</v>
      </c>
      <c r="E4472" s="59"/>
    </row>
    <row r="4473" spans="3:5" x14ac:dyDescent="0.15">
      <c r="C4473" s="255" t="s">
        <v>913</v>
      </c>
      <c r="D4473" s="59">
        <v>0</v>
      </c>
      <c r="E4473" s="59"/>
    </row>
    <row r="4474" spans="3:5" x14ac:dyDescent="0.15">
      <c r="C4474" s="255" t="s">
        <v>914</v>
      </c>
      <c r="D4474" s="59">
        <v>0</v>
      </c>
      <c r="E4474" s="59"/>
    </row>
    <row r="4475" spans="3:5" x14ac:dyDescent="0.15">
      <c r="C4475" s="255" t="s">
        <v>915</v>
      </c>
      <c r="D4475" s="59">
        <v>0</v>
      </c>
      <c r="E4475" s="59"/>
    </row>
    <row r="4476" spans="3:5" x14ac:dyDescent="0.15">
      <c r="C4476" s="255" t="s">
        <v>916</v>
      </c>
      <c r="D4476" s="59">
        <v>91.7</v>
      </c>
      <c r="E4476" s="59"/>
    </row>
    <row r="4477" spans="3:5" x14ac:dyDescent="0.15">
      <c r="C4477" s="255" t="s">
        <v>917</v>
      </c>
      <c r="D4477" s="59">
        <v>0</v>
      </c>
      <c r="E4477" s="59"/>
    </row>
    <row r="4478" spans="3:5" x14ac:dyDescent="0.15">
      <c r="C4478" s="255" t="s">
        <v>918</v>
      </c>
      <c r="D4478" s="59">
        <v>697.5</v>
      </c>
      <c r="E4478" s="59"/>
    </row>
    <row r="4479" spans="3:5" x14ac:dyDescent="0.15">
      <c r="C4479" s="255" t="s">
        <v>919</v>
      </c>
      <c r="D4479" s="59">
        <v>6.9</v>
      </c>
      <c r="E4479" s="59"/>
    </row>
    <row r="4480" spans="3:5" x14ac:dyDescent="0.15">
      <c r="C4480" s="255" t="s">
        <v>920</v>
      </c>
      <c r="D4480" s="59">
        <v>590.29999999999995</v>
      </c>
      <c r="E4480" s="59"/>
    </row>
    <row r="4481" spans="3:5" x14ac:dyDescent="0.15">
      <c r="C4481" s="255" t="s">
        <v>921</v>
      </c>
      <c r="D4481" s="59">
        <v>0</v>
      </c>
      <c r="E4481" s="59"/>
    </row>
    <row r="4482" spans="3:5" x14ac:dyDescent="0.15">
      <c r="C4482" s="255" t="s">
        <v>922</v>
      </c>
      <c r="D4482" s="59">
        <v>13093.2</v>
      </c>
      <c r="E4482" s="59"/>
    </row>
    <row r="4483" spans="3:5" x14ac:dyDescent="0.15">
      <c r="C4483" s="255" t="s">
        <v>923</v>
      </c>
      <c r="D4483" s="59">
        <v>2719.6</v>
      </c>
      <c r="E4483" s="59"/>
    </row>
    <row r="4484" spans="3:5" x14ac:dyDescent="0.15">
      <c r="C4484" s="255" t="s">
        <v>924</v>
      </c>
      <c r="D4484" s="59">
        <v>225.2</v>
      </c>
      <c r="E4484" s="59"/>
    </row>
    <row r="4485" spans="3:5" x14ac:dyDescent="0.15">
      <c r="C4485" s="255" t="s">
        <v>925</v>
      </c>
      <c r="D4485" s="59">
        <v>152.80000000000001</v>
      </c>
      <c r="E4485" s="59"/>
    </row>
    <row r="4486" spans="3:5" x14ac:dyDescent="0.15">
      <c r="C4486" s="255" t="s">
        <v>926</v>
      </c>
      <c r="D4486" s="59">
        <v>758.5</v>
      </c>
      <c r="E4486" s="59"/>
    </row>
    <row r="4487" spans="3:5" x14ac:dyDescent="0.15">
      <c r="C4487" s="255" t="s">
        <v>927</v>
      </c>
      <c r="D4487" s="59">
        <v>65.900000000000006</v>
      </c>
      <c r="E4487" s="59"/>
    </row>
    <row r="4488" spans="3:5" x14ac:dyDescent="0.15">
      <c r="C4488" s="255" t="s">
        <v>928</v>
      </c>
      <c r="D4488" s="59">
        <v>78.099999999999994</v>
      </c>
      <c r="E4488" s="59"/>
    </row>
    <row r="4489" spans="3:5" x14ac:dyDescent="0.15">
      <c r="C4489" s="255" t="s">
        <v>929</v>
      </c>
      <c r="D4489" s="59">
        <v>25.2</v>
      </c>
      <c r="E4489" s="59"/>
    </row>
    <row r="4490" spans="3:5" x14ac:dyDescent="0.15">
      <c r="C4490" s="255" t="s">
        <v>930</v>
      </c>
      <c r="D4490" s="59">
        <v>67</v>
      </c>
      <c r="E4490" s="59"/>
    </row>
    <row r="4491" spans="3:5" x14ac:dyDescent="0.15">
      <c r="C4491" s="255" t="s">
        <v>931</v>
      </c>
      <c r="D4491" s="59">
        <v>1869.6</v>
      </c>
      <c r="E4491" s="59"/>
    </row>
    <row r="4492" spans="3:5" x14ac:dyDescent="0.15">
      <c r="C4492" s="255" t="s">
        <v>932</v>
      </c>
      <c r="D4492" s="59">
        <v>0</v>
      </c>
      <c r="E4492" s="59"/>
    </row>
    <row r="4493" spans="3:5" x14ac:dyDescent="0.15">
      <c r="C4493" s="255" t="s">
        <v>933</v>
      </c>
      <c r="D4493" s="59">
        <v>8.4</v>
      </c>
      <c r="E4493" s="59"/>
    </row>
    <row r="4494" spans="3:5" x14ac:dyDescent="0.15">
      <c r="C4494" s="255" t="s">
        <v>934</v>
      </c>
      <c r="D4494" s="59">
        <v>824.9</v>
      </c>
      <c r="E4494" s="59"/>
    </row>
    <row r="4495" spans="3:5" x14ac:dyDescent="0.15">
      <c r="C4495" s="255" t="s">
        <v>935</v>
      </c>
      <c r="D4495" s="59">
        <v>181.5</v>
      </c>
      <c r="E4495" s="59"/>
    </row>
    <row r="4496" spans="3:5" x14ac:dyDescent="0.15">
      <c r="C4496" s="255" t="s">
        <v>936</v>
      </c>
      <c r="D4496" s="59">
        <v>736.6</v>
      </c>
      <c r="E4496" s="59"/>
    </row>
    <row r="4497" spans="3:5" x14ac:dyDescent="0.15">
      <c r="C4497" s="255" t="s">
        <v>937</v>
      </c>
      <c r="D4497" s="59">
        <v>304.5</v>
      </c>
      <c r="E4497" s="59"/>
    </row>
    <row r="4498" spans="3:5" x14ac:dyDescent="0.15">
      <c r="C4498" s="255" t="s">
        <v>938</v>
      </c>
      <c r="D4498" s="59">
        <v>921.9</v>
      </c>
      <c r="E4498" s="59"/>
    </row>
    <row r="4499" spans="3:5" x14ac:dyDescent="0.15">
      <c r="C4499" s="255" t="s">
        <v>939</v>
      </c>
      <c r="D4499" s="59">
        <v>6.7</v>
      </c>
      <c r="E4499" s="59"/>
    </row>
    <row r="4500" spans="3:5" x14ac:dyDescent="0.15">
      <c r="C4500" s="255" t="s">
        <v>940</v>
      </c>
      <c r="D4500" s="59">
        <v>256.5</v>
      </c>
      <c r="E4500" s="59"/>
    </row>
    <row r="4501" spans="3:5" x14ac:dyDescent="0.15">
      <c r="C4501" s="255" t="s">
        <v>941</v>
      </c>
      <c r="D4501" s="59">
        <v>260</v>
      </c>
      <c r="E4501" s="59"/>
    </row>
    <row r="4502" spans="3:5" x14ac:dyDescent="0.15">
      <c r="C4502" s="255" t="s">
        <v>942</v>
      </c>
      <c r="D4502" s="59">
        <v>0</v>
      </c>
      <c r="E4502" s="59"/>
    </row>
    <row r="4503" spans="3:5" x14ac:dyDescent="0.15">
      <c r="C4503" s="255" t="s">
        <v>943</v>
      </c>
      <c r="D4503" s="59">
        <v>936.2</v>
      </c>
      <c r="E4503" s="59"/>
    </row>
    <row r="4504" spans="3:5" x14ac:dyDescent="0.15">
      <c r="C4504" s="255" t="s">
        <v>944</v>
      </c>
      <c r="D4504" s="59">
        <v>77.900000000000006</v>
      </c>
      <c r="E4504" s="59"/>
    </row>
    <row r="4505" spans="3:5" x14ac:dyDescent="0.15">
      <c r="C4505" s="255" t="s">
        <v>945</v>
      </c>
      <c r="D4505" s="59">
        <v>2594.6999999999998</v>
      </c>
      <c r="E4505" s="59"/>
    </row>
    <row r="4506" spans="3:5" x14ac:dyDescent="0.15">
      <c r="C4506" s="255" t="s">
        <v>946</v>
      </c>
      <c r="D4506" s="59">
        <v>3.4</v>
      </c>
      <c r="E4506" s="59"/>
    </row>
    <row r="4507" spans="3:5" x14ac:dyDescent="0.15">
      <c r="C4507" s="255" t="s">
        <v>947</v>
      </c>
      <c r="D4507" s="59">
        <v>18.3</v>
      </c>
      <c r="E4507" s="59"/>
    </row>
    <row r="4508" spans="3:5" x14ac:dyDescent="0.15">
      <c r="C4508" s="255" t="s">
        <v>948</v>
      </c>
      <c r="D4508" s="59">
        <v>4772.3</v>
      </c>
      <c r="E4508" s="59"/>
    </row>
    <row r="4509" spans="3:5" x14ac:dyDescent="0.15">
      <c r="C4509" s="255" t="s">
        <v>949</v>
      </c>
      <c r="D4509" s="59">
        <v>111.5</v>
      </c>
      <c r="E4509" s="59"/>
    </row>
    <row r="4510" spans="3:5" x14ac:dyDescent="0.15">
      <c r="C4510" s="255" t="s">
        <v>950</v>
      </c>
      <c r="D4510" s="59">
        <v>0</v>
      </c>
      <c r="E4510" s="59"/>
    </row>
    <row r="4511" spans="3:5" x14ac:dyDescent="0.15">
      <c r="C4511" s="255" t="s">
        <v>951</v>
      </c>
      <c r="D4511" s="59">
        <v>1137.9000000000001</v>
      </c>
      <c r="E4511" s="59"/>
    </row>
    <row r="4512" spans="3:5" x14ac:dyDescent="0.15">
      <c r="C4512" s="255" t="s">
        <v>952</v>
      </c>
      <c r="D4512" s="59">
        <v>0</v>
      </c>
      <c r="E4512" s="59"/>
    </row>
    <row r="4513" spans="3:5" x14ac:dyDescent="0.15">
      <c r="C4513" s="255" t="s">
        <v>953</v>
      </c>
      <c r="D4513" s="59">
        <v>0</v>
      </c>
      <c r="E4513" s="59"/>
    </row>
    <row r="4514" spans="3:5" x14ac:dyDescent="0.15">
      <c r="C4514" s="255" t="s">
        <v>954</v>
      </c>
      <c r="D4514" s="59">
        <v>1676.7</v>
      </c>
      <c r="E4514" s="59"/>
    </row>
    <row r="4515" spans="3:5" x14ac:dyDescent="0.15">
      <c r="C4515" s="255" t="s">
        <v>955</v>
      </c>
      <c r="D4515" s="59">
        <v>1588.8</v>
      </c>
      <c r="E4515" s="59"/>
    </row>
    <row r="4516" spans="3:5" x14ac:dyDescent="0.15">
      <c r="C4516" s="255" t="s">
        <v>956</v>
      </c>
      <c r="D4516" s="59">
        <v>257.3</v>
      </c>
      <c r="E4516" s="59"/>
    </row>
    <row r="4517" spans="3:5" x14ac:dyDescent="0.15">
      <c r="C4517" s="255" t="s">
        <v>957</v>
      </c>
      <c r="D4517" s="59">
        <v>13708.5</v>
      </c>
      <c r="E4517" s="59"/>
    </row>
    <row r="4518" spans="3:5" x14ac:dyDescent="0.15">
      <c r="C4518" s="255" t="s">
        <v>958</v>
      </c>
      <c r="D4518" s="59">
        <v>130.1</v>
      </c>
      <c r="E4518" s="59"/>
    </row>
    <row r="4519" spans="3:5" x14ac:dyDescent="0.15">
      <c r="C4519" s="255" t="s">
        <v>959</v>
      </c>
      <c r="D4519" s="59">
        <v>631.70000000000005</v>
      </c>
      <c r="E4519" s="59"/>
    </row>
    <row r="4520" spans="3:5" x14ac:dyDescent="0.15">
      <c r="C4520" s="255" t="s">
        <v>960</v>
      </c>
      <c r="D4520" s="59">
        <v>180.3</v>
      </c>
      <c r="E4520" s="59"/>
    </row>
    <row r="4521" spans="3:5" x14ac:dyDescent="0.15">
      <c r="C4521" s="255" t="s">
        <v>961</v>
      </c>
      <c r="D4521" s="59">
        <v>2.4</v>
      </c>
      <c r="E4521" s="59"/>
    </row>
    <row r="4522" spans="3:5" x14ac:dyDescent="0.15">
      <c r="C4522" s="255" t="s">
        <v>962</v>
      </c>
      <c r="D4522" s="59">
        <v>0</v>
      </c>
      <c r="E4522" s="59"/>
    </row>
    <row r="4523" spans="3:5" x14ac:dyDescent="0.15">
      <c r="C4523" s="255" t="s">
        <v>963</v>
      </c>
      <c r="D4523" s="59">
        <v>1552.1</v>
      </c>
      <c r="E4523" s="59"/>
    </row>
    <row r="4524" spans="3:5" x14ac:dyDescent="0.15">
      <c r="C4524" s="255" t="s">
        <v>964</v>
      </c>
      <c r="D4524" s="59">
        <v>428</v>
      </c>
      <c r="E4524" s="59"/>
    </row>
    <row r="4525" spans="3:5" x14ac:dyDescent="0.15">
      <c r="C4525" s="255" t="s">
        <v>965</v>
      </c>
      <c r="D4525" s="59">
        <v>49.4</v>
      </c>
      <c r="E4525" s="59"/>
    </row>
    <row r="4526" spans="3:5" x14ac:dyDescent="0.15">
      <c r="C4526" s="255" t="s">
        <v>966</v>
      </c>
      <c r="D4526" s="59">
        <v>0.1</v>
      </c>
      <c r="E4526" s="59"/>
    </row>
    <row r="4527" spans="3:5" x14ac:dyDescent="0.15">
      <c r="C4527" s="255" t="s">
        <v>967</v>
      </c>
      <c r="D4527" s="59">
        <v>45.8</v>
      </c>
      <c r="E4527" s="59"/>
    </row>
    <row r="4528" spans="3:5" x14ac:dyDescent="0.15">
      <c r="C4528" s="255" t="s">
        <v>968</v>
      </c>
      <c r="D4528" s="59">
        <v>0</v>
      </c>
      <c r="E4528" s="59"/>
    </row>
    <row r="4529" spans="3:5" x14ac:dyDescent="0.15">
      <c r="C4529" s="255" t="s">
        <v>969</v>
      </c>
      <c r="D4529" s="59">
        <v>3</v>
      </c>
      <c r="E4529" s="59"/>
    </row>
    <row r="4530" spans="3:5" x14ac:dyDescent="0.15">
      <c r="C4530" s="255" t="s">
        <v>970</v>
      </c>
      <c r="D4530" s="59">
        <v>0</v>
      </c>
      <c r="E4530" s="59"/>
    </row>
    <row r="4531" spans="3:5" x14ac:dyDescent="0.15">
      <c r="C4531" s="255" t="s">
        <v>971</v>
      </c>
      <c r="D4531" s="59">
        <v>-255.6</v>
      </c>
      <c r="E4531" s="59"/>
    </row>
    <row r="4532" spans="3:5" x14ac:dyDescent="0.15">
      <c r="C4532" s="255" t="s">
        <v>972</v>
      </c>
      <c r="D4532" s="59">
        <v>-922.1</v>
      </c>
      <c r="E4532" s="59"/>
    </row>
    <row r="4533" spans="3:5" x14ac:dyDescent="0.15">
      <c r="C4533" s="255" t="s">
        <v>973</v>
      </c>
      <c r="D4533" s="59">
        <v>0</v>
      </c>
      <c r="E4533" s="59"/>
    </row>
    <row r="4534" spans="3:5" x14ac:dyDescent="0.15">
      <c r="C4534" s="255" t="s">
        <v>974</v>
      </c>
      <c r="D4534" s="59">
        <v>0</v>
      </c>
      <c r="E4534" s="59"/>
    </row>
    <row r="4535" spans="3:5" x14ac:dyDescent="0.15">
      <c r="C4535" s="255" t="s">
        <v>975</v>
      </c>
      <c r="D4535" s="59">
        <v>0</v>
      </c>
      <c r="E4535" s="59"/>
    </row>
    <row r="4536" spans="3:5" x14ac:dyDescent="0.15">
      <c r="C4536" s="255" t="s">
        <v>976</v>
      </c>
      <c r="D4536" s="59">
        <v>0</v>
      </c>
      <c r="E4536" s="59"/>
    </row>
    <row r="4537" spans="3:5" x14ac:dyDescent="0.15">
      <c r="C4537" s="255" t="s">
        <v>977</v>
      </c>
      <c r="D4537" s="59">
        <v>680.8</v>
      </c>
      <c r="E4537" s="59"/>
    </row>
    <row r="4538" spans="3:5" x14ac:dyDescent="0.15">
      <c r="C4538" s="255" t="s">
        <v>978</v>
      </c>
      <c r="D4538" s="59">
        <v>431.9</v>
      </c>
      <c r="E4538" s="59"/>
    </row>
    <row r="4539" spans="3:5" x14ac:dyDescent="0.15">
      <c r="C4539" s="255" t="s">
        <v>979</v>
      </c>
      <c r="D4539" s="59">
        <v>1.8</v>
      </c>
      <c r="E4539" s="59"/>
    </row>
    <row r="4540" spans="3:5" x14ac:dyDescent="0.15">
      <c r="C4540" s="255" t="s">
        <v>980</v>
      </c>
      <c r="D4540" s="59">
        <v>53</v>
      </c>
      <c r="E4540" s="59"/>
    </row>
    <row r="4541" spans="3:5" x14ac:dyDescent="0.15">
      <c r="C4541" s="255" t="s">
        <v>981</v>
      </c>
      <c r="D4541" s="59">
        <v>0</v>
      </c>
      <c r="E4541" s="59"/>
    </row>
    <row r="4542" spans="3:5" x14ac:dyDescent="0.15">
      <c r="C4542" s="255" t="s">
        <v>982</v>
      </c>
      <c r="D4542" s="59">
        <v>171.3</v>
      </c>
      <c r="E4542" s="59"/>
    </row>
    <row r="4543" spans="3:5" x14ac:dyDescent="0.15">
      <c r="C4543" s="255" t="s">
        <v>983</v>
      </c>
      <c r="D4543" s="59">
        <v>362.1</v>
      </c>
      <c r="E4543" s="59"/>
    </row>
    <row r="4544" spans="3:5" x14ac:dyDescent="0.15">
      <c r="C4544" s="255" t="s">
        <v>984</v>
      </c>
      <c r="D4544" s="59">
        <v>174.1</v>
      </c>
      <c r="E4544" s="59"/>
    </row>
    <row r="4545" spans="3:5" x14ac:dyDescent="0.15">
      <c r="C4545" s="255" t="s">
        <v>985</v>
      </c>
      <c r="D4545" s="59">
        <v>104.5</v>
      </c>
      <c r="E4545" s="59"/>
    </row>
    <row r="4546" spans="3:5" x14ac:dyDescent="0.15">
      <c r="C4546" s="255" t="s">
        <v>986</v>
      </c>
      <c r="D4546" s="59">
        <v>1115.7</v>
      </c>
      <c r="E4546" s="59"/>
    </row>
    <row r="4547" spans="3:5" x14ac:dyDescent="0.15">
      <c r="C4547" s="255" t="s">
        <v>987</v>
      </c>
      <c r="D4547" s="59">
        <v>111.1</v>
      </c>
      <c r="E4547" s="59"/>
    </row>
    <row r="4548" spans="3:5" x14ac:dyDescent="0.15">
      <c r="C4548" s="255" t="s">
        <v>988</v>
      </c>
      <c r="D4548" s="59">
        <v>1731.8</v>
      </c>
      <c r="E4548" s="59"/>
    </row>
    <row r="4549" spans="3:5" x14ac:dyDescent="0.15">
      <c r="C4549" s="255" t="s">
        <v>989</v>
      </c>
      <c r="D4549" s="59">
        <v>575.9</v>
      </c>
      <c r="E4549" s="59"/>
    </row>
    <row r="4550" spans="3:5" x14ac:dyDescent="0.15">
      <c r="C4550" s="255" t="s">
        <v>990</v>
      </c>
      <c r="D4550" s="59">
        <v>254.8</v>
      </c>
      <c r="E4550" s="59"/>
    </row>
    <row r="4551" spans="3:5" x14ac:dyDescent="0.15">
      <c r="C4551" s="255" t="s">
        <v>991</v>
      </c>
      <c r="D4551" s="59">
        <v>3141.4</v>
      </c>
      <c r="E4551" s="59"/>
    </row>
    <row r="4552" spans="3:5" x14ac:dyDescent="0.15">
      <c r="C4552" s="255" t="s">
        <v>992</v>
      </c>
      <c r="D4552" s="59">
        <v>15.3</v>
      </c>
      <c r="E4552" s="59"/>
    </row>
    <row r="4553" spans="3:5" x14ac:dyDescent="0.15">
      <c r="C4553" s="255" t="s">
        <v>993</v>
      </c>
      <c r="D4553" s="59">
        <v>103.1</v>
      </c>
      <c r="E4553" s="59"/>
    </row>
    <row r="4554" spans="3:5" x14ac:dyDescent="0.15">
      <c r="C4554" s="255" t="s">
        <v>994</v>
      </c>
      <c r="D4554" s="59">
        <v>0</v>
      </c>
      <c r="E4554" s="59"/>
    </row>
    <row r="4555" spans="3:5" x14ac:dyDescent="0.15">
      <c r="C4555" s="255" t="s">
        <v>995</v>
      </c>
      <c r="D4555" s="59">
        <v>53.2</v>
      </c>
      <c r="E4555" s="59"/>
    </row>
    <row r="4556" spans="3:5" x14ac:dyDescent="0.15">
      <c r="C4556" s="255" t="s">
        <v>996</v>
      </c>
      <c r="D4556" s="59">
        <v>50.5</v>
      </c>
      <c r="E4556" s="59"/>
    </row>
    <row r="4557" spans="3:5" x14ac:dyDescent="0.15">
      <c r="C4557" s="255" t="s">
        <v>997</v>
      </c>
      <c r="D4557" s="59">
        <v>602.1</v>
      </c>
      <c r="E4557" s="59"/>
    </row>
    <row r="4558" spans="3:5" x14ac:dyDescent="0.15">
      <c r="C4558" s="255" t="s">
        <v>998</v>
      </c>
      <c r="D4558" s="59">
        <v>58.1</v>
      </c>
      <c r="E4558" s="59"/>
    </row>
    <row r="4559" spans="3:5" x14ac:dyDescent="0.15">
      <c r="C4559" s="255" t="s">
        <v>999</v>
      </c>
      <c r="D4559" s="59">
        <v>0</v>
      </c>
      <c r="E4559" s="59"/>
    </row>
    <row r="4560" spans="3:5" x14ac:dyDescent="0.15">
      <c r="C4560" s="255" t="s">
        <v>1000</v>
      </c>
      <c r="D4560" s="59">
        <v>7.6</v>
      </c>
      <c r="E4560" s="59"/>
    </row>
    <row r="4561" spans="3:5" x14ac:dyDescent="0.15">
      <c r="C4561" s="255" t="s">
        <v>1001</v>
      </c>
      <c r="D4561" s="59">
        <v>77.8</v>
      </c>
      <c r="E4561" s="59"/>
    </row>
    <row r="4562" spans="3:5" x14ac:dyDescent="0.15">
      <c r="C4562" s="255" t="s">
        <v>1002</v>
      </c>
      <c r="D4562" s="59">
        <v>33</v>
      </c>
      <c r="E4562" s="59"/>
    </row>
    <row r="4563" spans="3:5" x14ac:dyDescent="0.15">
      <c r="C4563" s="255" t="s">
        <v>1003</v>
      </c>
      <c r="D4563" s="59">
        <v>34.4</v>
      </c>
      <c r="E4563" s="59"/>
    </row>
    <row r="4564" spans="3:5" x14ac:dyDescent="0.15">
      <c r="C4564" s="255" t="s">
        <v>1004</v>
      </c>
      <c r="D4564" s="59">
        <v>131.80000000000001</v>
      </c>
      <c r="E4564" s="59"/>
    </row>
    <row r="4565" spans="3:5" x14ac:dyDescent="0.15">
      <c r="C4565" s="255" t="s">
        <v>1005</v>
      </c>
      <c r="D4565" s="59">
        <v>75.7</v>
      </c>
      <c r="E4565" s="59"/>
    </row>
    <row r="4566" spans="3:5" x14ac:dyDescent="0.15">
      <c r="C4566" s="255" t="s">
        <v>1006</v>
      </c>
      <c r="D4566" s="59">
        <v>1710.4</v>
      </c>
      <c r="E4566" s="59"/>
    </row>
    <row r="4567" spans="3:5" x14ac:dyDescent="0.15">
      <c r="C4567" s="255" t="s">
        <v>1007</v>
      </c>
      <c r="D4567" s="59">
        <v>4832.3999999999996</v>
      </c>
      <c r="E4567" s="59"/>
    </row>
    <row r="4568" spans="3:5" x14ac:dyDescent="0.15">
      <c r="C4568" s="255" t="s">
        <v>1008</v>
      </c>
      <c r="D4568" s="59">
        <v>0</v>
      </c>
      <c r="E4568" s="59"/>
    </row>
    <row r="4569" spans="3:5" x14ac:dyDescent="0.15">
      <c r="C4569" s="255" t="s">
        <v>1009</v>
      </c>
      <c r="D4569" s="59">
        <v>6.4</v>
      </c>
      <c r="E4569" s="59"/>
    </row>
    <row r="4570" spans="3:5" x14ac:dyDescent="0.15">
      <c r="C4570" s="255" t="s">
        <v>1010</v>
      </c>
      <c r="D4570" s="59">
        <v>257.8</v>
      </c>
      <c r="E4570" s="59"/>
    </row>
    <row r="4571" spans="3:5" x14ac:dyDescent="0.15">
      <c r="C4571" s="255" t="s">
        <v>1011</v>
      </c>
      <c r="D4571" s="59">
        <v>4568.2</v>
      </c>
      <c r="E4571" s="59"/>
    </row>
    <row r="4572" spans="3:5" x14ac:dyDescent="0.15">
      <c r="C4572" s="255" t="s">
        <v>1012</v>
      </c>
      <c r="D4572" s="59">
        <v>11915.8</v>
      </c>
      <c r="E4572" s="59"/>
    </row>
    <row r="4573" spans="3:5" x14ac:dyDescent="0.15">
      <c r="C4573" s="255" t="s">
        <v>1013</v>
      </c>
      <c r="D4573" s="59">
        <v>5329.7</v>
      </c>
      <c r="E4573" s="59"/>
    </row>
    <row r="4574" spans="3:5" x14ac:dyDescent="0.15">
      <c r="C4574" s="255" t="s">
        <v>1014</v>
      </c>
      <c r="D4574" s="59">
        <v>3426.3</v>
      </c>
      <c r="E4574" s="59"/>
    </row>
    <row r="4575" spans="3:5" x14ac:dyDescent="0.15">
      <c r="C4575" s="255" t="s">
        <v>1015</v>
      </c>
      <c r="D4575" s="59">
        <v>1091.0999999999999</v>
      </c>
      <c r="E4575" s="59"/>
    </row>
    <row r="4576" spans="3:5" x14ac:dyDescent="0.15">
      <c r="C4576" s="255" t="s">
        <v>1016</v>
      </c>
      <c r="D4576" s="59">
        <v>1118</v>
      </c>
      <c r="E4576" s="59"/>
    </row>
    <row r="4577" spans="3:5" x14ac:dyDescent="0.15">
      <c r="C4577" s="255" t="s">
        <v>1017</v>
      </c>
      <c r="D4577" s="59">
        <v>950.8</v>
      </c>
      <c r="E4577" s="59"/>
    </row>
    <row r="4578" spans="3:5" x14ac:dyDescent="0.15">
      <c r="C4578" s="255" t="s">
        <v>1018</v>
      </c>
      <c r="D4578" s="59">
        <v>0</v>
      </c>
      <c r="E4578" s="59"/>
    </row>
    <row r="4579" spans="3:5" x14ac:dyDescent="0.15">
      <c r="C4579" s="255" t="s">
        <v>1019</v>
      </c>
      <c r="D4579" s="59">
        <v>8444.4</v>
      </c>
      <c r="E4579" s="59"/>
    </row>
    <row r="4580" spans="3:5" x14ac:dyDescent="0.15">
      <c r="C4580" s="255" t="s">
        <v>1020</v>
      </c>
      <c r="D4580" s="59">
        <v>342.2</v>
      </c>
      <c r="E4580" s="59"/>
    </row>
    <row r="4581" spans="3:5" x14ac:dyDescent="0.15">
      <c r="C4581" s="255" t="s">
        <v>1021</v>
      </c>
      <c r="D4581" s="59">
        <v>352.8</v>
      </c>
      <c r="E4581" s="59"/>
    </row>
    <row r="4582" spans="3:5" x14ac:dyDescent="0.15">
      <c r="C4582" s="255" t="s">
        <v>1022</v>
      </c>
      <c r="D4582" s="59">
        <v>83.2</v>
      </c>
      <c r="E4582" s="59"/>
    </row>
    <row r="4583" spans="3:5" x14ac:dyDescent="0.15">
      <c r="C4583" s="255" t="s">
        <v>1023</v>
      </c>
      <c r="D4583" s="59">
        <v>74.8</v>
      </c>
      <c r="E4583" s="59"/>
    </row>
    <row r="4584" spans="3:5" x14ac:dyDescent="0.15">
      <c r="C4584" s="255" t="s">
        <v>1024</v>
      </c>
      <c r="D4584" s="59">
        <v>0.2</v>
      </c>
      <c r="E4584" s="59"/>
    </row>
    <row r="4585" spans="3:5" x14ac:dyDescent="0.15">
      <c r="C4585" s="255" t="s">
        <v>1025</v>
      </c>
      <c r="D4585" s="59">
        <v>200.4</v>
      </c>
      <c r="E4585" s="59"/>
    </row>
    <row r="4586" spans="3:5" x14ac:dyDescent="0.15">
      <c r="C4586" s="255" t="s">
        <v>1026</v>
      </c>
      <c r="D4586" s="59">
        <v>1891</v>
      </c>
      <c r="E4586" s="59"/>
    </row>
    <row r="4587" spans="3:5" x14ac:dyDescent="0.15">
      <c r="C4587" s="255" t="s">
        <v>1027</v>
      </c>
      <c r="D4587" s="59">
        <v>0</v>
      </c>
      <c r="E4587" s="59"/>
    </row>
    <row r="4588" spans="3:5" x14ac:dyDescent="0.15">
      <c r="C4588" s="255" t="s">
        <v>1028</v>
      </c>
      <c r="D4588" s="59">
        <v>87.3</v>
      </c>
      <c r="E4588" s="59"/>
    </row>
    <row r="4589" spans="3:5" x14ac:dyDescent="0.15">
      <c r="C4589" s="255" t="s">
        <v>1029</v>
      </c>
      <c r="D4589" s="59">
        <v>96</v>
      </c>
      <c r="E4589" s="59"/>
    </row>
    <row r="4590" spans="3:5" x14ac:dyDescent="0.15">
      <c r="C4590" s="255" t="s">
        <v>1030</v>
      </c>
      <c r="D4590" s="59">
        <v>0.2</v>
      </c>
      <c r="E4590" s="59"/>
    </row>
    <row r="4591" spans="3:5" x14ac:dyDescent="0.15">
      <c r="C4591" s="255" t="s">
        <v>1031</v>
      </c>
      <c r="D4591" s="59">
        <v>356.1</v>
      </c>
      <c r="E4591" s="59"/>
    </row>
    <row r="4592" spans="3:5" x14ac:dyDescent="0.15">
      <c r="C4592" s="255" t="s">
        <v>1032</v>
      </c>
      <c r="D4592" s="59">
        <v>0.1</v>
      </c>
      <c r="E4592" s="59"/>
    </row>
    <row r="4593" spans="3:5" x14ac:dyDescent="0.15">
      <c r="C4593" s="255" t="s">
        <v>1033</v>
      </c>
      <c r="D4593" s="59">
        <v>12.4</v>
      </c>
      <c r="E4593" s="59"/>
    </row>
    <row r="4594" spans="3:5" x14ac:dyDescent="0.15">
      <c r="C4594" s="255" t="s">
        <v>1034</v>
      </c>
      <c r="D4594" s="59">
        <v>31.4</v>
      </c>
      <c r="E4594" s="59"/>
    </row>
    <row r="4595" spans="3:5" x14ac:dyDescent="0.15">
      <c r="C4595" s="255" t="s">
        <v>1035</v>
      </c>
      <c r="D4595" s="59">
        <v>723.4</v>
      </c>
      <c r="E4595" s="59"/>
    </row>
    <row r="4596" spans="3:5" x14ac:dyDescent="0.15">
      <c r="C4596" s="255" t="s">
        <v>1036</v>
      </c>
      <c r="D4596" s="59">
        <v>0</v>
      </c>
      <c r="E4596" s="59"/>
    </row>
    <row r="4597" spans="3:5" x14ac:dyDescent="0.15">
      <c r="C4597" s="255" t="s">
        <v>1037</v>
      </c>
      <c r="D4597" s="59">
        <v>141</v>
      </c>
      <c r="E4597" s="59"/>
    </row>
    <row r="4598" spans="3:5" x14ac:dyDescent="0.15">
      <c r="C4598" s="255" t="s">
        <v>1038</v>
      </c>
      <c r="D4598" s="59">
        <v>1036.5</v>
      </c>
      <c r="E4598" s="59"/>
    </row>
    <row r="4599" spans="3:5" x14ac:dyDescent="0.15">
      <c r="C4599" s="255" t="s">
        <v>1039</v>
      </c>
      <c r="D4599" s="59">
        <v>449.2</v>
      </c>
      <c r="E4599" s="59"/>
    </row>
    <row r="4600" spans="3:5" x14ac:dyDescent="0.15">
      <c r="C4600" s="255" t="s">
        <v>1040</v>
      </c>
      <c r="D4600" s="59">
        <v>842.1</v>
      </c>
      <c r="E4600" s="59"/>
    </row>
    <row r="4601" spans="3:5" x14ac:dyDescent="0.15">
      <c r="C4601" s="255" t="s">
        <v>1041</v>
      </c>
      <c r="D4601" s="59">
        <v>237.1</v>
      </c>
      <c r="E4601" s="59"/>
    </row>
    <row r="4602" spans="3:5" x14ac:dyDescent="0.15">
      <c r="C4602" s="255" t="s">
        <v>1042</v>
      </c>
      <c r="D4602" s="59">
        <v>1194.9000000000001</v>
      </c>
      <c r="E4602" s="59"/>
    </row>
    <row r="4603" spans="3:5" x14ac:dyDescent="0.15">
      <c r="C4603" s="255" t="s">
        <v>1043</v>
      </c>
      <c r="D4603" s="59">
        <v>70.7</v>
      </c>
      <c r="E4603" s="59"/>
    </row>
    <row r="4604" spans="3:5" x14ac:dyDescent="0.15">
      <c r="C4604" s="255" t="s">
        <v>1044</v>
      </c>
      <c r="D4604" s="59">
        <v>32.700000000000003</v>
      </c>
      <c r="E4604" s="59"/>
    </row>
    <row r="4605" spans="3:5" x14ac:dyDescent="0.15">
      <c r="C4605" s="255" t="s">
        <v>1045</v>
      </c>
      <c r="D4605" s="59">
        <v>35.9</v>
      </c>
      <c r="E4605" s="59"/>
    </row>
    <row r="4606" spans="3:5" x14ac:dyDescent="0.15">
      <c r="C4606" s="255" t="s">
        <v>1046</v>
      </c>
      <c r="D4606" s="59">
        <v>0</v>
      </c>
      <c r="E4606" s="59"/>
    </row>
    <row r="4607" spans="3:5" x14ac:dyDescent="0.15">
      <c r="C4607" s="255" t="s">
        <v>1047</v>
      </c>
      <c r="D4607" s="59">
        <v>0</v>
      </c>
      <c r="E4607" s="59"/>
    </row>
    <row r="4608" spans="3:5" x14ac:dyDescent="0.15">
      <c r="C4608" s="255" t="s">
        <v>1048</v>
      </c>
      <c r="D4608" s="59">
        <v>152.9</v>
      </c>
      <c r="E4608" s="59"/>
    </row>
    <row r="4609" spans="2:5" x14ac:dyDescent="0.15">
      <c r="B4609" s="255" t="s">
        <v>1059</v>
      </c>
      <c r="C4609" s="255" t="s">
        <v>743</v>
      </c>
      <c r="D4609" s="59">
        <v>622</v>
      </c>
      <c r="E4609" s="59"/>
    </row>
    <row r="4610" spans="2:5" x14ac:dyDescent="0.15">
      <c r="C4610" s="255" t="s">
        <v>744</v>
      </c>
      <c r="D4610" s="59">
        <v>806.8</v>
      </c>
      <c r="E4610" s="59"/>
    </row>
    <row r="4611" spans="2:5" x14ac:dyDescent="0.15">
      <c r="C4611" s="255" t="s">
        <v>745</v>
      </c>
      <c r="D4611" s="59">
        <v>1137</v>
      </c>
      <c r="E4611" s="59"/>
    </row>
    <row r="4612" spans="2:5" x14ac:dyDescent="0.15">
      <c r="C4612" s="255" t="s">
        <v>746</v>
      </c>
      <c r="D4612" s="59">
        <v>1.4</v>
      </c>
      <c r="E4612" s="59"/>
    </row>
    <row r="4613" spans="2:5" x14ac:dyDescent="0.15">
      <c r="C4613" s="255" t="s">
        <v>747</v>
      </c>
      <c r="D4613" s="59">
        <v>1.4</v>
      </c>
      <c r="E4613" s="59"/>
    </row>
    <row r="4614" spans="2:5" x14ac:dyDescent="0.15">
      <c r="C4614" s="255" t="s">
        <v>748</v>
      </c>
      <c r="D4614" s="59">
        <v>0</v>
      </c>
      <c r="E4614" s="59"/>
    </row>
    <row r="4615" spans="2:5" x14ac:dyDescent="0.15">
      <c r="C4615" s="255" t="s">
        <v>749</v>
      </c>
      <c r="D4615" s="59">
        <v>0.5</v>
      </c>
      <c r="E4615" s="59"/>
    </row>
    <row r="4616" spans="2:5" x14ac:dyDescent="0.15">
      <c r="C4616" s="255" t="s">
        <v>750</v>
      </c>
      <c r="D4616" s="59">
        <v>0.5</v>
      </c>
      <c r="E4616" s="59"/>
    </row>
    <row r="4617" spans="2:5" x14ac:dyDescent="0.15">
      <c r="C4617" s="255" t="s">
        <v>751</v>
      </c>
      <c r="D4617" s="59">
        <v>73</v>
      </c>
      <c r="E4617" s="59"/>
    </row>
    <row r="4618" spans="2:5" x14ac:dyDescent="0.15">
      <c r="C4618" s="255" t="s">
        <v>752</v>
      </c>
      <c r="D4618" s="59">
        <v>1.2</v>
      </c>
      <c r="E4618" s="59"/>
    </row>
    <row r="4619" spans="2:5" x14ac:dyDescent="0.15">
      <c r="C4619" s="255" t="s">
        <v>753</v>
      </c>
      <c r="D4619" s="59">
        <v>104</v>
      </c>
      <c r="E4619" s="59"/>
    </row>
    <row r="4620" spans="2:5" x14ac:dyDescent="0.15">
      <c r="C4620" s="255" t="s">
        <v>754</v>
      </c>
      <c r="D4620" s="59">
        <v>1962.9</v>
      </c>
      <c r="E4620" s="59"/>
    </row>
    <row r="4621" spans="2:5" x14ac:dyDescent="0.15">
      <c r="C4621" s="255" t="s">
        <v>192</v>
      </c>
      <c r="D4621" s="59">
        <v>236146.8</v>
      </c>
      <c r="E4621" s="59"/>
    </row>
    <row r="4622" spans="2:5" x14ac:dyDescent="0.15">
      <c r="C4622" s="255" t="s">
        <v>755</v>
      </c>
      <c r="D4622" s="59">
        <v>26715.7</v>
      </c>
      <c r="E4622" s="59"/>
    </row>
    <row r="4623" spans="2:5" x14ac:dyDescent="0.15">
      <c r="C4623" s="255" t="s">
        <v>756</v>
      </c>
      <c r="D4623" s="59">
        <v>87.6</v>
      </c>
      <c r="E4623" s="59"/>
    </row>
    <row r="4624" spans="2:5" x14ac:dyDescent="0.15">
      <c r="C4624" s="255" t="s">
        <v>757</v>
      </c>
      <c r="D4624" s="59">
        <v>96.6</v>
      </c>
      <c r="E4624" s="59"/>
    </row>
    <row r="4625" spans="3:5" x14ac:dyDescent="0.15">
      <c r="C4625" s="255" t="s">
        <v>758</v>
      </c>
      <c r="D4625" s="59">
        <v>1701</v>
      </c>
      <c r="E4625" s="59"/>
    </row>
    <row r="4626" spans="3:5" x14ac:dyDescent="0.15">
      <c r="C4626" s="255" t="s">
        <v>759</v>
      </c>
      <c r="D4626" s="59">
        <v>1159</v>
      </c>
      <c r="E4626" s="59"/>
    </row>
    <row r="4627" spans="3:5" x14ac:dyDescent="0.15">
      <c r="C4627" s="255" t="s">
        <v>760</v>
      </c>
      <c r="D4627" s="59">
        <v>79.8</v>
      </c>
      <c r="E4627" s="59"/>
    </row>
    <row r="4628" spans="3:5" x14ac:dyDescent="0.15">
      <c r="C4628" s="255" t="s">
        <v>761</v>
      </c>
      <c r="D4628" s="59">
        <v>162</v>
      </c>
      <c r="E4628" s="59"/>
    </row>
    <row r="4629" spans="3:5" x14ac:dyDescent="0.15">
      <c r="C4629" s="255" t="s">
        <v>762</v>
      </c>
      <c r="D4629" s="59">
        <v>206.7</v>
      </c>
      <c r="E4629" s="59"/>
    </row>
    <row r="4630" spans="3:5" x14ac:dyDescent="0.15">
      <c r="C4630" s="255" t="s">
        <v>763</v>
      </c>
      <c r="D4630" s="59">
        <v>109</v>
      </c>
      <c r="E4630" s="59"/>
    </row>
    <row r="4631" spans="3:5" x14ac:dyDescent="0.15">
      <c r="C4631" s="255" t="s">
        <v>764</v>
      </c>
      <c r="D4631" s="59">
        <v>1403.9</v>
      </c>
      <c r="E4631" s="59"/>
    </row>
    <row r="4632" spans="3:5" x14ac:dyDescent="0.15">
      <c r="C4632" s="255" t="s">
        <v>765</v>
      </c>
      <c r="D4632" s="59">
        <v>1044.5</v>
      </c>
      <c r="E4632" s="59"/>
    </row>
    <row r="4633" spans="3:5" x14ac:dyDescent="0.15">
      <c r="C4633" s="255" t="s">
        <v>766</v>
      </c>
      <c r="D4633" s="59">
        <v>108.5</v>
      </c>
      <c r="E4633" s="59"/>
    </row>
    <row r="4634" spans="3:5" x14ac:dyDescent="0.15">
      <c r="C4634" s="255" t="s">
        <v>767</v>
      </c>
      <c r="D4634" s="59">
        <v>630.29999999999995</v>
      </c>
      <c r="E4634" s="59"/>
    </row>
    <row r="4635" spans="3:5" x14ac:dyDescent="0.15">
      <c r="C4635" s="255" t="s">
        <v>768</v>
      </c>
      <c r="D4635" s="59">
        <v>24.1</v>
      </c>
      <c r="E4635" s="59"/>
    </row>
    <row r="4636" spans="3:5" x14ac:dyDescent="0.15">
      <c r="C4636" s="255" t="s">
        <v>769</v>
      </c>
      <c r="D4636" s="59">
        <v>31.1</v>
      </c>
      <c r="E4636" s="59"/>
    </row>
    <row r="4637" spans="3:5" x14ac:dyDescent="0.15">
      <c r="C4637" s="255" t="s">
        <v>770</v>
      </c>
      <c r="D4637" s="59">
        <v>1040.8</v>
      </c>
      <c r="E4637" s="59"/>
    </row>
    <row r="4638" spans="3:5" x14ac:dyDescent="0.15">
      <c r="C4638" s="255" t="s">
        <v>771</v>
      </c>
      <c r="D4638" s="59">
        <v>1305.5999999999999</v>
      </c>
      <c r="E4638" s="59"/>
    </row>
    <row r="4639" spans="3:5" x14ac:dyDescent="0.15">
      <c r="C4639" s="255" t="s">
        <v>772</v>
      </c>
      <c r="D4639" s="59">
        <v>562</v>
      </c>
      <c r="E4639" s="59"/>
    </row>
    <row r="4640" spans="3:5" x14ac:dyDescent="0.15">
      <c r="C4640" s="255" t="s">
        <v>773</v>
      </c>
      <c r="D4640" s="59">
        <v>93.5</v>
      </c>
      <c r="E4640" s="59"/>
    </row>
    <row r="4641" spans="3:5" x14ac:dyDescent="0.15">
      <c r="C4641" s="255" t="s">
        <v>774</v>
      </c>
      <c r="D4641" s="59">
        <v>74.7</v>
      </c>
      <c r="E4641" s="59"/>
    </row>
    <row r="4642" spans="3:5" x14ac:dyDescent="0.15">
      <c r="C4642" s="255" t="s">
        <v>775</v>
      </c>
      <c r="D4642" s="59">
        <v>111.3</v>
      </c>
      <c r="E4642" s="59"/>
    </row>
    <row r="4643" spans="3:5" x14ac:dyDescent="0.15">
      <c r="C4643" s="255" t="s">
        <v>776</v>
      </c>
      <c r="D4643" s="59">
        <v>297.60000000000002</v>
      </c>
      <c r="E4643" s="59"/>
    </row>
    <row r="4644" spans="3:5" x14ac:dyDescent="0.15">
      <c r="C4644" s="255" t="s">
        <v>777</v>
      </c>
      <c r="D4644" s="59">
        <v>756.5</v>
      </c>
      <c r="E4644" s="59"/>
    </row>
    <row r="4645" spans="3:5" x14ac:dyDescent="0.15">
      <c r="C4645" s="255" t="s">
        <v>778</v>
      </c>
      <c r="D4645" s="59">
        <v>359.1</v>
      </c>
      <c r="E4645" s="59"/>
    </row>
    <row r="4646" spans="3:5" x14ac:dyDescent="0.15">
      <c r="C4646" s="255" t="s">
        <v>779</v>
      </c>
      <c r="D4646" s="59">
        <v>280</v>
      </c>
      <c r="E4646" s="59"/>
    </row>
    <row r="4647" spans="3:5" x14ac:dyDescent="0.15">
      <c r="C4647" s="255" t="s">
        <v>780</v>
      </c>
      <c r="D4647" s="59">
        <v>6.6</v>
      </c>
      <c r="E4647" s="59"/>
    </row>
    <row r="4648" spans="3:5" x14ac:dyDescent="0.15">
      <c r="C4648" s="255" t="s">
        <v>781</v>
      </c>
      <c r="D4648" s="59">
        <v>568.70000000000005</v>
      </c>
      <c r="E4648" s="59"/>
    </row>
    <row r="4649" spans="3:5" x14ac:dyDescent="0.15">
      <c r="C4649" s="255" t="s">
        <v>782</v>
      </c>
      <c r="D4649" s="59">
        <v>1567.5</v>
      </c>
      <c r="E4649" s="59"/>
    </row>
    <row r="4650" spans="3:5" x14ac:dyDescent="0.15">
      <c r="C4650" s="255" t="s">
        <v>783</v>
      </c>
      <c r="D4650" s="59">
        <v>628.9</v>
      </c>
      <c r="E4650" s="59"/>
    </row>
    <row r="4651" spans="3:5" x14ac:dyDescent="0.15">
      <c r="C4651" s="255" t="s">
        <v>784</v>
      </c>
      <c r="D4651" s="59">
        <v>519.29999999999995</v>
      </c>
      <c r="E4651" s="59"/>
    </row>
    <row r="4652" spans="3:5" x14ac:dyDescent="0.15">
      <c r="C4652" s="255" t="s">
        <v>785</v>
      </c>
      <c r="D4652" s="59">
        <v>511.5</v>
      </c>
      <c r="E4652" s="59"/>
    </row>
    <row r="4653" spans="3:5" x14ac:dyDescent="0.15">
      <c r="C4653" s="255" t="s">
        <v>786</v>
      </c>
      <c r="D4653" s="59">
        <v>157.4</v>
      </c>
      <c r="E4653" s="59"/>
    </row>
    <row r="4654" spans="3:5" x14ac:dyDescent="0.15">
      <c r="C4654" s="255" t="s">
        <v>787</v>
      </c>
      <c r="D4654" s="59">
        <v>70.099999999999994</v>
      </c>
      <c r="E4654" s="59"/>
    </row>
    <row r="4655" spans="3:5" x14ac:dyDescent="0.15">
      <c r="C4655" s="255" t="s">
        <v>788</v>
      </c>
      <c r="D4655" s="59">
        <v>65.3</v>
      </c>
      <c r="E4655" s="59"/>
    </row>
    <row r="4656" spans="3:5" x14ac:dyDescent="0.15">
      <c r="C4656" s="255" t="s">
        <v>789</v>
      </c>
      <c r="D4656" s="59">
        <v>22.7</v>
      </c>
      <c r="E4656" s="59"/>
    </row>
    <row r="4657" spans="3:5" x14ac:dyDescent="0.15">
      <c r="C4657" s="255" t="s">
        <v>790</v>
      </c>
      <c r="D4657" s="59">
        <v>1794.4</v>
      </c>
      <c r="E4657" s="59"/>
    </row>
    <row r="4658" spans="3:5" x14ac:dyDescent="0.15">
      <c r="C4658" s="255" t="s">
        <v>791</v>
      </c>
      <c r="D4658" s="59">
        <v>42.2</v>
      </c>
      <c r="E4658" s="59"/>
    </row>
    <row r="4659" spans="3:5" x14ac:dyDescent="0.15">
      <c r="C4659" s="255" t="s">
        <v>792</v>
      </c>
      <c r="D4659" s="59">
        <v>514.4</v>
      </c>
      <c r="E4659" s="59"/>
    </row>
    <row r="4660" spans="3:5" x14ac:dyDescent="0.15">
      <c r="C4660" s="255" t="s">
        <v>793</v>
      </c>
      <c r="D4660" s="59">
        <v>72.8</v>
      </c>
      <c r="E4660" s="59"/>
    </row>
    <row r="4661" spans="3:5" x14ac:dyDescent="0.15">
      <c r="C4661" s="255" t="s">
        <v>794</v>
      </c>
      <c r="D4661" s="59">
        <v>1646.6</v>
      </c>
      <c r="E4661" s="59"/>
    </row>
    <row r="4662" spans="3:5" x14ac:dyDescent="0.15">
      <c r="C4662" s="255" t="s">
        <v>795</v>
      </c>
      <c r="D4662" s="59">
        <v>220.2</v>
      </c>
      <c r="E4662" s="59"/>
    </row>
    <row r="4663" spans="3:5" x14ac:dyDescent="0.15">
      <c r="C4663" s="255" t="s">
        <v>796</v>
      </c>
      <c r="D4663" s="59">
        <v>410.5</v>
      </c>
      <c r="E4663" s="59"/>
    </row>
    <row r="4664" spans="3:5" x14ac:dyDescent="0.15">
      <c r="C4664" s="255" t="s">
        <v>797</v>
      </c>
      <c r="D4664" s="59">
        <v>557.4</v>
      </c>
      <c r="E4664" s="59"/>
    </row>
    <row r="4665" spans="3:5" x14ac:dyDescent="0.15">
      <c r="C4665" s="255" t="s">
        <v>798</v>
      </c>
      <c r="D4665" s="59">
        <v>109.3</v>
      </c>
      <c r="E4665" s="59"/>
    </row>
    <row r="4666" spans="3:5" x14ac:dyDescent="0.15">
      <c r="C4666" s="255" t="s">
        <v>799</v>
      </c>
      <c r="D4666" s="59">
        <v>67.7</v>
      </c>
      <c r="E4666" s="59"/>
    </row>
    <row r="4667" spans="3:5" x14ac:dyDescent="0.15">
      <c r="C4667" s="255" t="s">
        <v>800</v>
      </c>
      <c r="D4667" s="59">
        <v>111.6</v>
      </c>
      <c r="E4667" s="59"/>
    </row>
    <row r="4668" spans="3:5" x14ac:dyDescent="0.15">
      <c r="C4668" s="255" t="s">
        <v>801</v>
      </c>
      <c r="D4668" s="59">
        <v>257.2</v>
      </c>
      <c r="E4668" s="59"/>
    </row>
    <row r="4669" spans="3:5" x14ac:dyDescent="0.15">
      <c r="C4669" s="255" t="s">
        <v>802</v>
      </c>
      <c r="D4669" s="59">
        <v>739.9</v>
      </c>
      <c r="E4669" s="59"/>
    </row>
    <row r="4670" spans="3:5" x14ac:dyDescent="0.15">
      <c r="C4670" s="255" t="s">
        <v>803</v>
      </c>
      <c r="D4670" s="59">
        <v>682.3</v>
      </c>
      <c r="E4670" s="59"/>
    </row>
    <row r="4671" spans="3:5" x14ac:dyDescent="0.15">
      <c r="C4671" s="255" t="s">
        <v>804</v>
      </c>
      <c r="D4671" s="59">
        <v>459.9</v>
      </c>
      <c r="E4671" s="59"/>
    </row>
    <row r="4672" spans="3:5" x14ac:dyDescent="0.15">
      <c r="C4672" s="255" t="s">
        <v>805</v>
      </c>
      <c r="D4672" s="59">
        <v>6.4</v>
      </c>
      <c r="E4672" s="59"/>
    </row>
    <row r="4673" spans="3:5" x14ac:dyDescent="0.15">
      <c r="C4673" s="255" t="s">
        <v>806</v>
      </c>
      <c r="D4673" s="59">
        <v>457.5</v>
      </c>
      <c r="E4673" s="59"/>
    </row>
    <row r="4674" spans="3:5" x14ac:dyDescent="0.15">
      <c r="C4674" s="255" t="s">
        <v>807</v>
      </c>
      <c r="D4674" s="59">
        <v>244.5</v>
      </c>
      <c r="E4674" s="59"/>
    </row>
    <row r="4675" spans="3:5" x14ac:dyDescent="0.15">
      <c r="C4675" s="255" t="s">
        <v>808</v>
      </c>
      <c r="D4675" s="59">
        <v>5.2</v>
      </c>
      <c r="E4675" s="59"/>
    </row>
    <row r="4676" spans="3:5" x14ac:dyDescent="0.15">
      <c r="C4676" s="255" t="s">
        <v>809</v>
      </c>
      <c r="D4676" s="59">
        <v>243.3</v>
      </c>
      <c r="E4676" s="59"/>
    </row>
    <row r="4677" spans="3:5" x14ac:dyDescent="0.15">
      <c r="C4677" s="255" t="s">
        <v>810</v>
      </c>
      <c r="D4677" s="59">
        <v>206.3</v>
      </c>
      <c r="E4677" s="59"/>
    </row>
    <row r="4678" spans="3:5" x14ac:dyDescent="0.15">
      <c r="C4678" s="255" t="s">
        <v>811</v>
      </c>
      <c r="D4678" s="59">
        <v>946.1</v>
      </c>
      <c r="E4678" s="59"/>
    </row>
    <row r="4679" spans="3:5" x14ac:dyDescent="0.15">
      <c r="C4679" s="255" t="s">
        <v>812</v>
      </c>
      <c r="D4679" s="59">
        <v>124.7</v>
      </c>
      <c r="E4679" s="59"/>
    </row>
    <row r="4680" spans="3:5" x14ac:dyDescent="0.15">
      <c r="C4680" s="255" t="s">
        <v>813</v>
      </c>
      <c r="D4680" s="59">
        <v>19.7</v>
      </c>
      <c r="E4680" s="59"/>
    </row>
    <row r="4681" spans="3:5" x14ac:dyDescent="0.15">
      <c r="C4681" s="255" t="s">
        <v>814</v>
      </c>
      <c r="D4681" s="59">
        <v>89.7</v>
      </c>
      <c r="E4681" s="59"/>
    </row>
    <row r="4682" spans="3:5" x14ac:dyDescent="0.15">
      <c r="C4682" s="255" t="s">
        <v>815</v>
      </c>
      <c r="D4682" s="59">
        <v>397.6</v>
      </c>
      <c r="E4682" s="59"/>
    </row>
    <row r="4683" spans="3:5" x14ac:dyDescent="0.15">
      <c r="C4683" s="255" t="s">
        <v>816</v>
      </c>
      <c r="D4683" s="59">
        <v>445.1</v>
      </c>
      <c r="E4683" s="59"/>
    </row>
    <row r="4684" spans="3:5" x14ac:dyDescent="0.15">
      <c r="C4684" s="255" t="s">
        <v>817</v>
      </c>
      <c r="D4684" s="59">
        <v>5696.9</v>
      </c>
      <c r="E4684" s="59"/>
    </row>
    <row r="4685" spans="3:5" x14ac:dyDescent="0.15">
      <c r="C4685" s="255" t="s">
        <v>818</v>
      </c>
      <c r="D4685" s="59">
        <v>602</v>
      </c>
      <c r="E4685" s="59"/>
    </row>
    <row r="4686" spans="3:5" x14ac:dyDescent="0.15">
      <c r="C4686" s="255" t="s">
        <v>819</v>
      </c>
      <c r="D4686" s="59">
        <v>4.5</v>
      </c>
      <c r="E4686" s="59"/>
    </row>
    <row r="4687" spans="3:5" x14ac:dyDescent="0.15">
      <c r="C4687" s="255" t="s">
        <v>820</v>
      </c>
      <c r="D4687" s="59">
        <v>2527.8000000000002</v>
      </c>
      <c r="E4687" s="59"/>
    </row>
    <row r="4688" spans="3:5" x14ac:dyDescent="0.15">
      <c r="C4688" s="255" t="s">
        <v>821</v>
      </c>
      <c r="D4688" s="59">
        <v>14</v>
      </c>
      <c r="E4688" s="59"/>
    </row>
    <row r="4689" spans="3:5" x14ac:dyDescent="0.15">
      <c r="C4689" s="255" t="s">
        <v>822</v>
      </c>
      <c r="D4689" s="59">
        <v>93.8</v>
      </c>
      <c r="E4689" s="59"/>
    </row>
    <row r="4690" spans="3:5" x14ac:dyDescent="0.15">
      <c r="C4690" s="255" t="s">
        <v>823</v>
      </c>
      <c r="D4690" s="59">
        <v>3.1</v>
      </c>
      <c r="E4690" s="59"/>
    </row>
    <row r="4691" spans="3:5" x14ac:dyDescent="0.15">
      <c r="C4691" s="255" t="s">
        <v>824</v>
      </c>
      <c r="D4691" s="59">
        <v>385.8</v>
      </c>
      <c r="E4691" s="59"/>
    </row>
    <row r="4692" spans="3:5" x14ac:dyDescent="0.15">
      <c r="C4692" s="255" t="s">
        <v>825</v>
      </c>
      <c r="D4692" s="59">
        <v>439.5</v>
      </c>
      <c r="E4692" s="59"/>
    </row>
    <row r="4693" spans="3:5" x14ac:dyDescent="0.15">
      <c r="C4693" s="255" t="s">
        <v>826</v>
      </c>
      <c r="D4693" s="59">
        <v>1.9</v>
      </c>
      <c r="E4693" s="59"/>
    </row>
    <row r="4694" spans="3:5" x14ac:dyDescent="0.15">
      <c r="C4694" s="255" t="s">
        <v>827</v>
      </c>
      <c r="D4694" s="59">
        <v>0</v>
      </c>
      <c r="E4694" s="59"/>
    </row>
    <row r="4695" spans="3:5" x14ac:dyDescent="0.15">
      <c r="C4695" s="255" t="s">
        <v>828</v>
      </c>
      <c r="D4695" s="59">
        <v>1204.2</v>
      </c>
      <c r="E4695" s="59"/>
    </row>
    <row r="4696" spans="3:5" x14ac:dyDescent="0.15">
      <c r="C4696" s="255" t="s">
        <v>829</v>
      </c>
      <c r="D4696" s="59">
        <v>1.5</v>
      </c>
      <c r="E4696" s="59"/>
    </row>
    <row r="4697" spans="3:5" x14ac:dyDescent="0.15">
      <c r="C4697" s="255" t="s">
        <v>830</v>
      </c>
      <c r="D4697" s="59">
        <v>418.9</v>
      </c>
      <c r="E4697" s="59"/>
    </row>
    <row r="4698" spans="3:5" x14ac:dyDescent="0.15">
      <c r="C4698" s="255" t="s">
        <v>831</v>
      </c>
      <c r="D4698" s="59">
        <v>0</v>
      </c>
      <c r="E4698" s="59"/>
    </row>
    <row r="4699" spans="3:5" x14ac:dyDescent="0.15">
      <c r="C4699" s="255" t="s">
        <v>832</v>
      </c>
      <c r="D4699" s="59">
        <v>5780.3</v>
      </c>
      <c r="E4699" s="59"/>
    </row>
    <row r="4700" spans="3:5" x14ac:dyDescent="0.15">
      <c r="C4700" s="255" t="s">
        <v>833</v>
      </c>
      <c r="D4700" s="59">
        <v>22.4</v>
      </c>
      <c r="E4700" s="59"/>
    </row>
    <row r="4701" spans="3:5" x14ac:dyDescent="0.15">
      <c r="C4701" s="255" t="s">
        <v>834</v>
      </c>
      <c r="D4701" s="59">
        <v>1228.7</v>
      </c>
      <c r="E4701" s="59"/>
    </row>
    <row r="4702" spans="3:5" x14ac:dyDescent="0.15">
      <c r="C4702" s="255" t="s">
        <v>835</v>
      </c>
      <c r="D4702" s="59">
        <v>2765.5</v>
      </c>
      <c r="E4702" s="59"/>
    </row>
    <row r="4703" spans="3:5" x14ac:dyDescent="0.15">
      <c r="C4703" s="255" t="s">
        <v>836</v>
      </c>
      <c r="D4703" s="59">
        <v>236.4</v>
      </c>
      <c r="E4703" s="59"/>
    </row>
    <row r="4704" spans="3:5" x14ac:dyDescent="0.15">
      <c r="C4704" s="255" t="s">
        <v>837</v>
      </c>
      <c r="D4704" s="59">
        <v>144.9</v>
      </c>
      <c r="E4704" s="59"/>
    </row>
    <row r="4705" spans="3:5" x14ac:dyDescent="0.15">
      <c r="C4705" s="255" t="s">
        <v>838</v>
      </c>
      <c r="D4705" s="59">
        <v>233.2</v>
      </c>
      <c r="E4705" s="59"/>
    </row>
    <row r="4706" spans="3:5" x14ac:dyDescent="0.15">
      <c r="C4706" s="255" t="s">
        <v>839</v>
      </c>
      <c r="D4706" s="59">
        <v>101.6</v>
      </c>
      <c r="E4706" s="59"/>
    </row>
    <row r="4707" spans="3:5" x14ac:dyDescent="0.15">
      <c r="C4707" s="255" t="s">
        <v>840</v>
      </c>
      <c r="D4707" s="59">
        <v>24.6</v>
      </c>
      <c r="E4707" s="59"/>
    </row>
    <row r="4708" spans="3:5" x14ac:dyDescent="0.15">
      <c r="C4708" s="255" t="s">
        <v>841</v>
      </c>
      <c r="D4708" s="59">
        <v>318.10000000000002</v>
      </c>
      <c r="E4708" s="59"/>
    </row>
    <row r="4709" spans="3:5" x14ac:dyDescent="0.15">
      <c r="C4709" s="255" t="s">
        <v>842</v>
      </c>
      <c r="D4709" s="59">
        <v>664.4</v>
      </c>
      <c r="E4709" s="59"/>
    </row>
    <row r="4710" spans="3:5" x14ac:dyDescent="0.15">
      <c r="C4710" s="255" t="s">
        <v>843</v>
      </c>
      <c r="D4710" s="59">
        <v>29.6</v>
      </c>
      <c r="E4710" s="59"/>
    </row>
    <row r="4711" spans="3:5" x14ac:dyDescent="0.15">
      <c r="C4711" s="255" t="s">
        <v>844</v>
      </c>
      <c r="D4711" s="59">
        <v>10.9</v>
      </c>
      <c r="E4711" s="59"/>
    </row>
    <row r="4712" spans="3:5" x14ac:dyDescent="0.15">
      <c r="C4712" s="255" t="s">
        <v>845</v>
      </c>
      <c r="D4712" s="59">
        <v>95411.3</v>
      </c>
      <c r="E4712" s="59"/>
    </row>
    <row r="4713" spans="3:5" x14ac:dyDescent="0.15">
      <c r="C4713" s="255" t="s">
        <v>846</v>
      </c>
      <c r="D4713" s="59">
        <v>28181.4</v>
      </c>
      <c r="E4713" s="59"/>
    </row>
    <row r="4714" spans="3:5" x14ac:dyDescent="0.15">
      <c r="C4714" s="255" t="s">
        <v>847</v>
      </c>
      <c r="D4714" s="59">
        <v>56.6</v>
      </c>
      <c r="E4714" s="59"/>
    </row>
    <row r="4715" spans="3:5" x14ac:dyDescent="0.15">
      <c r="C4715" s="255" t="s">
        <v>848</v>
      </c>
      <c r="D4715" s="59">
        <v>31746.5</v>
      </c>
      <c r="E4715" s="59"/>
    </row>
    <row r="4716" spans="3:5" x14ac:dyDescent="0.15">
      <c r="C4716" s="255" t="s">
        <v>849</v>
      </c>
      <c r="D4716" s="59">
        <v>3053.7</v>
      </c>
      <c r="E4716" s="59"/>
    </row>
    <row r="4717" spans="3:5" x14ac:dyDescent="0.15">
      <c r="C4717" s="255" t="s">
        <v>850</v>
      </c>
      <c r="D4717" s="59">
        <v>1059.7</v>
      </c>
      <c r="E4717" s="59"/>
    </row>
    <row r="4718" spans="3:5" x14ac:dyDescent="0.15">
      <c r="C4718" s="255" t="s">
        <v>851</v>
      </c>
      <c r="D4718" s="59">
        <v>0</v>
      </c>
      <c r="E4718" s="59"/>
    </row>
    <row r="4719" spans="3:5" x14ac:dyDescent="0.15">
      <c r="C4719" s="255" t="s">
        <v>852</v>
      </c>
      <c r="D4719" s="59">
        <v>0</v>
      </c>
      <c r="E4719" s="59"/>
    </row>
    <row r="4720" spans="3:5" x14ac:dyDescent="0.15">
      <c r="C4720" s="255" t="s">
        <v>853</v>
      </c>
      <c r="D4720" s="59">
        <v>220.7</v>
      </c>
      <c r="E4720" s="59"/>
    </row>
    <row r="4721" spans="3:5" x14ac:dyDescent="0.15">
      <c r="C4721" s="255" t="s">
        <v>854</v>
      </c>
      <c r="D4721" s="59">
        <v>0</v>
      </c>
      <c r="E4721" s="59"/>
    </row>
    <row r="4722" spans="3:5" x14ac:dyDescent="0.15">
      <c r="C4722" s="255" t="s">
        <v>855</v>
      </c>
      <c r="D4722" s="59">
        <v>429.5</v>
      </c>
      <c r="E4722" s="59"/>
    </row>
    <row r="4723" spans="3:5" x14ac:dyDescent="0.15">
      <c r="C4723" s="255" t="s">
        <v>856</v>
      </c>
      <c r="D4723" s="59">
        <v>2353.1</v>
      </c>
      <c r="E4723" s="59"/>
    </row>
    <row r="4724" spans="3:5" x14ac:dyDescent="0.15">
      <c r="C4724" s="255" t="s">
        <v>857</v>
      </c>
      <c r="D4724" s="59">
        <v>1964.4</v>
      </c>
      <c r="E4724" s="59"/>
    </row>
    <row r="4725" spans="3:5" x14ac:dyDescent="0.15">
      <c r="C4725" s="255" t="s">
        <v>858</v>
      </c>
      <c r="D4725" s="59">
        <v>2474</v>
      </c>
      <c r="E4725" s="59"/>
    </row>
    <row r="4726" spans="3:5" x14ac:dyDescent="0.15">
      <c r="C4726" s="255" t="s">
        <v>859</v>
      </c>
      <c r="D4726" s="59">
        <v>2062.1</v>
      </c>
      <c r="E4726" s="59"/>
    </row>
    <row r="4727" spans="3:5" x14ac:dyDescent="0.15">
      <c r="C4727" s="255" t="s">
        <v>860</v>
      </c>
      <c r="D4727" s="59">
        <v>220.9</v>
      </c>
      <c r="E4727" s="59"/>
    </row>
    <row r="4728" spans="3:5" x14ac:dyDescent="0.15">
      <c r="C4728" s="255" t="s">
        <v>861</v>
      </c>
      <c r="D4728" s="59">
        <v>1417.6</v>
      </c>
      <c r="E4728" s="59"/>
    </row>
    <row r="4729" spans="3:5" x14ac:dyDescent="0.15">
      <c r="C4729" s="255" t="s">
        <v>862</v>
      </c>
      <c r="D4729" s="59">
        <v>6591.3</v>
      </c>
      <c r="E4729" s="59"/>
    </row>
    <row r="4730" spans="3:5" x14ac:dyDescent="0.15">
      <c r="C4730" s="255" t="s">
        <v>863</v>
      </c>
      <c r="D4730" s="59">
        <v>1458</v>
      </c>
      <c r="E4730" s="59"/>
    </row>
    <row r="4731" spans="3:5" x14ac:dyDescent="0.15">
      <c r="C4731" s="255" t="s">
        <v>864</v>
      </c>
      <c r="D4731" s="59">
        <v>145.30000000000001</v>
      </c>
      <c r="E4731" s="59"/>
    </row>
    <row r="4732" spans="3:5" x14ac:dyDescent="0.15">
      <c r="C4732" s="255" t="s">
        <v>865</v>
      </c>
      <c r="D4732" s="59">
        <v>864.3</v>
      </c>
      <c r="E4732" s="59"/>
    </row>
    <row r="4733" spans="3:5" x14ac:dyDescent="0.15">
      <c r="C4733" s="255" t="s">
        <v>866</v>
      </c>
      <c r="D4733" s="59">
        <v>62.5</v>
      </c>
      <c r="E4733" s="59"/>
    </row>
    <row r="4734" spans="3:5" x14ac:dyDescent="0.15">
      <c r="C4734" s="255" t="s">
        <v>867</v>
      </c>
      <c r="D4734" s="59">
        <v>574</v>
      </c>
      <c r="E4734" s="59"/>
    </row>
    <row r="4735" spans="3:5" x14ac:dyDescent="0.15">
      <c r="C4735" s="255" t="s">
        <v>868</v>
      </c>
      <c r="D4735" s="59">
        <v>10475.700000000001</v>
      </c>
      <c r="E4735" s="59"/>
    </row>
    <row r="4736" spans="3:5" x14ac:dyDescent="0.15">
      <c r="C4736" s="255" t="s">
        <v>869</v>
      </c>
      <c r="D4736" s="59">
        <v>10558.7</v>
      </c>
      <c r="E4736" s="59"/>
    </row>
    <row r="4737" spans="3:5" x14ac:dyDescent="0.15">
      <c r="C4737" s="255" t="s">
        <v>870</v>
      </c>
      <c r="D4737" s="59">
        <v>1485</v>
      </c>
      <c r="E4737" s="59"/>
    </row>
    <row r="4738" spans="3:5" x14ac:dyDescent="0.15">
      <c r="C4738" s="255" t="s">
        <v>871</v>
      </c>
      <c r="D4738" s="59">
        <v>464.9</v>
      </c>
      <c r="E4738" s="59"/>
    </row>
    <row r="4739" spans="3:5" x14ac:dyDescent="0.15">
      <c r="C4739" s="255" t="s">
        <v>872</v>
      </c>
      <c r="D4739" s="59">
        <v>279.10000000000002</v>
      </c>
      <c r="E4739" s="59"/>
    </row>
    <row r="4740" spans="3:5" x14ac:dyDescent="0.15">
      <c r="C4740" s="255" t="s">
        <v>873</v>
      </c>
      <c r="D4740" s="59">
        <v>339.4</v>
      </c>
      <c r="E4740" s="59"/>
    </row>
    <row r="4741" spans="3:5" x14ac:dyDescent="0.15">
      <c r="C4741" s="255" t="s">
        <v>874</v>
      </c>
      <c r="D4741" s="59">
        <v>183.1</v>
      </c>
      <c r="E4741" s="59"/>
    </row>
    <row r="4742" spans="3:5" x14ac:dyDescent="0.15">
      <c r="C4742" s="255" t="s">
        <v>875</v>
      </c>
      <c r="D4742" s="59">
        <v>6.7</v>
      </c>
      <c r="E4742" s="59"/>
    </row>
    <row r="4743" spans="3:5" x14ac:dyDescent="0.15">
      <c r="C4743" s="255" t="s">
        <v>876</v>
      </c>
      <c r="D4743" s="59">
        <v>1.4</v>
      </c>
      <c r="E4743" s="59"/>
    </row>
    <row r="4744" spans="3:5" x14ac:dyDescent="0.15">
      <c r="C4744" s="255" t="s">
        <v>877</v>
      </c>
      <c r="D4744" s="59">
        <v>27.9</v>
      </c>
      <c r="E4744" s="59"/>
    </row>
    <row r="4745" spans="3:5" x14ac:dyDescent="0.15">
      <c r="C4745" s="255" t="s">
        <v>878</v>
      </c>
      <c r="D4745" s="59">
        <v>409.3</v>
      </c>
      <c r="E4745" s="59"/>
    </row>
    <row r="4746" spans="3:5" x14ac:dyDescent="0.15">
      <c r="C4746" s="255" t="s">
        <v>879</v>
      </c>
      <c r="D4746" s="59">
        <v>670.9</v>
      </c>
      <c r="E4746" s="59"/>
    </row>
    <row r="4747" spans="3:5" x14ac:dyDescent="0.15">
      <c r="C4747" s="255" t="s">
        <v>880</v>
      </c>
      <c r="D4747" s="59">
        <v>68.099999999999994</v>
      </c>
      <c r="E4747" s="59"/>
    </row>
    <row r="4748" spans="3:5" x14ac:dyDescent="0.15">
      <c r="C4748" s="255" t="s">
        <v>881</v>
      </c>
      <c r="D4748" s="59">
        <v>0</v>
      </c>
      <c r="E4748" s="59"/>
    </row>
    <row r="4749" spans="3:5" x14ac:dyDescent="0.15">
      <c r="C4749" s="255" t="s">
        <v>882</v>
      </c>
      <c r="D4749" s="59">
        <v>183.6</v>
      </c>
      <c r="E4749" s="59"/>
    </row>
    <row r="4750" spans="3:5" x14ac:dyDescent="0.15">
      <c r="C4750" s="255" t="s">
        <v>883</v>
      </c>
      <c r="D4750" s="59">
        <v>193.3</v>
      </c>
      <c r="E4750" s="59"/>
    </row>
    <row r="4751" spans="3:5" x14ac:dyDescent="0.15">
      <c r="C4751" s="255" t="s">
        <v>884</v>
      </c>
      <c r="D4751" s="59">
        <v>437</v>
      </c>
      <c r="E4751" s="59"/>
    </row>
    <row r="4752" spans="3:5" x14ac:dyDescent="0.15">
      <c r="C4752" s="255" t="s">
        <v>885</v>
      </c>
      <c r="D4752" s="59">
        <v>167.3</v>
      </c>
      <c r="E4752" s="59"/>
    </row>
    <row r="4753" spans="3:5" x14ac:dyDescent="0.15">
      <c r="C4753" s="255" t="s">
        <v>886</v>
      </c>
      <c r="D4753" s="59">
        <v>157.6</v>
      </c>
      <c r="E4753" s="59"/>
    </row>
    <row r="4754" spans="3:5" x14ac:dyDescent="0.15">
      <c r="C4754" s="255" t="s">
        <v>887</v>
      </c>
      <c r="D4754" s="59">
        <v>263.10000000000002</v>
      </c>
      <c r="E4754" s="59"/>
    </row>
    <row r="4755" spans="3:5" x14ac:dyDescent="0.15">
      <c r="C4755" s="255" t="s">
        <v>888</v>
      </c>
      <c r="D4755" s="59">
        <v>0.9</v>
      </c>
      <c r="E4755" s="59"/>
    </row>
    <row r="4756" spans="3:5" x14ac:dyDescent="0.15">
      <c r="C4756" s="255" t="s">
        <v>889</v>
      </c>
      <c r="D4756" s="59">
        <v>180.8</v>
      </c>
      <c r="E4756" s="59"/>
    </row>
    <row r="4757" spans="3:5" x14ac:dyDescent="0.15">
      <c r="C4757" s="255" t="s">
        <v>890</v>
      </c>
      <c r="D4757" s="59">
        <v>67.8</v>
      </c>
      <c r="E4757" s="59"/>
    </row>
    <row r="4758" spans="3:5" x14ac:dyDescent="0.15">
      <c r="C4758" s="255" t="s">
        <v>891</v>
      </c>
      <c r="D4758" s="59">
        <v>14.6</v>
      </c>
      <c r="E4758" s="59"/>
    </row>
    <row r="4759" spans="3:5" x14ac:dyDescent="0.15">
      <c r="C4759" s="255" t="s">
        <v>892</v>
      </c>
      <c r="D4759" s="59">
        <v>17.5</v>
      </c>
      <c r="E4759" s="59"/>
    </row>
    <row r="4760" spans="3:5" x14ac:dyDescent="0.15">
      <c r="C4760" s="255" t="s">
        <v>893</v>
      </c>
      <c r="D4760" s="59">
        <v>179.3</v>
      </c>
      <c r="E4760" s="59"/>
    </row>
    <row r="4761" spans="3:5" x14ac:dyDescent="0.15">
      <c r="C4761" s="255" t="s">
        <v>894</v>
      </c>
      <c r="D4761" s="59">
        <v>0</v>
      </c>
      <c r="E4761" s="59"/>
    </row>
    <row r="4762" spans="3:5" x14ac:dyDescent="0.15">
      <c r="C4762" s="255" t="s">
        <v>895</v>
      </c>
      <c r="D4762" s="59">
        <v>215.6</v>
      </c>
      <c r="E4762" s="59"/>
    </row>
    <row r="4763" spans="3:5" x14ac:dyDescent="0.15">
      <c r="C4763" s="255" t="s">
        <v>896</v>
      </c>
      <c r="D4763" s="59">
        <v>34.299999999999997</v>
      </c>
      <c r="E4763" s="59"/>
    </row>
    <row r="4764" spans="3:5" x14ac:dyDescent="0.15">
      <c r="C4764" s="255" t="s">
        <v>897</v>
      </c>
      <c r="D4764" s="59">
        <v>698.7</v>
      </c>
      <c r="E4764" s="59"/>
    </row>
    <row r="4765" spans="3:5" x14ac:dyDescent="0.15">
      <c r="C4765" s="255" t="s">
        <v>898</v>
      </c>
      <c r="D4765" s="59">
        <v>294.2</v>
      </c>
      <c r="E4765" s="59"/>
    </row>
    <row r="4766" spans="3:5" x14ac:dyDescent="0.15">
      <c r="C4766" s="255" t="s">
        <v>899</v>
      </c>
      <c r="D4766" s="59">
        <v>20.100000000000001</v>
      </c>
      <c r="E4766" s="59"/>
    </row>
    <row r="4767" spans="3:5" x14ac:dyDescent="0.15">
      <c r="C4767" s="255" t="s">
        <v>900</v>
      </c>
      <c r="D4767" s="59">
        <v>268.2</v>
      </c>
      <c r="E4767" s="59"/>
    </row>
    <row r="4768" spans="3:5" x14ac:dyDescent="0.15">
      <c r="C4768" s="255" t="s">
        <v>901</v>
      </c>
      <c r="D4768" s="59">
        <v>571.5</v>
      </c>
      <c r="E4768" s="59"/>
    </row>
    <row r="4769" spans="3:5" x14ac:dyDescent="0.15">
      <c r="C4769" s="255" t="s">
        <v>902</v>
      </c>
      <c r="D4769" s="59">
        <v>34.799999999999997</v>
      </c>
      <c r="E4769" s="59"/>
    </row>
    <row r="4770" spans="3:5" x14ac:dyDescent="0.15">
      <c r="C4770" s="255" t="s">
        <v>903</v>
      </c>
      <c r="D4770" s="59">
        <v>787</v>
      </c>
      <c r="E4770" s="59"/>
    </row>
    <row r="4771" spans="3:5" x14ac:dyDescent="0.15">
      <c r="C4771" s="255" t="s">
        <v>904</v>
      </c>
      <c r="D4771" s="59">
        <v>772.6</v>
      </c>
      <c r="E4771" s="59"/>
    </row>
    <row r="4772" spans="3:5" x14ac:dyDescent="0.15">
      <c r="C4772" s="255" t="s">
        <v>905</v>
      </c>
      <c r="D4772" s="59">
        <v>388.3</v>
      </c>
      <c r="E4772" s="59"/>
    </row>
    <row r="4773" spans="3:5" x14ac:dyDescent="0.15">
      <c r="C4773" s="255" t="s">
        <v>906</v>
      </c>
      <c r="D4773" s="59">
        <v>34.200000000000003</v>
      </c>
      <c r="E4773" s="59"/>
    </row>
    <row r="4774" spans="3:5" x14ac:dyDescent="0.15">
      <c r="C4774" s="255" t="s">
        <v>907</v>
      </c>
      <c r="D4774" s="59">
        <v>640.6</v>
      </c>
      <c r="E4774" s="59"/>
    </row>
    <row r="4775" spans="3:5" x14ac:dyDescent="0.15">
      <c r="C4775" s="255" t="s">
        <v>908</v>
      </c>
      <c r="D4775" s="59">
        <v>10597.7</v>
      </c>
      <c r="E4775" s="59"/>
    </row>
    <row r="4776" spans="3:5" x14ac:dyDescent="0.15">
      <c r="C4776" s="255" t="s">
        <v>909</v>
      </c>
      <c r="D4776" s="59">
        <v>3084.8</v>
      </c>
      <c r="E4776" s="59"/>
    </row>
    <row r="4777" spans="3:5" x14ac:dyDescent="0.15">
      <c r="C4777" s="255" t="s">
        <v>910</v>
      </c>
      <c r="D4777" s="59">
        <v>4.3</v>
      </c>
      <c r="E4777" s="59"/>
    </row>
    <row r="4778" spans="3:5" x14ac:dyDescent="0.15">
      <c r="C4778" s="255" t="s">
        <v>911</v>
      </c>
      <c r="D4778" s="59">
        <v>511.5</v>
      </c>
      <c r="E4778" s="59"/>
    </row>
    <row r="4779" spans="3:5" x14ac:dyDescent="0.15">
      <c r="C4779" s="255" t="s">
        <v>912</v>
      </c>
      <c r="D4779" s="59">
        <v>2345.1999999999998</v>
      </c>
      <c r="E4779" s="59"/>
    </row>
    <row r="4780" spans="3:5" x14ac:dyDescent="0.15">
      <c r="C4780" s="255" t="s">
        <v>913</v>
      </c>
      <c r="D4780" s="59">
        <v>0</v>
      </c>
      <c r="E4780" s="59"/>
    </row>
    <row r="4781" spans="3:5" x14ac:dyDescent="0.15">
      <c r="C4781" s="255" t="s">
        <v>914</v>
      </c>
      <c r="D4781" s="59">
        <v>3</v>
      </c>
      <c r="E4781" s="59"/>
    </row>
    <row r="4782" spans="3:5" x14ac:dyDescent="0.15">
      <c r="C4782" s="255" t="s">
        <v>915</v>
      </c>
      <c r="D4782" s="59">
        <v>38.4</v>
      </c>
      <c r="E4782" s="59"/>
    </row>
    <row r="4783" spans="3:5" x14ac:dyDescent="0.15">
      <c r="C4783" s="255" t="s">
        <v>916</v>
      </c>
      <c r="D4783" s="59">
        <v>227</v>
      </c>
      <c r="E4783" s="59"/>
    </row>
    <row r="4784" spans="3:5" x14ac:dyDescent="0.15">
      <c r="C4784" s="255" t="s">
        <v>917</v>
      </c>
      <c r="D4784" s="59">
        <v>10.9</v>
      </c>
      <c r="E4784" s="59"/>
    </row>
    <row r="4785" spans="3:5" x14ac:dyDescent="0.15">
      <c r="C4785" s="255" t="s">
        <v>918</v>
      </c>
      <c r="D4785" s="59">
        <v>3123</v>
      </c>
      <c r="E4785" s="59"/>
    </row>
    <row r="4786" spans="3:5" x14ac:dyDescent="0.15">
      <c r="C4786" s="255" t="s">
        <v>919</v>
      </c>
      <c r="D4786" s="59">
        <v>1.6</v>
      </c>
      <c r="E4786" s="59"/>
    </row>
    <row r="4787" spans="3:5" x14ac:dyDescent="0.15">
      <c r="C4787" s="255" t="s">
        <v>920</v>
      </c>
      <c r="D4787" s="59">
        <v>1248</v>
      </c>
      <c r="E4787" s="59"/>
    </row>
    <row r="4788" spans="3:5" x14ac:dyDescent="0.15">
      <c r="C4788" s="255" t="s">
        <v>921</v>
      </c>
      <c r="D4788" s="59">
        <v>0</v>
      </c>
      <c r="E4788" s="59"/>
    </row>
    <row r="4789" spans="3:5" x14ac:dyDescent="0.15">
      <c r="C4789" s="255" t="s">
        <v>922</v>
      </c>
      <c r="D4789" s="59">
        <v>23278.799999999999</v>
      </c>
      <c r="E4789" s="59"/>
    </row>
    <row r="4790" spans="3:5" x14ac:dyDescent="0.15">
      <c r="C4790" s="255" t="s">
        <v>923</v>
      </c>
      <c r="D4790" s="59">
        <v>8119.1</v>
      </c>
      <c r="E4790" s="59"/>
    </row>
    <row r="4791" spans="3:5" x14ac:dyDescent="0.15">
      <c r="C4791" s="255" t="s">
        <v>924</v>
      </c>
      <c r="D4791" s="59">
        <v>313.3</v>
      </c>
      <c r="E4791" s="59"/>
    </row>
    <row r="4792" spans="3:5" x14ac:dyDescent="0.15">
      <c r="C4792" s="255" t="s">
        <v>925</v>
      </c>
      <c r="D4792" s="59">
        <v>289.8</v>
      </c>
      <c r="E4792" s="59"/>
    </row>
    <row r="4793" spans="3:5" x14ac:dyDescent="0.15">
      <c r="C4793" s="255" t="s">
        <v>926</v>
      </c>
      <c r="D4793" s="59">
        <v>349.3</v>
      </c>
      <c r="E4793" s="59"/>
    </row>
    <row r="4794" spans="3:5" x14ac:dyDescent="0.15">
      <c r="C4794" s="255" t="s">
        <v>927</v>
      </c>
      <c r="D4794" s="59">
        <v>461.3</v>
      </c>
      <c r="E4794" s="59"/>
    </row>
    <row r="4795" spans="3:5" x14ac:dyDescent="0.15">
      <c r="C4795" s="255" t="s">
        <v>928</v>
      </c>
      <c r="D4795" s="59">
        <v>399.6</v>
      </c>
      <c r="E4795" s="59"/>
    </row>
    <row r="4796" spans="3:5" x14ac:dyDescent="0.15">
      <c r="C4796" s="255" t="s">
        <v>929</v>
      </c>
      <c r="D4796" s="59">
        <v>110.1</v>
      </c>
      <c r="E4796" s="59"/>
    </row>
    <row r="4797" spans="3:5" x14ac:dyDescent="0.15">
      <c r="C4797" s="255" t="s">
        <v>930</v>
      </c>
      <c r="D4797" s="59">
        <v>685.6</v>
      </c>
      <c r="E4797" s="59"/>
    </row>
    <row r="4798" spans="3:5" x14ac:dyDescent="0.15">
      <c r="C4798" s="255" t="s">
        <v>931</v>
      </c>
      <c r="D4798" s="59">
        <v>3677.4</v>
      </c>
      <c r="E4798" s="59"/>
    </row>
    <row r="4799" spans="3:5" x14ac:dyDescent="0.15">
      <c r="C4799" s="255" t="s">
        <v>932</v>
      </c>
      <c r="D4799" s="59">
        <v>0</v>
      </c>
      <c r="E4799" s="59"/>
    </row>
    <row r="4800" spans="3:5" x14ac:dyDescent="0.15">
      <c r="C4800" s="255" t="s">
        <v>933</v>
      </c>
      <c r="D4800" s="59">
        <v>16.8</v>
      </c>
      <c r="E4800" s="59"/>
    </row>
    <row r="4801" spans="3:5" x14ac:dyDescent="0.15">
      <c r="C4801" s="255" t="s">
        <v>934</v>
      </c>
      <c r="D4801" s="59">
        <v>3400</v>
      </c>
      <c r="E4801" s="59"/>
    </row>
    <row r="4802" spans="3:5" x14ac:dyDescent="0.15">
      <c r="C4802" s="255" t="s">
        <v>935</v>
      </c>
      <c r="D4802" s="59">
        <v>352.5</v>
      </c>
      <c r="E4802" s="59"/>
    </row>
    <row r="4803" spans="3:5" x14ac:dyDescent="0.15">
      <c r="C4803" s="255" t="s">
        <v>936</v>
      </c>
      <c r="D4803" s="59">
        <v>2378.1999999999998</v>
      </c>
      <c r="E4803" s="59"/>
    </row>
    <row r="4804" spans="3:5" x14ac:dyDescent="0.15">
      <c r="C4804" s="255" t="s">
        <v>937</v>
      </c>
      <c r="D4804" s="59">
        <v>167.3</v>
      </c>
      <c r="E4804" s="59"/>
    </row>
    <row r="4805" spans="3:5" x14ac:dyDescent="0.15">
      <c r="C4805" s="255" t="s">
        <v>938</v>
      </c>
      <c r="D4805" s="59">
        <v>197.5</v>
      </c>
      <c r="E4805" s="59"/>
    </row>
    <row r="4806" spans="3:5" x14ac:dyDescent="0.15">
      <c r="C4806" s="255" t="s">
        <v>939</v>
      </c>
      <c r="D4806" s="59">
        <v>0</v>
      </c>
      <c r="E4806" s="59"/>
    </row>
    <row r="4807" spans="3:5" x14ac:dyDescent="0.15">
      <c r="C4807" s="255" t="s">
        <v>940</v>
      </c>
      <c r="D4807" s="59">
        <v>117.3</v>
      </c>
      <c r="E4807" s="59"/>
    </row>
    <row r="4808" spans="3:5" x14ac:dyDescent="0.15">
      <c r="C4808" s="255" t="s">
        <v>941</v>
      </c>
      <c r="D4808" s="59">
        <v>227.3</v>
      </c>
      <c r="E4808" s="59"/>
    </row>
    <row r="4809" spans="3:5" x14ac:dyDescent="0.15">
      <c r="C4809" s="255" t="s">
        <v>942</v>
      </c>
      <c r="D4809" s="59">
        <v>0</v>
      </c>
      <c r="E4809" s="59"/>
    </row>
    <row r="4810" spans="3:5" x14ac:dyDescent="0.15">
      <c r="C4810" s="255" t="s">
        <v>943</v>
      </c>
      <c r="D4810" s="59">
        <v>715.5</v>
      </c>
      <c r="E4810" s="59"/>
    </row>
    <row r="4811" spans="3:5" x14ac:dyDescent="0.15">
      <c r="C4811" s="255" t="s">
        <v>944</v>
      </c>
      <c r="D4811" s="59">
        <v>379.3</v>
      </c>
      <c r="E4811" s="59"/>
    </row>
    <row r="4812" spans="3:5" x14ac:dyDescent="0.15">
      <c r="C4812" s="255" t="s">
        <v>945</v>
      </c>
      <c r="D4812" s="59">
        <v>828.4</v>
      </c>
      <c r="E4812" s="59"/>
    </row>
    <row r="4813" spans="3:5" x14ac:dyDescent="0.15">
      <c r="C4813" s="255" t="s">
        <v>946</v>
      </c>
      <c r="D4813" s="59">
        <v>68.5</v>
      </c>
      <c r="E4813" s="59"/>
    </row>
    <row r="4814" spans="3:5" x14ac:dyDescent="0.15">
      <c r="C4814" s="255" t="s">
        <v>947</v>
      </c>
      <c r="D4814" s="59">
        <v>24.5</v>
      </c>
      <c r="E4814" s="59"/>
    </row>
    <row r="4815" spans="3:5" x14ac:dyDescent="0.15">
      <c r="C4815" s="255" t="s">
        <v>948</v>
      </c>
      <c r="D4815" s="59">
        <v>6383</v>
      </c>
      <c r="E4815" s="59"/>
    </row>
    <row r="4816" spans="3:5" x14ac:dyDescent="0.15">
      <c r="C4816" s="255" t="s">
        <v>949</v>
      </c>
      <c r="D4816" s="59">
        <v>196.2</v>
      </c>
      <c r="E4816" s="59"/>
    </row>
    <row r="4817" spans="3:5" x14ac:dyDescent="0.15">
      <c r="C4817" s="255" t="s">
        <v>950</v>
      </c>
      <c r="D4817" s="59">
        <v>0.1</v>
      </c>
      <c r="E4817" s="59"/>
    </row>
    <row r="4818" spans="3:5" x14ac:dyDescent="0.15">
      <c r="C4818" s="255" t="s">
        <v>951</v>
      </c>
      <c r="D4818" s="59">
        <v>421.8</v>
      </c>
      <c r="E4818" s="59"/>
    </row>
    <row r="4819" spans="3:5" x14ac:dyDescent="0.15">
      <c r="C4819" s="255" t="s">
        <v>952</v>
      </c>
      <c r="D4819" s="59">
        <v>0</v>
      </c>
      <c r="E4819" s="59"/>
    </row>
    <row r="4820" spans="3:5" x14ac:dyDescent="0.15">
      <c r="C4820" s="255" t="s">
        <v>953</v>
      </c>
      <c r="D4820" s="59">
        <v>555</v>
      </c>
      <c r="E4820" s="59"/>
    </row>
    <row r="4821" spans="3:5" x14ac:dyDescent="0.15">
      <c r="C4821" s="255" t="s">
        <v>954</v>
      </c>
      <c r="D4821" s="59">
        <v>1488.4</v>
      </c>
      <c r="E4821" s="59"/>
    </row>
    <row r="4822" spans="3:5" x14ac:dyDescent="0.15">
      <c r="C4822" s="255" t="s">
        <v>955</v>
      </c>
      <c r="D4822" s="59">
        <v>1301.2</v>
      </c>
      <c r="E4822" s="59"/>
    </row>
    <row r="4823" spans="3:5" x14ac:dyDescent="0.15">
      <c r="C4823" s="255" t="s">
        <v>956</v>
      </c>
      <c r="D4823" s="59">
        <v>2420.1999999999998</v>
      </c>
      <c r="E4823" s="59"/>
    </row>
    <row r="4824" spans="3:5" x14ac:dyDescent="0.15">
      <c r="C4824" s="255" t="s">
        <v>957</v>
      </c>
      <c r="D4824" s="59">
        <v>23440.7</v>
      </c>
      <c r="E4824" s="59"/>
    </row>
    <row r="4825" spans="3:5" x14ac:dyDescent="0.15">
      <c r="C4825" s="255" t="s">
        <v>958</v>
      </c>
      <c r="D4825" s="59">
        <v>180.3</v>
      </c>
      <c r="E4825" s="59"/>
    </row>
    <row r="4826" spans="3:5" x14ac:dyDescent="0.15">
      <c r="C4826" s="255" t="s">
        <v>959</v>
      </c>
      <c r="D4826" s="59">
        <v>647.9</v>
      </c>
      <c r="E4826" s="59"/>
    </row>
    <row r="4827" spans="3:5" x14ac:dyDescent="0.15">
      <c r="C4827" s="255" t="s">
        <v>960</v>
      </c>
      <c r="D4827" s="59">
        <v>18.399999999999999</v>
      </c>
      <c r="E4827" s="59"/>
    </row>
    <row r="4828" spans="3:5" x14ac:dyDescent="0.15">
      <c r="C4828" s="255" t="s">
        <v>961</v>
      </c>
      <c r="D4828" s="59">
        <v>128.5</v>
      </c>
      <c r="E4828" s="59"/>
    </row>
    <row r="4829" spans="3:5" x14ac:dyDescent="0.15">
      <c r="C4829" s="255" t="s">
        <v>962</v>
      </c>
      <c r="D4829" s="59">
        <v>0</v>
      </c>
      <c r="E4829" s="59"/>
    </row>
    <row r="4830" spans="3:5" x14ac:dyDescent="0.15">
      <c r="C4830" s="255" t="s">
        <v>963</v>
      </c>
      <c r="D4830" s="59">
        <v>311.8</v>
      </c>
      <c r="E4830" s="59"/>
    </row>
    <row r="4831" spans="3:5" x14ac:dyDescent="0.15">
      <c r="C4831" s="255" t="s">
        <v>964</v>
      </c>
      <c r="D4831" s="59">
        <v>413.5</v>
      </c>
      <c r="E4831" s="59"/>
    </row>
    <row r="4832" spans="3:5" x14ac:dyDescent="0.15">
      <c r="C4832" s="255" t="s">
        <v>965</v>
      </c>
      <c r="D4832" s="59">
        <v>75.5</v>
      </c>
      <c r="E4832" s="59"/>
    </row>
    <row r="4833" spans="3:5" x14ac:dyDescent="0.15">
      <c r="C4833" s="255" t="s">
        <v>966</v>
      </c>
      <c r="D4833" s="59">
        <v>4.5</v>
      </c>
      <c r="E4833" s="59"/>
    </row>
    <row r="4834" spans="3:5" x14ac:dyDescent="0.15">
      <c r="C4834" s="255" t="s">
        <v>967</v>
      </c>
      <c r="D4834" s="59">
        <v>59.6</v>
      </c>
      <c r="E4834" s="59"/>
    </row>
    <row r="4835" spans="3:5" x14ac:dyDescent="0.15">
      <c r="C4835" s="255" t="s">
        <v>968</v>
      </c>
      <c r="D4835" s="59">
        <v>0</v>
      </c>
      <c r="E4835" s="59"/>
    </row>
    <row r="4836" spans="3:5" x14ac:dyDescent="0.15">
      <c r="C4836" s="255" t="s">
        <v>969</v>
      </c>
      <c r="D4836" s="59">
        <v>26</v>
      </c>
      <c r="E4836" s="59"/>
    </row>
    <row r="4837" spans="3:5" x14ac:dyDescent="0.15">
      <c r="C4837" s="255" t="s">
        <v>970</v>
      </c>
      <c r="D4837" s="59">
        <v>373.6</v>
      </c>
      <c r="E4837" s="59"/>
    </row>
    <row r="4838" spans="3:5" x14ac:dyDescent="0.15">
      <c r="C4838" s="255" t="s">
        <v>971</v>
      </c>
      <c r="D4838" s="59">
        <v>319.10000000000002</v>
      </c>
      <c r="E4838" s="59"/>
    </row>
    <row r="4839" spans="3:5" x14ac:dyDescent="0.15">
      <c r="C4839" s="255" t="s">
        <v>972</v>
      </c>
      <c r="D4839" s="59">
        <v>28.6</v>
      </c>
      <c r="E4839" s="59"/>
    </row>
    <row r="4840" spans="3:5" x14ac:dyDescent="0.15">
      <c r="C4840" s="255" t="s">
        <v>973</v>
      </c>
      <c r="D4840" s="59">
        <v>0</v>
      </c>
      <c r="E4840" s="59"/>
    </row>
    <row r="4841" spans="3:5" x14ac:dyDescent="0.15">
      <c r="C4841" s="255" t="s">
        <v>974</v>
      </c>
      <c r="D4841" s="59">
        <v>21.3</v>
      </c>
      <c r="E4841" s="59"/>
    </row>
    <row r="4842" spans="3:5" x14ac:dyDescent="0.15">
      <c r="C4842" s="255" t="s">
        <v>975</v>
      </c>
      <c r="D4842" s="59">
        <v>0</v>
      </c>
      <c r="E4842" s="59"/>
    </row>
    <row r="4843" spans="3:5" x14ac:dyDescent="0.15">
      <c r="C4843" s="255" t="s">
        <v>976</v>
      </c>
      <c r="D4843" s="59">
        <v>63</v>
      </c>
      <c r="E4843" s="59"/>
    </row>
    <row r="4844" spans="3:5" x14ac:dyDescent="0.15">
      <c r="C4844" s="255" t="s">
        <v>977</v>
      </c>
      <c r="D4844" s="59">
        <v>153.9</v>
      </c>
      <c r="E4844" s="59"/>
    </row>
    <row r="4845" spans="3:5" x14ac:dyDescent="0.15">
      <c r="C4845" s="255" t="s">
        <v>978</v>
      </c>
      <c r="D4845" s="59">
        <v>700.1</v>
      </c>
      <c r="E4845" s="59"/>
    </row>
    <row r="4846" spans="3:5" x14ac:dyDescent="0.15">
      <c r="C4846" s="255" t="s">
        <v>979</v>
      </c>
      <c r="D4846" s="59">
        <v>94.1</v>
      </c>
      <c r="E4846" s="59"/>
    </row>
    <row r="4847" spans="3:5" x14ac:dyDescent="0.15">
      <c r="C4847" s="255" t="s">
        <v>980</v>
      </c>
      <c r="D4847" s="59">
        <v>91.4</v>
      </c>
      <c r="E4847" s="59"/>
    </row>
    <row r="4848" spans="3:5" x14ac:dyDescent="0.15">
      <c r="C4848" s="255" t="s">
        <v>981</v>
      </c>
      <c r="D4848" s="59">
        <v>0</v>
      </c>
      <c r="E4848" s="59"/>
    </row>
    <row r="4849" spans="3:5" x14ac:dyDescent="0.15">
      <c r="C4849" s="255" t="s">
        <v>982</v>
      </c>
      <c r="D4849" s="59">
        <v>375.7</v>
      </c>
      <c r="E4849" s="59"/>
    </row>
    <row r="4850" spans="3:5" x14ac:dyDescent="0.15">
      <c r="C4850" s="255" t="s">
        <v>983</v>
      </c>
      <c r="D4850" s="59">
        <v>2061.3000000000002</v>
      </c>
      <c r="E4850" s="59"/>
    </row>
    <row r="4851" spans="3:5" x14ac:dyDescent="0.15">
      <c r="C4851" s="255" t="s">
        <v>984</v>
      </c>
      <c r="D4851" s="59">
        <v>0</v>
      </c>
      <c r="E4851" s="59"/>
    </row>
    <row r="4852" spans="3:5" x14ac:dyDescent="0.15">
      <c r="C4852" s="255" t="s">
        <v>985</v>
      </c>
      <c r="D4852" s="59">
        <v>572.20000000000005</v>
      </c>
      <c r="E4852" s="59"/>
    </row>
    <row r="4853" spans="3:5" x14ac:dyDescent="0.15">
      <c r="C4853" s="255" t="s">
        <v>986</v>
      </c>
      <c r="D4853" s="59">
        <v>433.7</v>
      </c>
      <c r="E4853" s="59"/>
    </row>
    <row r="4854" spans="3:5" x14ac:dyDescent="0.15">
      <c r="C4854" s="255" t="s">
        <v>987</v>
      </c>
      <c r="D4854" s="59">
        <v>73.8</v>
      </c>
      <c r="E4854" s="59"/>
    </row>
    <row r="4855" spans="3:5" x14ac:dyDescent="0.15">
      <c r="C4855" s="255" t="s">
        <v>988</v>
      </c>
      <c r="D4855" s="59">
        <v>598.5</v>
      </c>
      <c r="E4855" s="59"/>
    </row>
    <row r="4856" spans="3:5" x14ac:dyDescent="0.15">
      <c r="C4856" s="255" t="s">
        <v>989</v>
      </c>
      <c r="D4856" s="59">
        <v>1092.5</v>
      </c>
      <c r="E4856" s="59"/>
    </row>
    <row r="4857" spans="3:5" x14ac:dyDescent="0.15">
      <c r="C4857" s="255" t="s">
        <v>990</v>
      </c>
      <c r="D4857" s="59">
        <v>294.60000000000002</v>
      </c>
      <c r="E4857" s="59"/>
    </row>
    <row r="4858" spans="3:5" x14ac:dyDescent="0.15">
      <c r="C4858" s="255" t="s">
        <v>991</v>
      </c>
      <c r="D4858" s="59">
        <v>4886.7</v>
      </c>
      <c r="E4858" s="59"/>
    </row>
    <row r="4859" spans="3:5" x14ac:dyDescent="0.15">
      <c r="C4859" s="255" t="s">
        <v>992</v>
      </c>
      <c r="D4859" s="59">
        <v>0</v>
      </c>
      <c r="E4859" s="59"/>
    </row>
    <row r="4860" spans="3:5" x14ac:dyDescent="0.15">
      <c r="C4860" s="255" t="s">
        <v>993</v>
      </c>
      <c r="D4860" s="59">
        <v>61.3</v>
      </c>
      <c r="E4860" s="59"/>
    </row>
    <row r="4861" spans="3:5" x14ac:dyDescent="0.15">
      <c r="C4861" s="255" t="s">
        <v>994</v>
      </c>
      <c r="D4861" s="59">
        <v>0</v>
      </c>
      <c r="E4861" s="59"/>
    </row>
    <row r="4862" spans="3:5" x14ac:dyDescent="0.15">
      <c r="C4862" s="255" t="s">
        <v>995</v>
      </c>
      <c r="D4862" s="59">
        <v>1135.7</v>
      </c>
      <c r="E4862" s="59"/>
    </row>
    <row r="4863" spans="3:5" x14ac:dyDescent="0.15">
      <c r="C4863" s="255" t="s">
        <v>996</v>
      </c>
      <c r="D4863" s="59">
        <v>284.60000000000002</v>
      </c>
      <c r="E4863" s="59"/>
    </row>
    <row r="4864" spans="3:5" x14ac:dyDescent="0.15">
      <c r="C4864" s="255" t="s">
        <v>997</v>
      </c>
      <c r="D4864" s="59">
        <v>148.30000000000001</v>
      </c>
      <c r="E4864" s="59"/>
    </row>
    <row r="4865" spans="3:5" x14ac:dyDescent="0.15">
      <c r="C4865" s="255" t="s">
        <v>998</v>
      </c>
      <c r="D4865" s="59">
        <v>73</v>
      </c>
      <c r="E4865" s="59"/>
    </row>
    <row r="4866" spans="3:5" x14ac:dyDescent="0.15">
      <c r="C4866" s="255" t="s">
        <v>999</v>
      </c>
      <c r="D4866" s="59">
        <v>0</v>
      </c>
      <c r="E4866" s="59"/>
    </row>
    <row r="4867" spans="3:5" x14ac:dyDescent="0.15">
      <c r="C4867" s="255" t="s">
        <v>1000</v>
      </c>
      <c r="D4867" s="59">
        <v>1801.3</v>
      </c>
      <c r="E4867" s="59"/>
    </row>
    <row r="4868" spans="3:5" x14ac:dyDescent="0.15">
      <c r="C4868" s="255" t="s">
        <v>1001</v>
      </c>
      <c r="D4868" s="59">
        <v>758.8</v>
      </c>
      <c r="E4868" s="59"/>
    </row>
    <row r="4869" spans="3:5" x14ac:dyDescent="0.15">
      <c r="C4869" s="255" t="s">
        <v>1002</v>
      </c>
      <c r="D4869" s="59">
        <v>152.19999999999999</v>
      </c>
      <c r="E4869" s="59"/>
    </row>
    <row r="4870" spans="3:5" x14ac:dyDescent="0.15">
      <c r="C4870" s="255" t="s">
        <v>1003</v>
      </c>
      <c r="D4870" s="59">
        <v>53.9</v>
      </c>
      <c r="E4870" s="59"/>
    </row>
    <row r="4871" spans="3:5" x14ac:dyDescent="0.15">
      <c r="C4871" s="255" t="s">
        <v>1004</v>
      </c>
      <c r="D4871" s="59">
        <v>53.3</v>
      </c>
      <c r="E4871" s="59"/>
    </row>
    <row r="4872" spans="3:5" x14ac:dyDescent="0.15">
      <c r="C4872" s="255" t="s">
        <v>1005</v>
      </c>
      <c r="D4872" s="59">
        <v>144.69999999999999</v>
      </c>
      <c r="E4872" s="59"/>
    </row>
    <row r="4873" spans="3:5" x14ac:dyDescent="0.15">
      <c r="C4873" s="255" t="s">
        <v>1006</v>
      </c>
      <c r="D4873" s="59">
        <v>4672.8999999999996</v>
      </c>
      <c r="E4873" s="59"/>
    </row>
    <row r="4874" spans="3:5" x14ac:dyDescent="0.15">
      <c r="C4874" s="255" t="s">
        <v>1007</v>
      </c>
      <c r="D4874" s="59">
        <v>137.4</v>
      </c>
      <c r="E4874" s="59"/>
    </row>
    <row r="4875" spans="3:5" x14ac:dyDescent="0.15">
      <c r="C4875" s="255" t="s">
        <v>1008</v>
      </c>
      <c r="D4875" s="59">
        <v>12.6</v>
      </c>
      <c r="E4875" s="59"/>
    </row>
    <row r="4876" spans="3:5" x14ac:dyDescent="0.15">
      <c r="C4876" s="255" t="s">
        <v>1009</v>
      </c>
      <c r="D4876" s="59">
        <v>34.200000000000003</v>
      </c>
      <c r="E4876" s="59"/>
    </row>
    <row r="4877" spans="3:5" x14ac:dyDescent="0.15">
      <c r="C4877" s="255" t="s">
        <v>1010</v>
      </c>
      <c r="D4877" s="59">
        <v>29.2</v>
      </c>
      <c r="E4877" s="59"/>
    </row>
    <row r="4878" spans="3:5" x14ac:dyDescent="0.15">
      <c r="C4878" s="255" t="s">
        <v>1011</v>
      </c>
      <c r="D4878" s="59">
        <v>61.4</v>
      </c>
      <c r="E4878" s="59"/>
    </row>
    <row r="4879" spans="3:5" x14ac:dyDescent="0.15">
      <c r="C4879" s="255" t="s">
        <v>1012</v>
      </c>
      <c r="D4879" s="59">
        <v>9008.2000000000007</v>
      </c>
      <c r="E4879" s="59"/>
    </row>
    <row r="4880" spans="3:5" x14ac:dyDescent="0.15">
      <c r="C4880" s="255" t="s">
        <v>1013</v>
      </c>
      <c r="D4880" s="59">
        <v>5495</v>
      </c>
      <c r="E4880" s="59"/>
    </row>
    <row r="4881" spans="3:5" x14ac:dyDescent="0.15">
      <c r="C4881" s="255" t="s">
        <v>1014</v>
      </c>
      <c r="D4881" s="59">
        <v>694.2</v>
      </c>
      <c r="E4881" s="59"/>
    </row>
    <row r="4882" spans="3:5" x14ac:dyDescent="0.15">
      <c r="C4882" s="255" t="s">
        <v>1015</v>
      </c>
      <c r="D4882" s="59">
        <v>346.6</v>
      </c>
      <c r="E4882" s="59"/>
    </row>
    <row r="4883" spans="3:5" x14ac:dyDescent="0.15">
      <c r="C4883" s="255" t="s">
        <v>1016</v>
      </c>
      <c r="D4883" s="59">
        <v>1626.9</v>
      </c>
      <c r="E4883" s="59"/>
    </row>
    <row r="4884" spans="3:5" x14ac:dyDescent="0.15">
      <c r="C4884" s="255" t="s">
        <v>1017</v>
      </c>
      <c r="D4884" s="59">
        <v>845.4</v>
      </c>
      <c r="E4884" s="59"/>
    </row>
    <row r="4885" spans="3:5" x14ac:dyDescent="0.15">
      <c r="C4885" s="255" t="s">
        <v>1018</v>
      </c>
      <c r="D4885" s="59">
        <v>0</v>
      </c>
      <c r="E4885" s="59"/>
    </row>
    <row r="4886" spans="3:5" x14ac:dyDescent="0.15">
      <c r="C4886" s="255" t="s">
        <v>1019</v>
      </c>
      <c r="D4886" s="59">
        <v>19138.2</v>
      </c>
      <c r="E4886" s="59"/>
    </row>
    <row r="4887" spans="3:5" x14ac:dyDescent="0.15">
      <c r="C4887" s="255" t="s">
        <v>1020</v>
      </c>
      <c r="D4887" s="59">
        <v>302.2</v>
      </c>
      <c r="E4887" s="59"/>
    </row>
    <row r="4888" spans="3:5" x14ac:dyDescent="0.15">
      <c r="C4888" s="255" t="s">
        <v>1021</v>
      </c>
      <c r="D4888" s="59">
        <v>1437.1</v>
      </c>
      <c r="E4888" s="59"/>
    </row>
    <row r="4889" spans="3:5" x14ac:dyDescent="0.15">
      <c r="C4889" s="255" t="s">
        <v>1022</v>
      </c>
      <c r="D4889" s="59">
        <v>146.80000000000001</v>
      </c>
      <c r="E4889" s="59"/>
    </row>
    <row r="4890" spans="3:5" x14ac:dyDescent="0.15">
      <c r="C4890" s="255" t="s">
        <v>1023</v>
      </c>
      <c r="D4890" s="59">
        <v>82.3</v>
      </c>
      <c r="E4890" s="59"/>
    </row>
    <row r="4891" spans="3:5" x14ac:dyDescent="0.15">
      <c r="C4891" s="255" t="s">
        <v>1024</v>
      </c>
      <c r="D4891" s="59">
        <v>7.8</v>
      </c>
      <c r="E4891" s="59"/>
    </row>
    <row r="4892" spans="3:5" x14ac:dyDescent="0.15">
      <c r="C4892" s="255" t="s">
        <v>1025</v>
      </c>
      <c r="D4892" s="59">
        <v>157.6</v>
      </c>
      <c r="E4892" s="59"/>
    </row>
    <row r="4893" spans="3:5" x14ac:dyDescent="0.15">
      <c r="C4893" s="255" t="s">
        <v>1026</v>
      </c>
      <c r="D4893" s="59">
        <v>2252.1999999999998</v>
      </c>
      <c r="E4893" s="59"/>
    </row>
    <row r="4894" spans="3:5" x14ac:dyDescent="0.15">
      <c r="C4894" s="255" t="s">
        <v>1027</v>
      </c>
      <c r="D4894" s="59">
        <v>0</v>
      </c>
      <c r="E4894" s="59"/>
    </row>
    <row r="4895" spans="3:5" x14ac:dyDescent="0.15">
      <c r="C4895" s="255" t="s">
        <v>1028</v>
      </c>
      <c r="D4895" s="59">
        <v>496.3</v>
      </c>
      <c r="E4895" s="59"/>
    </row>
    <row r="4896" spans="3:5" x14ac:dyDescent="0.15">
      <c r="C4896" s="255" t="s">
        <v>1029</v>
      </c>
      <c r="D4896" s="59">
        <v>256.3</v>
      </c>
      <c r="E4896" s="59"/>
    </row>
    <row r="4897" spans="3:5" x14ac:dyDescent="0.15">
      <c r="C4897" s="255" t="s">
        <v>1030</v>
      </c>
      <c r="D4897" s="59">
        <v>18.5</v>
      </c>
      <c r="E4897" s="59"/>
    </row>
    <row r="4898" spans="3:5" x14ac:dyDescent="0.15">
      <c r="C4898" s="255" t="s">
        <v>1031</v>
      </c>
      <c r="D4898" s="59">
        <v>609.1</v>
      </c>
      <c r="E4898" s="59"/>
    </row>
    <row r="4899" spans="3:5" x14ac:dyDescent="0.15">
      <c r="C4899" s="255" t="s">
        <v>1032</v>
      </c>
      <c r="D4899" s="59">
        <v>0.7</v>
      </c>
      <c r="E4899" s="59"/>
    </row>
    <row r="4900" spans="3:5" x14ac:dyDescent="0.15">
      <c r="C4900" s="255" t="s">
        <v>1033</v>
      </c>
      <c r="D4900" s="59">
        <v>4.8</v>
      </c>
      <c r="E4900" s="59"/>
    </row>
    <row r="4901" spans="3:5" x14ac:dyDescent="0.15">
      <c r="C4901" s="255" t="s">
        <v>1034</v>
      </c>
      <c r="D4901" s="59">
        <v>87.6</v>
      </c>
      <c r="E4901" s="59"/>
    </row>
    <row r="4902" spans="3:5" x14ac:dyDescent="0.15">
      <c r="C4902" s="255" t="s">
        <v>1035</v>
      </c>
      <c r="D4902" s="59">
        <v>11.8</v>
      </c>
      <c r="E4902" s="59"/>
    </row>
    <row r="4903" spans="3:5" x14ac:dyDescent="0.15">
      <c r="C4903" s="255" t="s">
        <v>1036</v>
      </c>
      <c r="D4903" s="59">
        <v>1010.1</v>
      </c>
      <c r="E4903" s="59"/>
    </row>
    <row r="4904" spans="3:5" x14ac:dyDescent="0.15">
      <c r="C4904" s="255" t="s">
        <v>1037</v>
      </c>
      <c r="D4904" s="59">
        <v>73.900000000000006</v>
      </c>
      <c r="E4904" s="59"/>
    </row>
    <row r="4905" spans="3:5" x14ac:dyDescent="0.15">
      <c r="C4905" s="255" t="s">
        <v>1038</v>
      </c>
      <c r="D4905" s="59">
        <v>4431.7</v>
      </c>
      <c r="E4905" s="59"/>
    </row>
    <row r="4906" spans="3:5" x14ac:dyDescent="0.15">
      <c r="C4906" s="255" t="s">
        <v>1039</v>
      </c>
      <c r="D4906" s="59">
        <v>1353.2</v>
      </c>
      <c r="E4906" s="59"/>
    </row>
    <row r="4907" spans="3:5" x14ac:dyDescent="0.15">
      <c r="C4907" s="255" t="s">
        <v>1040</v>
      </c>
      <c r="D4907" s="59">
        <v>3306.6</v>
      </c>
      <c r="E4907" s="59"/>
    </row>
    <row r="4908" spans="3:5" x14ac:dyDescent="0.15">
      <c r="C4908" s="255" t="s">
        <v>1041</v>
      </c>
      <c r="D4908" s="59">
        <v>280.2</v>
      </c>
      <c r="E4908" s="59"/>
    </row>
    <row r="4909" spans="3:5" x14ac:dyDescent="0.15">
      <c r="C4909" s="255" t="s">
        <v>1042</v>
      </c>
      <c r="D4909" s="59">
        <v>840</v>
      </c>
      <c r="E4909" s="59"/>
    </row>
    <row r="4910" spans="3:5" x14ac:dyDescent="0.15">
      <c r="C4910" s="255" t="s">
        <v>1043</v>
      </c>
      <c r="D4910" s="59">
        <v>835.8</v>
      </c>
      <c r="E4910" s="59"/>
    </row>
    <row r="4911" spans="3:5" x14ac:dyDescent="0.15">
      <c r="C4911" s="255" t="s">
        <v>1044</v>
      </c>
      <c r="D4911" s="59">
        <v>132.30000000000001</v>
      </c>
      <c r="E4911" s="59"/>
    </row>
    <row r="4912" spans="3:5" x14ac:dyDescent="0.15">
      <c r="C4912" s="255" t="s">
        <v>1045</v>
      </c>
      <c r="D4912" s="59">
        <v>52.8</v>
      </c>
      <c r="E4912" s="59"/>
    </row>
    <row r="4913" spans="2:5" x14ac:dyDescent="0.15">
      <c r="C4913" s="255" t="s">
        <v>1046</v>
      </c>
      <c r="D4913" s="59">
        <v>140.1</v>
      </c>
      <c r="E4913" s="59"/>
    </row>
    <row r="4914" spans="2:5" x14ac:dyDescent="0.15">
      <c r="C4914" s="255" t="s">
        <v>1047</v>
      </c>
      <c r="D4914" s="59">
        <v>705.4</v>
      </c>
      <c r="E4914" s="59"/>
    </row>
    <row r="4915" spans="2:5" x14ac:dyDescent="0.15">
      <c r="C4915" s="255" t="s">
        <v>1048</v>
      </c>
      <c r="D4915" s="59">
        <v>105</v>
      </c>
      <c r="E4915" s="59"/>
    </row>
    <row r="4916" spans="2:5" x14ac:dyDescent="0.15">
      <c r="B4916" s="255" t="s">
        <v>1060</v>
      </c>
      <c r="C4916" s="255" t="s">
        <v>743</v>
      </c>
      <c r="D4916" s="59">
        <v>72</v>
      </c>
      <c r="E4916" s="59"/>
    </row>
    <row r="4917" spans="2:5" x14ac:dyDescent="0.15">
      <c r="C4917" s="255" t="s">
        <v>744</v>
      </c>
      <c r="D4917" s="59">
        <v>175.7</v>
      </c>
      <c r="E4917" s="59"/>
    </row>
    <row r="4918" spans="2:5" x14ac:dyDescent="0.15">
      <c r="C4918" s="255" t="s">
        <v>745</v>
      </c>
      <c r="D4918" s="59">
        <v>337.2</v>
      </c>
      <c r="E4918" s="59"/>
    </row>
    <row r="4919" spans="2:5" x14ac:dyDescent="0.15">
      <c r="C4919" s="255" t="s">
        <v>746</v>
      </c>
      <c r="D4919" s="59">
        <v>1.9</v>
      </c>
      <c r="E4919" s="59"/>
    </row>
    <row r="4920" spans="2:5" x14ac:dyDescent="0.15">
      <c r="C4920" s="255" t="s">
        <v>747</v>
      </c>
      <c r="D4920" s="59">
        <v>1.4</v>
      </c>
      <c r="E4920" s="59"/>
    </row>
    <row r="4921" spans="2:5" x14ac:dyDescent="0.15">
      <c r="C4921" s="255" t="s">
        <v>748</v>
      </c>
      <c r="D4921" s="59">
        <v>0.5</v>
      </c>
      <c r="E4921" s="59"/>
    </row>
    <row r="4922" spans="2:5" x14ac:dyDescent="0.15">
      <c r="C4922" s="255" t="s">
        <v>749</v>
      </c>
      <c r="D4922" s="59">
        <v>0.2</v>
      </c>
      <c r="E4922" s="59"/>
    </row>
    <row r="4923" spans="2:5" x14ac:dyDescent="0.15">
      <c r="C4923" s="255" t="s">
        <v>750</v>
      </c>
      <c r="D4923" s="59">
        <v>0.4</v>
      </c>
      <c r="E4923" s="59"/>
    </row>
    <row r="4924" spans="2:5" x14ac:dyDescent="0.15">
      <c r="C4924" s="255" t="s">
        <v>751</v>
      </c>
      <c r="D4924" s="59">
        <v>40.1</v>
      </c>
      <c r="E4924" s="59"/>
    </row>
    <row r="4925" spans="2:5" x14ac:dyDescent="0.15">
      <c r="C4925" s="255" t="s">
        <v>752</v>
      </c>
      <c r="D4925" s="59">
        <v>1.4</v>
      </c>
      <c r="E4925" s="59"/>
    </row>
    <row r="4926" spans="2:5" x14ac:dyDescent="0.15">
      <c r="C4926" s="255" t="s">
        <v>753</v>
      </c>
      <c r="D4926" s="59">
        <v>86.6</v>
      </c>
      <c r="E4926" s="59"/>
    </row>
    <row r="4927" spans="2:5" x14ac:dyDescent="0.15">
      <c r="C4927" s="255" t="s">
        <v>754</v>
      </c>
      <c r="D4927" s="59">
        <v>1956.8</v>
      </c>
      <c r="E4927" s="59"/>
    </row>
    <row r="4928" spans="2:5" x14ac:dyDescent="0.15">
      <c r="C4928" s="255" t="s">
        <v>192</v>
      </c>
      <c r="D4928" s="59">
        <v>231076.4</v>
      </c>
      <c r="E4928" s="59"/>
    </row>
    <row r="4929" spans="3:5" x14ac:dyDescent="0.15">
      <c r="C4929" s="255" t="s">
        <v>755</v>
      </c>
      <c r="D4929" s="59">
        <v>31017.1</v>
      </c>
      <c r="E4929" s="59"/>
    </row>
    <row r="4930" spans="3:5" x14ac:dyDescent="0.15">
      <c r="C4930" s="255" t="s">
        <v>756</v>
      </c>
      <c r="D4930" s="59">
        <v>166.3</v>
      </c>
      <c r="E4930" s="59"/>
    </row>
    <row r="4931" spans="3:5" x14ac:dyDescent="0.15">
      <c r="C4931" s="255" t="s">
        <v>757</v>
      </c>
      <c r="D4931" s="59">
        <v>122.5</v>
      </c>
      <c r="E4931" s="59"/>
    </row>
    <row r="4932" spans="3:5" x14ac:dyDescent="0.15">
      <c r="C4932" s="255" t="s">
        <v>758</v>
      </c>
      <c r="D4932" s="59">
        <v>1619.5</v>
      </c>
      <c r="E4932" s="59"/>
    </row>
    <row r="4933" spans="3:5" x14ac:dyDescent="0.15">
      <c r="C4933" s="255" t="s">
        <v>759</v>
      </c>
      <c r="D4933" s="59">
        <v>1123.4000000000001</v>
      </c>
      <c r="E4933" s="59"/>
    </row>
    <row r="4934" spans="3:5" x14ac:dyDescent="0.15">
      <c r="C4934" s="255" t="s">
        <v>760</v>
      </c>
      <c r="D4934" s="59">
        <v>251.9</v>
      </c>
      <c r="E4934" s="59"/>
    </row>
    <row r="4935" spans="3:5" x14ac:dyDescent="0.15">
      <c r="C4935" s="255" t="s">
        <v>761</v>
      </c>
      <c r="D4935" s="59">
        <v>311.2</v>
      </c>
      <c r="E4935" s="59"/>
    </row>
    <row r="4936" spans="3:5" x14ac:dyDescent="0.15">
      <c r="C4936" s="255" t="s">
        <v>762</v>
      </c>
      <c r="D4936" s="59">
        <v>226.2</v>
      </c>
      <c r="E4936" s="59"/>
    </row>
    <row r="4937" spans="3:5" x14ac:dyDescent="0.15">
      <c r="C4937" s="255" t="s">
        <v>763</v>
      </c>
      <c r="D4937" s="59">
        <v>156.30000000000001</v>
      </c>
      <c r="E4937" s="59"/>
    </row>
    <row r="4938" spans="3:5" x14ac:dyDescent="0.15">
      <c r="C4938" s="255" t="s">
        <v>764</v>
      </c>
      <c r="D4938" s="59">
        <v>2175.3000000000002</v>
      </c>
      <c r="E4938" s="59"/>
    </row>
    <row r="4939" spans="3:5" x14ac:dyDescent="0.15">
      <c r="C4939" s="255" t="s">
        <v>765</v>
      </c>
      <c r="D4939" s="59">
        <v>667.6</v>
      </c>
      <c r="E4939" s="59"/>
    </row>
    <row r="4940" spans="3:5" x14ac:dyDescent="0.15">
      <c r="C4940" s="255" t="s">
        <v>766</v>
      </c>
      <c r="D4940" s="59">
        <v>342.8</v>
      </c>
      <c r="E4940" s="59"/>
    </row>
    <row r="4941" spans="3:5" x14ac:dyDescent="0.15">
      <c r="C4941" s="255" t="s">
        <v>767</v>
      </c>
      <c r="D4941" s="59">
        <v>1520.1</v>
      </c>
      <c r="E4941" s="59"/>
    </row>
    <row r="4942" spans="3:5" x14ac:dyDescent="0.15">
      <c r="C4942" s="255" t="s">
        <v>768</v>
      </c>
      <c r="D4942" s="59">
        <v>51.2</v>
      </c>
      <c r="E4942" s="59"/>
    </row>
    <row r="4943" spans="3:5" x14ac:dyDescent="0.15">
      <c r="C4943" s="255" t="s">
        <v>769</v>
      </c>
      <c r="D4943" s="59">
        <v>13.4</v>
      </c>
      <c r="E4943" s="59"/>
    </row>
    <row r="4944" spans="3:5" x14ac:dyDescent="0.15">
      <c r="C4944" s="255" t="s">
        <v>770</v>
      </c>
      <c r="D4944" s="59">
        <v>1159.5</v>
      </c>
      <c r="E4944" s="59"/>
    </row>
    <row r="4945" spans="3:5" x14ac:dyDescent="0.15">
      <c r="C4945" s="255" t="s">
        <v>771</v>
      </c>
      <c r="D4945" s="59">
        <v>1361.5</v>
      </c>
      <c r="E4945" s="59"/>
    </row>
    <row r="4946" spans="3:5" x14ac:dyDescent="0.15">
      <c r="C4946" s="255" t="s">
        <v>772</v>
      </c>
      <c r="D4946" s="59">
        <v>609.29999999999995</v>
      </c>
      <c r="E4946" s="59"/>
    </row>
    <row r="4947" spans="3:5" x14ac:dyDescent="0.15">
      <c r="C4947" s="255" t="s">
        <v>773</v>
      </c>
      <c r="D4947" s="59">
        <v>248.6</v>
      </c>
      <c r="E4947" s="59"/>
    </row>
    <row r="4948" spans="3:5" x14ac:dyDescent="0.15">
      <c r="C4948" s="255" t="s">
        <v>774</v>
      </c>
      <c r="D4948" s="59">
        <v>22.4</v>
      </c>
      <c r="E4948" s="59"/>
    </row>
    <row r="4949" spans="3:5" x14ac:dyDescent="0.15">
      <c r="C4949" s="255" t="s">
        <v>775</v>
      </c>
      <c r="D4949" s="59">
        <v>80.900000000000006</v>
      </c>
      <c r="E4949" s="59"/>
    </row>
    <row r="4950" spans="3:5" x14ac:dyDescent="0.15">
      <c r="C4950" s="255" t="s">
        <v>776</v>
      </c>
      <c r="D4950" s="59">
        <v>284.5</v>
      </c>
      <c r="E4950" s="59"/>
    </row>
    <row r="4951" spans="3:5" x14ac:dyDescent="0.15">
      <c r="C4951" s="255" t="s">
        <v>777</v>
      </c>
      <c r="D4951" s="59">
        <v>518.29999999999995</v>
      </c>
      <c r="E4951" s="59"/>
    </row>
    <row r="4952" spans="3:5" x14ac:dyDescent="0.15">
      <c r="C4952" s="255" t="s">
        <v>778</v>
      </c>
      <c r="D4952" s="59">
        <v>378.2</v>
      </c>
      <c r="E4952" s="59"/>
    </row>
    <row r="4953" spans="3:5" x14ac:dyDescent="0.15">
      <c r="C4953" s="255" t="s">
        <v>779</v>
      </c>
      <c r="D4953" s="59">
        <v>479.1</v>
      </c>
      <c r="E4953" s="59"/>
    </row>
    <row r="4954" spans="3:5" x14ac:dyDescent="0.15">
      <c r="C4954" s="255" t="s">
        <v>780</v>
      </c>
      <c r="D4954" s="59">
        <v>14.6</v>
      </c>
      <c r="E4954" s="59"/>
    </row>
    <row r="4955" spans="3:5" x14ac:dyDescent="0.15">
      <c r="C4955" s="255" t="s">
        <v>781</v>
      </c>
      <c r="D4955" s="59">
        <v>516.6</v>
      </c>
      <c r="E4955" s="59"/>
    </row>
    <row r="4956" spans="3:5" x14ac:dyDescent="0.15">
      <c r="C4956" s="255" t="s">
        <v>782</v>
      </c>
      <c r="D4956" s="59">
        <v>1566.5</v>
      </c>
      <c r="E4956" s="59"/>
    </row>
    <row r="4957" spans="3:5" x14ac:dyDescent="0.15">
      <c r="C4957" s="255" t="s">
        <v>783</v>
      </c>
      <c r="D4957" s="59">
        <v>586.4</v>
      </c>
      <c r="E4957" s="59"/>
    </row>
    <row r="4958" spans="3:5" x14ac:dyDescent="0.15">
      <c r="C4958" s="255" t="s">
        <v>784</v>
      </c>
      <c r="D4958" s="59">
        <v>448.9</v>
      </c>
      <c r="E4958" s="59"/>
    </row>
    <row r="4959" spans="3:5" x14ac:dyDescent="0.15">
      <c r="C4959" s="255" t="s">
        <v>785</v>
      </c>
      <c r="D4959" s="59">
        <v>612.1</v>
      </c>
      <c r="E4959" s="59"/>
    </row>
    <row r="4960" spans="3:5" x14ac:dyDescent="0.15">
      <c r="C4960" s="255" t="s">
        <v>786</v>
      </c>
      <c r="D4960" s="59">
        <v>214.1</v>
      </c>
      <c r="E4960" s="59"/>
    </row>
    <row r="4961" spans="3:5" x14ac:dyDescent="0.15">
      <c r="C4961" s="255" t="s">
        <v>787</v>
      </c>
      <c r="D4961" s="59">
        <v>83.8</v>
      </c>
      <c r="E4961" s="59"/>
    </row>
    <row r="4962" spans="3:5" x14ac:dyDescent="0.15">
      <c r="C4962" s="255" t="s">
        <v>788</v>
      </c>
      <c r="D4962" s="59">
        <v>142.4</v>
      </c>
      <c r="E4962" s="59"/>
    </row>
    <row r="4963" spans="3:5" x14ac:dyDescent="0.15">
      <c r="C4963" s="255" t="s">
        <v>789</v>
      </c>
      <c r="D4963" s="59">
        <v>3</v>
      </c>
      <c r="E4963" s="59"/>
    </row>
    <row r="4964" spans="3:5" x14ac:dyDescent="0.15">
      <c r="C4964" s="255" t="s">
        <v>790</v>
      </c>
      <c r="D4964" s="59">
        <v>1719.7</v>
      </c>
      <c r="E4964" s="59"/>
    </row>
    <row r="4965" spans="3:5" x14ac:dyDescent="0.15">
      <c r="C4965" s="255" t="s">
        <v>791</v>
      </c>
      <c r="D4965" s="59">
        <v>41.3</v>
      </c>
      <c r="E4965" s="59"/>
    </row>
    <row r="4966" spans="3:5" x14ac:dyDescent="0.15">
      <c r="C4966" s="255" t="s">
        <v>792</v>
      </c>
      <c r="D4966" s="59">
        <v>796.4</v>
      </c>
      <c r="E4966" s="59"/>
    </row>
    <row r="4967" spans="3:5" x14ac:dyDescent="0.15">
      <c r="C4967" s="255" t="s">
        <v>793</v>
      </c>
      <c r="D4967" s="59">
        <v>128.5</v>
      </c>
      <c r="E4967" s="59"/>
    </row>
    <row r="4968" spans="3:5" x14ac:dyDescent="0.15">
      <c r="C4968" s="255" t="s">
        <v>794</v>
      </c>
      <c r="D4968" s="59">
        <v>1904.8</v>
      </c>
      <c r="E4968" s="59"/>
    </row>
    <row r="4969" spans="3:5" x14ac:dyDescent="0.15">
      <c r="C4969" s="255" t="s">
        <v>795</v>
      </c>
      <c r="D4969" s="59">
        <v>251.4</v>
      </c>
      <c r="E4969" s="59"/>
    </row>
    <row r="4970" spans="3:5" x14ac:dyDescent="0.15">
      <c r="C4970" s="255" t="s">
        <v>796</v>
      </c>
      <c r="D4970" s="59">
        <v>480.1</v>
      </c>
      <c r="E4970" s="59"/>
    </row>
    <row r="4971" spans="3:5" x14ac:dyDescent="0.15">
      <c r="C4971" s="255" t="s">
        <v>797</v>
      </c>
      <c r="D4971" s="59">
        <v>513.9</v>
      </c>
      <c r="E4971" s="59"/>
    </row>
    <row r="4972" spans="3:5" x14ac:dyDescent="0.15">
      <c r="C4972" s="255" t="s">
        <v>798</v>
      </c>
      <c r="D4972" s="59">
        <v>250.8</v>
      </c>
      <c r="E4972" s="59"/>
    </row>
    <row r="4973" spans="3:5" x14ac:dyDescent="0.15">
      <c r="C4973" s="255" t="s">
        <v>799</v>
      </c>
      <c r="D4973" s="59">
        <v>98.4</v>
      </c>
      <c r="E4973" s="59"/>
    </row>
    <row r="4974" spans="3:5" x14ac:dyDescent="0.15">
      <c r="C4974" s="255" t="s">
        <v>800</v>
      </c>
      <c r="D4974" s="59">
        <v>113.2</v>
      </c>
      <c r="E4974" s="59"/>
    </row>
    <row r="4975" spans="3:5" x14ac:dyDescent="0.15">
      <c r="C4975" s="255" t="s">
        <v>801</v>
      </c>
      <c r="D4975" s="59">
        <v>251.1</v>
      </c>
      <c r="E4975" s="59"/>
    </row>
    <row r="4976" spans="3:5" x14ac:dyDescent="0.15">
      <c r="C4976" s="255" t="s">
        <v>802</v>
      </c>
      <c r="D4976" s="59">
        <v>758.9</v>
      </c>
      <c r="E4976" s="59"/>
    </row>
    <row r="4977" spans="3:5" x14ac:dyDescent="0.15">
      <c r="C4977" s="255" t="s">
        <v>803</v>
      </c>
      <c r="D4977" s="59">
        <v>940.9</v>
      </c>
      <c r="E4977" s="59"/>
    </row>
    <row r="4978" spans="3:5" x14ac:dyDescent="0.15">
      <c r="C4978" s="255" t="s">
        <v>804</v>
      </c>
      <c r="D4978" s="59">
        <v>504</v>
      </c>
      <c r="E4978" s="59"/>
    </row>
    <row r="4979" spans="3:5" x14ac:dyDescent="0.15">
      <c r="C4979" s="255" t="s">
        <v>805</v>
      </c>
      <c r="D4979" s="59">
        <v>42</v>
      </c>
      <c r="E4979" s="59"/>
    </row>
    <row r="4980" spans="3:5" x14ac:dyDescent="0.15">
      <c r="C4980" s="255" t="s">
        <v>806</v>
      </c>
      <c r="D4980" s="59">
        <v>609.9</v>
      </c>
      <c r="E4980" s="59"/>
    </row>
    <row r="4981" spans="3:5" x14ac:dyDescent="0.15">
      <c r="C4981" s="255" t="s">
        <v>807</v>
      </c>
      <c r="D4981" s="59">
        <v>238.5</v>
      </c>
      <c r="E4981" s="59"/>
    </row>
    <row r="4982" spans="3:5" x14ac:dyDescent="0.15">
      <c r="C4982" s="255" t="s">
        <v>808</v>
      </c>
      <c r="D4982" s="59">
        <v>29.1</v>
      </c>
      <c r="E4982" s="59"/>
    </row>
    <row r="4983" spans="3:5" x14ac:dyDescent="0.15">
      <c r="C4983" s="255" t="s">
        <v>809</v>
      </c>
      <c r="D4983" s="59">
        <v>128.80000000000001</v>
      </c>
      <c r="E4983" s="59"/>
    </row>
    <row r="4984" spans="3:5" x14ac:dyDescent="0.15">
      <c r="C4984" s="255" t="s">
        <v>810</v>
      </c>
      <c r="D4984" s="59">
        <v>226.6</v>
      </c>
      <c r="E4984" s="59"/>
    </row>
    <row r="4985" spans="3:5" x14ac:dyDescent="0.15">
      <c r="C4985" s="255" t="s">
        <v>811</v>
      </c>
      <c r="D4985" s="59">
        <v>734.5</v>
      </c>
      <c r="E4985" s="59"/>
    </row>
    <row r="4986" spans="3:5" x14ac:dyDescent="0.15">
      <c r="C4986" s="255" t="s">
        <v>812</v>
      </c>
      <c r="D4986" s="59">
        <v>95.1</v>
      </c>
      <c r="E4986" s="59"/>
    </row>
    <row r="4987" spans="3:5" x14ac:dyDescent="0.15">
      <c r="C4987" s="255" t="s">
        <v>813</v>
      </c>
      <c r="D4987" s="59">
        <v>24.8</v>
      </c>
      <c r="E4987" s="59"/>
    </row>
    <row r="4988" spans="3:5" x14ac:dyDescent="0.15">
      <c r="C4988" s="255" t="s">
        <v>814</v>
      </c>
      <c r="D4988" s="59">
        <v>195.6</v>
      </c>
      <c r="E4988" s="59"/>
    </row>
    <row r="4989" spans="3:5" x14ac:dyDescent="0.15">
      <c r="C4989" s="255" t="s">
        <v>815</v>
      </c>
      <c r="D4989" s="59">
        <v>1464.1</v>
      </c>
      <c r="E4989" s="59"/>
    </row>
    <row r="4990" spans="3:5" x14ac:dyDescent="0.15">
      <c r="C4990" s="255" t="s">
        <v>816</v>
      </c>
      <c r="D4990" s="59">
        <v>396.5</v>
      </c>
      <c r="E4990" s="59"/>
    </row>
    <row r="4991" spans="3:5" x14ac:dyDescent="0.15">
      <c r="C4991" s="255" t="s">
        <v>817</v>
      </c>
      <c r="D4991" s="59">
        <v>6245.1</v>
      </c>
      <c r="E4991" s="59"/>
    </row>
    <row r="4992" spans="3:5" x14ac:dyDescent="0.15">
      <c r="C4992" s="255" t="s">
        <v>818</v>
      </c>
      <c r="D4992" s="59">
        <v>381.9</v>
      </c>
      <c r="E4992" s="59"/>
    </row>
    <row r="4993" spans="3:5" x14ac:dyDescent="0.15">
      <c r="C4993" s="255" t="s">
        <v>819</v>
      </c>
      <c r="D4993" s="59">
        <v>34.200000000000003</v>
      </c>
      <c r="E4993" s="59"/>
    </row>
    <row r="4994" spans="3:5" x14ac:dyDescent="0.15">
      <c r="C4994" s="255" t="s">
        <v>820</v>
      </c>
      <c r="D4994" s="59">
        <v>1428.8</v>
      </c>
      <c r="E4994" s="59"/>
    </row>
    <row r="4995" spans="3:5" x14ac:dyDescent="0.15">
      <c r="C4995" s="255" t="s">
        <v>821</v>
      </c>
      <c r="D4995" s="59">
        <v>18.3</v>
      </c>
      <c r="E4995" s="59"/>
    </row>
    <row r="4996" spans="3:5" x14ac:dyDescent="0.15">
      <c r="C4996" s="255" t="s">
        <v>822</v>
      </c>
      <c r="D4996" s="59">
        <v>176.6</v>
      </c>
      <c r="E4996" s="59"/>
    </row>
    <row r="4997" spans="3:5" x14ac:dyDescent="0.15">
      <c r="C4997" s="255" t="s">
        <v>823</v>
      </c>
      <c r="D4997" s="59">
        <v>1.6</v>
      </c>
      <c r="E4997" s="59"/>
    </row>
    <row r="4998" spans="3:5" x14ac:dyDescent="0.15">
      <c r="C4998" s="255" t="s">
        <v>824</v>
      </c>
      <c r="D4998" s="59">
        <v>648.29999999999995</v>
      </c>
      <c r="E4998" s="59"/>
    </row>
    <row r="4999" spans="3:5" x14ac:dyDescent="0.15">
      <c r="C4999" s="255" t="s">
        <v>825</v>
      </c>
      <c r="D4999" s="59">
        <v>474.6</v>
      </c>
      <c r="E4999" s="59"/>
    </row>
    <row r="5000" spans="3:5" x14ac:dyDescent="0.15">
      <c r="C5000" s="255" t="s">
        <v>826</v>
      </c>
      <c r="D5000" s="59">
        <v>0.8</v>
      </c>
      <c r="E5000" s="59"/>
    </row>
    <row r="5001" spans="3:5" x14ac:dyDescent="0.15">
      <c r="C5001" s="255" t="s">
        <v>827</v>
      </c>
      <c r="D5001" s="59">
        <v>0</v>
      </c>
      <c r="E5001" s="59"/>
    </row>
    <row r="5002" spans="3:5" x14ac:dyDescent="0.15">
      <c r="C5002" s="255" t="s">
        <v>828</v>
      </c>
      <c r="D5002" s="59">
        <v>2571.6</v>
      </c>
      <c r="E5002" s="59"/>
    </row>
    <row r="5003" spans="3:5" x14ac:dyDescent="0.15">
      <c r="C5003" s="255" t="s">
        <v>829</v>
      </c>
      <c r="D5003" s="59">
        <v>4.5</v>
      </c>
      <c r="E5003" s="59"/>
    </row>
    <row r="5004" spans="3:5" x14ac:dyDescent="0.15">
      <c r="C5004" s="255" t="s">
        <v>830</v>
      </c>
      <c r="D5004" s="59">
        <v>504</v>
      </c>
      <c r="E5004" s="59"/>
    </row>
    <row r="5005" spans="3:5" x14ac:dyDescent="0.15">
      <c r="C5005" s="255" t="s">
        <v>831</v>
      </c>
      <c r="D5005" s="59">
        <v>0</v>
      </c>
      <c r="E5005" s="59"/>
    </row>
    <row r="5006" spans="3:5" x14ac:dyDescent="0.15">
      <c r="C5006" s="255" t="s">
        <v>832</v>
      </c>
      <c r="D5006" s="59">
        <v>7886.4</v>
      </c>
      <c r="E5006" s="59"/>
    </row>
    <row r="5007" spans="3:5" x14ac:dyDescent="0.15">
      <c r="C5007" s="255" t="s">
        <v>833</v>
      </c>
      <c r="D5007" s="59">
        <v>0.6</v>
      </c>
      <c r="E5007" s="59"/>
    </row>
    <row r="5008" spans="3:5" x14ac:dyDescent="0.15">
      <c r="C5008" s="255" t="s">
        <v>834</v>
      </c>
      <c r="D5008" s="59">
        <v>1304.8</v>
      </c>
      <c r="E5008" s="59"/>
    </row>
    <row r="5009" spans="3:5" x14ac:dyDescent="0.15">
      <c r="C5009" s="255" t="s">
        <v>835</v>
      </c>
      <c r="D5009" s="59">
        <v>2942.3</v>
      </c>
      <c r="E5009" s="59"/>
    </row>
    <row r="5010" spans="3:5" x14ac:dyDescent="0.15">
      <c r="C5010" s="255" t="s">
        <v>836</v>
      </c>
      <c r="D5010" s="59">
        <v>1167.2</v>
      </c>
      <c r="E5010" s="59"/>
    </row>
    <row r="5011" spans="3:5" x14ac:dyDescent="0.15">
      <c r="C5011" s="255" t="s">
        <v>837</v>
      </c>
      <c r="D5011" s="59">
        <v>368.2</v>
      </c>
      <c r="E5011" s="59"/>
    </row>
    <row r="5012" spans="3:5" x14ac:dyDescent="0.15">
      <c r="C5012" s="255" t="s">
        <v>838</v>
      </c>
      <c r="D5012" s="59">
        <v>145.30000000000001</v>
      </c>
      <c r="E5012" s="59"/>
    </row>
    <row r="5013" spans="3:5" x14ac:dyDescent="0.15">
      <c r="C5013" s="255" t="s">
        <v>839</v>
      </c>
      <c r="D5013" s="59">
        <v>162</v>
      </c>
      <c r="E5013" s="59"/>
    </row>
    <row r="5014" spans="3:5" x14ac:dyDescent="0.15">
      <c r="C5014" s="255" t="s">
        <v>840</v>
      </c>
      <c r="D5014" s="59">
        <v>0</v>
      </c>
      <c r="E5014" s="59"/>
    </row>
    <row r="5015" spans="3:5" x14ac:dyDescent="0.15">
      <c r="C5015" s="255" t="s">
        <v>841</v>
      </c>
      <c r="D5015" s="59">
        <v>891.5</v>
      </c>
      <c r="E5015" s="59"/>
    </row>
    <row r="5016" spans="3:5" x14ac:dyDescent="0.15">
      <c r="C5016" s="255" t="s">
        <v>842</v>
      </c>
      <c r="D5016" s="59">
        <v>574.4</v>
      </c>
      <c r="E5016" s="59"/>
    </row>
    <row r="5017" spans="3:5" x14ac:dyDescent="0.15">
      <c r="C5017" s="255" t="s">
        <v>843</v>
      </c>
      <c r="D5017" s="59">
        <v>330.1</v>
      </c>
      <c r="E5017" s="59"/>
    </row>
    <row r="5018" spans="3:5" x14ac:dyDescent="0.15">
      <c r="C5018" s="255" t="s">
        <v>844</v>
      </c>
      <c r="D5018" s="59">
        <v>0</v>
      </c>
      <c r="E5018" s="59"/>
    </row>
    <row r="5019" spans="3:5" x14ac:dyDescent="0.15">
      <c r="C5019" s="255" t="s">
        <v>845</v>
      </c>
      <c r="D5019" s="59">
        <v>90091.1</v>
      </c>
      <c r="E5019" s="59"/>
    </row>
    <row r="5020" spans="3:5" x14ac:dyDescent="0.15">
      <c r="C5020" s="255" t="s">
        <v>846</v>
      </c>
      <c r="D5020" s="59">
        <v>48875.7</v>
      </c>
      <c r="E5020" s="59"/>
    </row>
    <row r="5021" spans="3:5" x14ac:dyDescent="0.15">
      <c r="C5021" s="255" t="s">
        <v>847</v>
      </c>
      <c r="D5021" s="59">
        <v>12.8</v>
      </c>
      <c r="E5021" s="59"/>
    </row>
    <row r="5022" spans="3:5" x14ac:dyDescent="0.15">
      <c r="C5022" s="255" t="s">
        <v>848</v>
      </c>
      <c r="D5022" s="59">
        <v>8700.2999999999993</v>
      </c>
      <c r="E5022" s="59"/>
    </row>
    <row r="5023" spans="3:5" x14ac:dyDescent="0.15">
      <c r="C5023" s="255" t="s">
        <v>849</v>
      </c>
      <c r="D5023" s="59">
        <v>400.7</v>
      </c>
      <c r="E5023" s="59"/>
    </row>
    <row r="5024" spans="3:5" x14ac:dyDescent="0.15">
      <c r="C5024" s="255" t="s">
        <v>850</v>
      </c>
      <c r="D5024" s="59">
        <v>499.6</v>
      </c>
      <c r="E5024" s="59"/>
    </row>
    <row r="5025" spans="3:5" x14ac:dyDescent="0.15">
      <c r="C5025" s="255" t="s">
        <v>851</v>
      </c>
      <c r="D5025" s="59">
        <v>0</v>
      </c>
      <c r="E5025" s="59"/>
    </row>
    <row r="5026" spans="3:5" x14ac:dyDescent="0.15">
      <c r="C5026" s="255" t="s">
        <v>852</v>
      </c>
      <c r="D5026" s="59">
        <v>0</v>
      </c>
      <c r="E5026" s="59"/>
    </row>
    <row r="5027" spans="3:5" x14ac:dyDescent="0.15">
      <c r="C5027" s="255" t="s">
        <v>853</v>
      </c>
      <c r="D5027" s="59">
        <v>29.9</v>
      </c>
      <c r="E5027" s="59"/>
    </row>
    <row r="5028" spans="3:5" x14ac:dyDescent="0.15">
      <c r="C5028" s="255" t="s">
        <v>854</v>
      </c>
      <c r="D5028" s="59">
        <v>0</v>
      </c>
      <c r="E5028" s="59"/>
    </row>
    <row r="5029" spans="3:5" x14ac:dyDescent="0.15">
      <c r="C5029" s="255" t="s">
        <v>855</v>
      </c>
      <c r="D5029" s="59">
        <v>0</v>
      </c>
      <c r="E5029" s="59"/>
    </row>
    <row r="5030" spans="3:5" x14ac:dyDescent="0.15">
      <c r="C5030" s="255" t="s">
        <v>856</v>
      </c>
      <c r="D5030" s="59">
        <v>982.7</v>
      </c>
      <c r="E5030" s="59"/>
    </row>
    <row r="5031" spans="3:5" x14ac:dyDescent="0.15">
      <c r="C5031" s="255" t="s">
        <v>857</v>
      </c>
      <c r="D5031" s="59">
        <v>2430.6999999999998</v>
      </c>
      <c r="E5031" s="59"/>
    </row>
    <row r="5032" spans="3:5" x14ac:dyDescent="0.15">
      <c r="C5032" s="255" t="s">
        <v>858</v>
      </c>
      <c r="D5032" s="59">
        <v>2267.5</v>
      </c>
      <c r="E5032" s="59"/>
    </row>
    <row r="5033" spans="3:5" x14ac:dyDescent="0.15">
      <c r="C5033" s="255" t="s">
        <v>859</v>
      </c>
      <c r="D5033" s="59">
        <v>1111</v>
      </c>
      <c r="E5033" s="59"/>
    </row>
    <row r="5034" spans="3:5" x14ac:dyDescent="0.15">
      <c r="C5034" s="255" t="s">
        <v>860</v>
      </c>
      <c r="D5034" s="59">
        <v>32.1</v>
      </c>
      <c r="E5034" s="59"/>
    </row>
    <row r="5035" spans="3:5" x14ac:dyDescent="0.15">
      <c r="C5035" s="255" t="s">
        <v>861</v>
      </c>
      <c r="D5035" s="59">
        <v>306.7</v>
      </c>
      <c r="E5035" s="59"/>
    </row>
    <row r="5036" spans="3:5" x14ac:dyDescent="0.15">
      <c r="C5036" s="255" t="s">
        <v>862</v>
      </c>
      <c r="D5036" s="59">
        <v>8121.8</v>
      </c>
      <c r="E5036" s="59"/>
    </row>
    <row r="5037" spans="3:5" x14ac:dyDescent="0.15">
      <c r="C5037" s="255" t="s">
        <v>863</v>
      </c>
      <c r="D5037" s="59">
        <v>535.70000000000005</v>
      </c>
      <c r="E5037" s="59"/>
    </row>
    <row r="5038" spans="3:5" x14ac:dyDescent="0.15">
      <c r="C5038" s="255" t="s">
        <v>864</v>
      </c>
      <c r="D5038" s="59">
        <v>26.9</v>
      </c>
      <c r="E5038" s="59"/>
    </row>
    <row r="5039" spans="3:5" x14ac:dyDescent="0.15">
      <c r="C5039" s="255" t="s">
        <v>865</v>
      </c>
      <c r="D5039" s="59">
        <v>508.7</v>
      </c>
      <c r="E5039" s="59"/>
    </row>
    <row r="5040" spans="3:5" x14ac:dyDescent="0.15">
      <c r="C5040" s="255" t="s">
        <v>866</v>
      </c>
      <c r="D5040" s="59">
        <v>0</v>
      </c>
      <c r="E5040" s="59"/>
    </row>
    <row r="5041" spans="3:5" x14ac:dyDescent="0.15">
      <c r="C5041" s="255" t="s">
        <v>867</v>
      </c>
      <c r="D5041" s="59">
        <v>2405.8000000000002</v>
      </c>
      <c r="E5041" s="59"/>
    </row>
    <row r="5042" spans="3:5" x14ac:dyDescent="0.15">
      <c r="C5042" s="255" t="s">
        <v>868</v>
      </c>
      <c r="D5042" s="59">
        <v>12842.5</v>
      </c>
      <c r="E5042" s="59"/>
    </row>
    <row r="5043" spans="3:5" x14ac:dyDescent="0.15">
      <c r="C5043" s="255" t="s">
        <v>869</v>
      </c>
      <c r="D5043" s="59">
        <v>14092.2</v>
      </c>
      <c r="E5043" s="59"/>
    </row>
    <row r="5044" spans="3:5" x14ac:dyDescent="0.15">
      <c r="C5044" s="255" t="s">
        <v>870</v>
      </c>
      <c r="D5044" s="59">
        <v>6288.4</v>
      </c>
      <c r="E5044" s="59"/>
    </row>
    <row r="5045" spans="3:5" x14ac:dyDescent="0.15">
      <c r="C5045" s="255" t="s">
        <v>871</v>
      </c>
      <c r="D5045" s="59">
        <v>1.2</v>
      </c>
      <c r="E5045" s="59"/>
    </row>
    <row r="5046" spans="3:5" x14ac:dyDescent="0.15">
      <c r="C5046" s="255" t="s">
        <v>872</v>
      </c>
      <c r="D5046" s="59">
        <v>7.7</v>
      </c>
      <c r="E5046" s="59"/>
    </row>
    <row r="5047" spans="3:5" x14ac:dyDescent="0.15">
      <c r="C5047" s="255" t="s">
        <v>873</v>
      </c>
      <c r="D5047" s="59">
        <v>876.3</v>
      </c>
      <c r="E5047" s="59"/>
    </row>
    <row r="5048" spans="3:5" x14ac:dyDescent="0.15">
      <c r="C5048" s="255" t="s">
        <v>874</v>
      </c>
      <c r="D5048" s="59">
        <v>1182.5999999999999</v>
      </c>
      <c r="E5048" s="59"/>
    </row>
    <row r="5049" spans="3:5" x14ac:dyDescent="0.15">
      <c r="C5049" s="255" t="s">
        <v>875</v>
      </c>
      <c r="D5049" s="59">
        <v>0</v>
      </c>
      <c r="E5049" s="59"/>
    </row>
    <row r="5050" spans="3:5" x14ac:dyDescent="0.15">
      <c r="C5050" s="255" t="s">
        <v>876</v>
      </c>
      <c r="D5050" s="59">
        <v>0</v>
      </c>
      <c r="E5050" s="59"/>
    </row>
    <row r="5051" spans="3:5" x14ac:dyDescent="0.15">
      <c r="C5051" s="255" t="s">
        <v>877</v>
      </c>
      <c r="D5051" s="59">
        <v>0</v>
      </c>
      <c r="E5051" s="59"/>
    </row>
    <row r="5052" spans="3:5" x14ac:dyDescent="0.15">
      <c r="C5052" s="255" t="s">
        <v>878</v>
      </c>
      <c r="D5052" s="59">
        <v>1.5</v>
      </c>
      <c r="E5052" s="59"/>
    </row>
    <row r="5053" spans="3:5" x14ac:dyDescent="0.15">
      <c r="C5053" s="255" t="s">
        <v>879</v>
      </c>
      <c r="D5053" s="59">
        <v>1247</v>
      </c>
      <c r="E5053" s="59"/>
    </row>
    <row r="5054" spans="3:5" x14ac:dyDescent="0.15">
      <c r="C5054" s="255" t="s">
        <v>880</v>
      </c>
      <c r="D5054" s="59">
        <v>1.7</v>
      </c>
      <c r="E5054" s="59"/>
    </row>
    <row r="5055" spans="3:5" x14ac:dyDescent="0.15">
      <c r="C5055" s="255" t="s">
        <v>881</v>
      </c>
      <c r="D5055" s="59">
        <v>0</v>
      </c>
      <c r="E5055" s="59"/>
    </row>
    <row r="5056" spans="3:5" x14ac:dyDescent="0.15">
      <c r="C5056" s="255" t="s">
        <v>882</v>
      </c>
      <c r="D5056" s="59">
        <v>31.3</v>
      </c>
      <c r="E5056" s="59"/>
    </row>
    <row r="5057" spans="3:5" x14ac:dyDescent="0.15">
      <c r="C5057" s="255" t="s">
        <v>883</v>
      </c>
      <c r="D5057" s="59">
        <v>449.5</v>
      </c>
      <c r="E5057" s="59"/>
    </row>
    <row r="5058" spans="3:5" x14ac:dyDescent="0.15">
      <c r="C5058" s="255" t="s">
        <v>884</v>
      </c>
      <c r="D5058" s="59">
        <v>187.6</v>
      </c>
      <c r="E5058" s="59"/>
    </row>
    <row r="5059" spans="3:5" x14ac:dyDescent="0.15">
      <c r="C5059" s="255" t="s">
        <v>885</v>
      </c>
      <c r="D5059" s="59">
        <v>77.7</v>
      </c>
      <c r="E5059" s="59"/>
    </row>
    <row r="5060" spans="3:5" x14ac:dyDescent="0.15">
      <c r="C5060" s="255" t="s">
        <v>886</v>
      </c>
      <c r="D5060" s="59">
        <v>0</v>
      </c>
      <c r="E5060" s="59"/>
    </row>
    <row r="5061" spans="3:5" x14ac:dyDescent="0.15">
      <c r="C5061" s="255" t="s">
        <v>887</v>
      </c>
      <c r="D5061" s="59">
        <v>0</v>
      </c>
      <c r="E5061" s="59"/>
    </row>
    <row r="5062" spans="3:5" x14ac:dyDescent="0.15">
      <c r="C5062" s="255" t="s">
        <v>888</v>
      </c>
      <c r="D5062" s="59">
        <v>0</v>
      </c>
      <c r="E5062" s="59"/>
    </row>
    <row r="5063" spans="3:5" x14ac:dyDescent="0.15">
      <c r="C5063" s="255" t="s">
        <v>889</v>
      </c>
      <c r="D5063" s="59">
        <v>118.7</v>
      </c>
      <c r="E5063" s="59"/>
    </row>
    <row r="5064" spans="3:5" x14ac:dyDescent="0.15">
      <c r="C5064" s="255" t="s">
        <v>890</v>
      </c>
      <c r="D5064" s="59">
        <v>30.7</v>
      </c>
      <c r="E5064" s="59"/>
    </row>
    <row r="5065" spans="3:5" x14ac:dyDescent="0.15">
      <c r="C5065" s="255" t="s">
        <v>891</v>
      </c>
      <c r="D5065" s="59">
        <v>0.2</v>
      </c>
      <c r="E5065" s="59"/>
    </row>
    <row r="5066" spans="3:5" x14ac:dyDescent="0.15">
      <c r="C5066" s="255" t="s">
        <v>892</v>
      </c>
      <c r="D5066" s="59">
        <v>0.1</v>
      </c>
      <c r="E5066" s="59"/>
    </row>
    <row r="5067" spans="3:5" x14ac:dyDescent="0.15">
      <c r="C5067" s="255" t="s">
        <v>893</v>
      </c>
      <c r="D5067" s="59">
        <v>3.6</v>
      </c>
      <c r="E5067" s="59"/>
    </row>
    <row r="5068" spans="3:5" x14ac:dyDescent="0.15">
      <c r="C5068" s="255" t="s">
        <v>894</v>
      </c>
      <c r="D5068" s="59">
        <v>0</v>
      </c>
      <c r="E5068" s="59"/>
    </row>
    <row r="5069" spans="3:5" x14ac:dyDescent="0.15">
      <c r="C5069" s="255" t="s">
        <v>895</v>
      </c>
      <c r="D5069" s="59">
        <v>186.6</v>
      </c>
      <c r="E5069" s="59"/>
    </row>
    <row r="5070" spans="3:5" x14ac:dyDescent="0.15">
      <c r="C5070" s="255" t="s">
        <v>896</v>
      </c>
      <c r="D5070" s="59">
        <v>3.1</v>
      </c>
      <c r="E5070" s="59"/>
    </row>
    <row r="5071" spans="3:5" x14ac:dyDescent="0.15">
      <c r="C5071" s="255" t="s">
        <v>897</v>
      </c>
      <c r="D5071" s="59">
        <v>672.4</v>
      </c>
      <c r="E5071" s="59"/>
    </row>
    <row r="5072" spans="3:5" x14ac:dyDescent="0.15">
      <c r="C5072" s="255" t="s">
        <v>898</v>
      </c>
      <c r="D5072" s="59">
        <v>136</v>
      </c>
      <c r="E5072" s="59"/>
    </row>
    <row r="5073" spans="3:5" x14ac:dyDescent="0.15">
      <c r="C5073" s="255" t="s">
        <v>899</v>
      </c>
      <c r="D5073" s="59">
        <v>21.5</v>
      </c>
      <c r="E5073" s="59"/>
    </row>
    <row r="5074" spans="3:5" x14ac:dyDescent="0.15">
      <c r="C5074" s="255" t="s">
        <v>900</v>
      </c>
      <c r="D5074" s="59">
        <v>98.4</v>
      </c>
      <c r="E5074" s="59"/>
    </row>
    <row r="5075" spans="3:5" x14ac:dyDescent="0.15">
      <c r="C5075" s="255" t="s">
        <v>901</v>
      </c>
      <c r="D5075" s="59">
        <v>549.5</v>
      </c>
      <c r="E5075" s="59"/>
    </row>
    <row r="5076" spans="3:5" x14ac:dyDescent="0.15">
      <c r="C5076" s="255" t="s">
        <v>902</v>
      </c>
      <c r="D5076" s="59">
        <v>0</v>
      </c>
      <c r="E5076" s="59"/>
    </row>
    <row r="5077" spans="3:5" x14ac:dyDescent="0.15">
      <c r="C5077" s="255" t="s">
        <v>903</v>
      </c>
      <c r="D5077" s="59">
        <v>706.9</v>
      </c>
      <c r="E5077" s="59"/>
    </row>
    <row r="5078" spans="3:5" x14ac:dyDescent="0.15">
      <c r="C5078" s="255" t="s">
        <v>904</v>
      </c>
      <c r="D5078" s="59">
        <v>1027.7</v>
      </c>
      <c r="E5078" s="59"/>
    </row>
    <row r="5079" spans="3:5" x14ac:dyDescent="0.15">
      <c r="C5079" s="255" t="s">
        <v>905</v>
      </c>
      <c r="D5079" s="59">
        <v>67.7</v>
      </c>
      <c r="E5079" s="59"/>
    </row>
    <row r="5080" spans="3:5" x14ac:dyDescent="0.15">
      <c r="C5080" s="255" t="s">
        <v>906</v>
      </c>
      <c r="D5080" s="59">
        <v>0</v>
      </c>
      <c r="E5080" s="59"/>
    </row>
    <row r="5081" spans="3:5" x14ac:dyDescent="0.15">
      <c r="C5081" s="255" t="s">
        <v>907</v>
      </c>
      <c r="D5081" s="59">
        <v>116.8</v>
      </c>
      <c r="E5081" s="59"/>
    </row>
    <row r="5082" spans="3:5" x14ac:dyDescent="0.15">
      <c r="C5082" s="255" t="s">
        <v>908</v>
      </c>
      <c r="D5082" s="59">
        <v>4900.8</v>
      </c>
      <c r="E5082" s="59"/>
    </row>
    <row r="5083" spans="3:5" x14ac:dyDescent="0.15">
      <c r="C5083" s="255" t="s">
        <v>909</v>
      </c>
      <c r="D5083" s="59">
        <v>2030.5</v>
      </c>
      <c r="E5083" s="59"/>
    </row>
    <row r="5084" spans="3:5" x14ac:dyDescent="0.15">
      <c r="C5084" s="255" t="s">
        <v>910</v>
      </c>
      <c r="D5084" s="59">
        <v>1.3</v>
      </c>
      <c r="E5084" s="59"/>
    </row>
    <row r="5085" spans="3:5" x14ac:dyDescent="0.15">
      <c r="C5085" s="255" t="s">
        <v>911</v>
      </c>
      <c r="D5085" s="59">
        <v>37.4</v>
      </c>
      <c r="E5085" s="59"/>
    </row>
    <row r="5086" spans="3:5" x14ac:dyDescent="0.15">
      <c r="C5086" s="255" t="s">
        <v>912</v>
      </c>
      <c r="D5086" s="59">
        <v>45.2</v>
      </c>
      <c r="E5086" s="59"/>
    </row>
    <row r="5087" spans="3:5" x14ac:dyDescent="0.15">
      <c r="C5087" s="255" t="s">
        <v>913</v>
      </c>
      <c r="D5087" s="59">
        <v>0</v>
      </c>
      <c r="E5087" s="59"/>
    </row>
    <row r="5088" spans="3:5" x14ac:dyDescent="0.15">
      <c r="C5088" s="255" t="s">
        <v>914</v>
      </c>
      <c r="D5088" s="59">
        <v>0</v>
      </c>
      <c r="E5088" s="59"/>
    </row>
    <row r="5089" spans="3:5" x14ac:dyDescent="0.15">
      <c r="C5089" s="255" t="s">
        <v>915</v>
      </c>
      <c r="D5089" s="59">
        <v>0</v>
      </c>
      <c r="E5089" s="59"/>
    </row>
    <row r="5090" spans="3:5" x14ac:dyDescent="0.15">
      <c r="C5090" s="255" t="s">
        <v>916</v>
      </c>
      <c r="D5090" s="59">
        <v>104.1</v>
      </c>
      <c r="E5090" s="59"/>
    </row>
    <row r="5091" spans="3:5" x14ac:dyDescent="0.15">
      <c r="C5091" s="255" t="s">
        <v>917</v>
      </c>
      <c r="D5091" s="59">
        <v>0</v>
      </c>
      <c r="E5091" s="59"/>
    </row>
    <row r="5092" spans="3:5" x14ac:dyDescent="0.15">
      <c r="C5092" s="255" t="s">
        <v>918</v>
      </c>
      <c r="D5092" s="59">
        <v>1938</v>
      </c>
      <c r="E5092" s="59"/>
    </row>
    <row r="5093" spans="3:5" x14ac:dyDescent="0.15">
      <c r="C5093" s="255" t="s">
        <v>919</v>
      </c>
      <c r="D5093" s="59">
        <v>9.6999999999999993</v>
      </c>
      <c r="E5093" s="59"/>
    </row>
    <row r="5094" spans="3:5" x14ac:dyDescent="0.15">
      <c r="C5094" s="255" t="s">
        <v>920</v>
      </c>
      <c r="D5094" s="59">
        <v>734.6</v>
      </c>
      <c r="E5094" s="59"/>
    </row>
    <row r="5095" spans="3:5" x14ac:dyDescent="0.15">
      <c r="C5095" s="255" t="s">
        <v>921</v>
      </c>
      <c r="D5095" s="59">
        <v>0</v>
      </c>
      <c r="E5095" s="59"/>
    </row>
    <row r="5096" spans="3:5" x14ac:dyDescent="0.15">
      <c r="C5096" s="255" t="s">
        <v>922</v>
      </c>
      <c r="D5096" s="59">
        <v>23824.400000000001</v>
      </c>
      <c r="E5096" s="59"/>
    </row>
    <row r="5097" spans="3:5" x14ac:dyDescent="0.15">
      <c r="C5097" s="255" t="s">
        <v>923</v>
      </c>
      <c r="D5097" s="59">
        <v>8704.4</v>
      </c>
      <c r="E5097" s="59"/>
    </row>
    <row r="5098" spans="3:5" x14ac:dyDescent="0.15">
      <c r="C5098" s="255" t="s">
        <v>924</v>
      </c>
      <c r="D5098" s="59">
        <v>-1557.4</v>
      </c>
      <c r="E5098" s="59"/>
    </row>
    <row r="5099" spans="3:5" x14ac:dyDescent="0.15">
      <c r="C5099" s="255" t="s">
        <v>925</v>
      </c>
      <c r="D5099" s="59">
        <v>219.6</v>
      </c>
      <c r="E5099" s="59"/>
    </row>
    <row r="5100" spans="3:5" x14ac:dyDescent="0.15">
      <c r="C5100" s="255" t="s">
        <v>926</v>
      </c>
      <c r="D5100" s="59">
        <v>947.5</v>
      </c>
      <c r="E5100" s="59"/>
    </row>
    <row r="5101" spans="3:5" x14ac:dyDescent="0.15">
      <c r="C5101" s="255" t="s">
        <v>927</v>
      </c>
      <c r="D5101" s="59">
        <v>148.19999999999999</v>
      </c>
      <c r="E5101" s="59"/>
    </row>
    <row r="5102" spans="3:5" x14ac:dyDescent="0.15">
      <c r="C5102" s="255" t="s">
        <v>928</v>
      </c>
      <c r="D5102" s="59">
        <v>943.3</v>
      </c>
      <c r="E5102" s="59"/>
    </row>
    <row r="5103" spans="3:5" x14ac:dyDescent="0.15">
      <c r="C5103" s="255" t="s">
        <v>929</v>
      </c>
      <c r="D5103" s="59">
        <v>392</v>
      </c>
      <c r="E5103" s="59"/>
    </row>
    <row r="5104" spans="3:5" x14ac:dyDescent="0.15">
      <c r="C5104" s="255" t="s">
        <v>930</v>
      </c>
      <c r="D5104" s="59">
        <v>368.5</v>
      </c>
      <c r="E5104" s="59"/>
    </row>
    <row r="5105" spans="3:5" x14ac:dyDescent="0.15">
      <c r="C5105" s="255" t="s">
        <v>931</v>
      </c>
      <c r="D5105" s="59">
        <v>4757.8</v>
      </c>
      <c r="E5105" s="59"/>
    </row>
    <row r="5106" spans="3:5" x14ac:dyDescent="0.15">
      <c r="C5106" s="255" t="s">
        <v>932</v>
      </c>
      <c r="D5106" s="59">
        <v>0</v>
      </c>
      <c r="E5106" s="59"/>
    </row>
    <row r="5107" spans="3:5" x14ac:dyDescent="0.15">
      <c r="C5107" s="255" t="s">
        <v>933</v>
      </c>
      <c r="D5107" s="59">
        <v>0</v>
      </c>
      <c r="E5107" s="59"/>
    </row>
    <row r="5108" spans="3:5" x14ac:dyDescent="0.15">
      <c r="C5108" s="255" t="s">
        <v>934</v>
      </c>
      <c r="D5108" s="59">
        <v>2946.7</v>
      </c>
      <c r="E5108" s="59"/>
    </row>
    <row r="5109" spans="3:5" x14ac:dyDescent="0.15">
      <c r="C5109" s="255" t="s">
        <v>935</v>
      </c>
      <c r="D5109" s="59">
        <v>301.89999999999998</v>
      </c>
      <c r="E5109" s="59"/>
    </row>
    <row r="5110" spans="3:5" x14ac:dyDescent="0.15">
      <c r="C5110" s="255" t="s">
        <v>936</v>
      </c>
      <c r="D5110" s="59">
        <v>1907.6</v>
      </c>
      <c r="E5110" s="59"/>
    </row>
    <row r="5111" spans="3:5" x14ac:dyDescent="0.15">
      <c r="C5111" s="255" t="s">
        <v>937</v>
      </c>
      <c r="D5111" s="59">
        <v>1025.5999999999999</v>
      </c>
      <c r="E5111" s="59"/>
    </row>
    <row r="5112" spans="3:5" x14ac:dyDescent="0.15">
      <c r="C5112" s="255" t="s">
        <v>938</v>
      </c>
      <c r="D5112" s="59">
        <v>145.6</v>
      </c>
      <c r="E5112" s="59"/>
    </row>
    <row r="5113" spans="3:5" x14ac:dyDescent="0.15">
      <c r="C5113" s="255" t="s">
        <v>939</v>
      </c>
      <c r="D5113" s="59">
        <v>0</v>
      </c>
      <c r="E5113" s="59"/>
    </row>
    <row r="5114" spans="3:5" x14ac:dyDescent="0.15">
      <c r="C5114" s="255" t="s">
        <v>940</v>
      </c>
      <c r="D5114" s="59">
        <v>96.8</v>
      </c>
      <c r="E5114" s="59"/>
    </row>
    <row r="5115" spans="3:5" x14ac:dyDescent="0.15">
      <c r="C5115" s="255" t="s">
        <v>941</v>
      </c>
      <c r="D5115" s="59">
        <v>337.2</v>
      </c>
      <c r="E5115" s="59"/>
    </row>
    <row r="5116" spans="3:5" x14ac:dyDescent="0.15">
      <c r="C5116" s="255" t="s">
        <v>942</v>
      </c>
      <c r="D5116" s="59">
        <v>0</v>
      </c>
      <c r="E5116" s="59"/>
    </row>
    <row r="5117" spans="3:5" x14ac:dyDescent="0.15">
      <c r="C5117" s="255" t="s">
        <v>943</v>
      </c>
      <c r="D5117" s="59">
        <v>630.70000000000005</v>
      </c>
      <c r="E5117" s="59"/>
    </row>
    <row r="5118" spans="3:5" x14ac:dyDescent="0.15">
      <c r="C5118" s="255" t="s">
        <v>944</v>
      </c>
      <c r="D5118" s="59">
        <v>160.6</v>
      </c>
      <c r="E5118" s="59"/>
    </row>
    <row r="5119" spans="3:5" x14ac:dyDescent="0.15">
      <c r="C5119" s="255" t="s">
        <v>945</v>
      </c>
      <c r="D5119" s="59">
        <v>1314</v>
      </c>
      <c r="E5119" s="59"/>
    </row>
    <row r="5120" spans="3:5" x14ac:dyDescent="0.15">
      <c r="C5120" s="255" t="s">
        <v>946</v>
      </c>
      <c r="D5120" s="59">
        <v>22.2</v>
      </c>
      <c r="E5120" s="59"/>
    </row>
    <row r="5121" spans="3:5" x14ac:dyDescent="0.15">
      <c r="C5121" s="255" t="s">
        <v>947</v>
      </c>
      <c r="D5121" s="59">
        <v>11.5</v>
      </c>
      <c r="E5121" s="59"/>
    </row>
    <row r="5122" spans="3:5" x14ac:dyDescent="0.15">
      <c r="C5122" s="255" t="s">
        <v>948</v>
      </c>
      <c r="D5122" s="59">
        <v>8561.9</v>
      </c>
      <c r="E5122" s="59"/>
    </row>
    <row r="5123" spans="3:5" x14ac:dyDescent="0.15">
      <c r="C5123" s="255" t="s">
        <v>949</v>
      </c>
      <c r="D5123" s="59">
        <v>23.4</v>
      </c>
      <c r="E5123" s="59"/>
    </row>
    <row r="5124" spans="3:5" x14ac:dyDescent="0.15">
      <c r="C5124" s="255" t="s">
        <v>950</v>
      </c>
      <c r="D5124" s="59">
        <v>0</v>
      </c>
      <c r="E5124" s="59"/>
    </row>
    <row r="5125" spans="3:5" x14ac:dyDescent="0.15">
      <c r="C5125" s="255" t="s">
        <v>951</v>
      </c>
      <c r="D5125" s="59">
        <v>1800.6</v>
      </c>
      <c r="E5125" s="59"/>
    </row>
    <row r="5126" spans="3:5" x14ac:dyDescent="0.15">
      <c r="C5126" s="255" t="s">
        <v>952</v>
      </c>
      <c r="D5126" s="59">
        <v>0</v>
      </c>
      <c r="E5126" s="59"/>
    </row>
    <row r="5127" spans="3:5" x14ac:dyDescent="0.15">
      <c r="C5127" s="255" t="s">
        <v>953</v>
      </c>
      <c r="D5127" s="59">
        <v>128.30000000000001</v>
      </c>
      <c r="E5127" s="59"/>
    </row>
    <row r="5128" spans="3:5" x14ac:dyDescent="0.15">
      <c r="C5128" s="255" t="s">
        <v>954</v>
      </c>
      <c r="D5128" s="59">
        <v>2938.8</v>
      </c>
      <c r="E5128" s="59"/>
    </row>
    <row r="5129" spans="3:5" x14ac:dyDescent="0.15">
      <c r="C5129" s="255" t="s">
        <v>955</v>
      </c>
      <c r="D5129" s="59">
        <v>1769.4</v>
      </c>
      <c r="E5129" s="59"/>
    </row>
    <row r="5130" spans="3:5" x14ac:dyDescent="0.15">
      <c r="C5130" s="255" t="s">
        <v>956</v>
      </c>
      <c r="D5130" s="59">
        <v>1901.3</v>
      </c>
      <c r="E5130" s="59"/>
    </row>
    <row r="5131" spans="3:5" x14ac:dyDescent="0.15">
      <c r="C5131" s="255" t="s">
        <v>957</v>
      </c>
      <c r="D5131" s="59">
        <v>22459.200000000001</v>
      </c>
      <c r="E5131" s="59"/>
    </row>
    <row r="5132" spans="3:5" x14ac:dyDescent="0.15">
      <c r="C5132" s="255" t="s">
        <v>958</v>
      </c>
      <c r="D5132" s="59">
        <v>0</v>
      </c>
      <c r="E5132" s="59"/>
    </row>
    <row r="5133" spans="3:5" x14ac:dyDescent="0.15">
      <c r="C5133" s="255" t="s">
        <v>959</v>
      </c>
      <c r="D5133" s="59">
        <v>2164.1</v>
      </c>
      <c r="E5133" s="59"/>
    </row>
    <row r="5134" spans="3:5" x14ac:dyDescent="0.15">
      <c r="C5134" s="255" t="s">
        <v>960</v>
      </c>
      <c r="D5134" s="59">
        <v>744.4</v>
      </c>
      <c r="E5134" s="59"/>
    </row>
    <row r="5135" spans="3:5" x14ac:dyDescent="0.15">
      <c r="C5135" s="255" t="s">
        <v>961</v>
      </c>
      <c r="D5135" s="59">
        <v>0</v>
      </c>
      <c r="E5135" s="59"/>
    </row>
    <row r="5136" spans="3:5" x14ac:dyDescent="0.15">
      <c r="C5136" s="255" t="s">
        <v>962</v>
      </c>
      <c r="D5136" s="59">
        <v>0</v>
      </c>
      <c r="E5136" s="59"/>
    </row>
    <row r="5137" spans="3:5" x14ac:dyDescent="0.15">
      <c r="C5137" s="255" t="s">
        <v>963</v>
      </c>
      <c r="D5137" s="59">
        <v>1528.6</v>
      </c>
      <c r="E5137" s="59"/>
    </row>
    <row r="5138" spans="3:5" x14ac:dyDescent="0.15">
      <c r="C5138" s="255" t="s">
        <v>964</v>
      </c>
      <c r="D5138" s="59">
        <v>1220.2</v>
      </c>
      <c r="E5138" s="59"/>
    </row>
    <row r="5139" spans="3:5" x14ac:dyDescent="0.15">
      <c r="C5139" s="255" t="s">
        <v>965</v>
      </c>
      <c r="D5139" s="59">
        <v>0.5</v>
      </c>
      <c r="E5139" s="59"/>
    </row>
    <row r="5140" spans="3:5" x14ac:dyDescent="0.15">
      <c r="C5140" s="255" t="s">
        <v>966</v>
      </c>
      <c r="D5140" s="59">
        <v>0</v>
      </c>
      <c r="E5140" s="59"/>
    </row>
    <row r="5141" spans="3:5" x14ac:dyDescent="0.15">
      <c r="C5141" s="255" t="s">
        <v>967</v>
      </c>
      <c r="D5141" s="59">
        <v>97.9</v>
      </c>
      <c r="E5141" s="59"/>
    </row>
    <row r="5142" spans="3:5" x14ac:dyDescent="0.15">
      <c r="C5142" s="255" t="s">
        <v>968</v>
      </c>
      <c r="D5142" s="59">
        <v>0</v>
      </c>
      <c r="E5142" s="59"/>
    </row>
    <row r="5143" spans="3:5" x14ac:dyDescent="0.15">
      <c r="C5143" s="255" t="s">
        <v>969</v>
      </c>
      <c r="D5143" s="59">
        <v>94.3</v>
      </c>
      <c r="E5143" s="59"/>
    </row>
    <row r="5144" spans="3:5" x14ac:dyDescent="0.15">
      <c r="C5144" s="255" t="s">
        <v>970</v>
      </c>
      <c r="D5144" s="59">
        <v>0</v>
      </c>
      <c r="E5144" s="59"/>
    </row>
    <row r="5145" spans="3:5" x14ac:dyDescent="0.15">
      <c r="C5145" s="255" t="s">
        <v>971</v>
      </c>
      <c r="D5145" s="59">
        <v>1383.6</v>
      </c>
      <c r="E5145" s="59"/>
    </row>
    <row r="5146" spans="3:5" x14ac:dyDescent="0.15">
      <c r="C5146" s="255" t="s">
        <v>972</v>
      </c>
      <c r="D5146" s="59">
        <v>56.1</v>
      </c>
      <c r="E5146" s="59"/>
    </row>
    <row r="5147" spans="3:5" x14ac:dyDescent="0.15">
      <c r="C5147" s="255" t="s">
        <v>973</v>
      </c>
      <c r="D5147" s="59">
        <v>0</v>
      </c>
      <c r="E5147" s="59"/>
    </row>
    <row r="5148" spans="3:5" x14ac:dyDescent="0.15">
      <c r="C5148" s="255" t="s">
        <v>974</v>
      </c>
      <c r="D5148" s="59">
        <v>0</v>
      </c>
      <c r="E5148" s="59"/>
    </row>
    <row r="5149" spans="3:5" x14ac:dyDescent="0.15">
      <c r="C5149" s="255" t="s">
        <v>975</v>
      </c>
      <c r="D5149" s="59">
        <v>0</v>
      </c>
      <c r="E5149" s="59"/>
    </row>
    <row r="5150" spans="3:5" x14ac:dyDescent="0.15">
      <c r="C5150" s="255" t="s">
        <v>976</v>
      </c>
      <c r="D5150" s="59">
        <v>51.3</v>
      </c>
      <c r="E5150" s="59"/>
    </row>
    <row r="5151" spans="3:5" x14ac:dyDescent="0.15">
      <c r="C5151" s="255" t="s">
        <v>977</v>
      </c>
      <c r="D5151" s="59">
        <v>40.4</v>
      </c>
      <c r="E5151" s="59"/>
    </row>
    <row r="5152" spans="3:5" x14ac:dyDescent="0.15">
      <c r="C5152" s="255" t="s">
        <v>978</v>
      </c>
      <c r="D5152" s="59">
        <v>154.80000000000001</v>
      </c>
      <c r="E5152" s="59"/>
    </row>
    <row r="5153" spans="3:5" x14ac:dyDescent="0.15">
      <c r="C5153" s="255" t="s">
        <v>979</v>
      </c>
      <c r="D5153" s="59">
        <v>0</v>
      </c>
      <c r="E5153" s="59"/>
    </row>
    <row r="5154" spans="3:5" x14ac:dyDescent="0.15">
      <c r="C5154" s="255" t="s">
        <v>980</v>
      </c>
      <c r="D5154" s="59">
        <v>13.9</v>
      </c>
      <c r="E5154" s="59"/>
    </row>
    <row r="5155" spans="3:5" x14ac:dyDescent="0.15">
      <c r="C5155" s="255" t="s">
        <v>981</v>
      </c>
      <c r="D5155" s="59">
        <v>0</v>
      </c>
      <c r="E5155" s="59"/>
    </row>
    <row r="5156" spans="3:5" x14ac:dyDescent="0.15">
      <c r="C5156" s="255" t="s">
        <v>982</v>
      </c>
      <c r="D5156" s="59">
        <v>89.8</v>
      </c>
      <c r="E5156" s="59"/>
    </row>
    <row r="5157" spans="3:5" x14ac:dyDescent="0.15">
      <c r="C5157" s="255" t="s">
        <v>983</v>
      </c>
      <c r="D5157" s="59">
        <v>950.7</v>
      </c>
      <c r="E5157" s="59"/>
    </row>
    <row r="5158" spans="3:5" x14ac:dyDescent="0.15">
      <c r="C5158" s="255" t="s">
        <v>984</v>
      </c>
      <c r="D5158" s="59">
        <v>0</v>
      </c>
      <c r="E5158" s="59"/>
    </row>
    <row r="5159" spans="3:5" x14ac:dyDescent="0.15">
      <c r="C5159" s="255" t="s">
        <v>985</v>
      </c>
      <c r="D5159" s="59">
        <v>370.4</v>
      </c>
      <c r="E5159" s="59"/>
    </row>
    <row r="5160" spans="3:5" x14ac:dyDescent="0.15">
      <c r="C5160" s="255" t="s">
        <v>986</v>
      </c>
      <c r="D5160" s="59">
        <v>160.4</v>
      </c>
      <c r="E5160" s="59"/>
    </row>
    <row r="5161" spans="3:5" x14ac:dyDescent="0.15">
      <c r="C5161" s="255" t="s">
        <v>987</v>
      </c>
      <c r="D5161" s="59">
        <v>313.10000000000002</v>
      </c>
      <c r="E5161" s="59"/>
    </row>
    <row r="5162" spans="3:5" x14ac:dyDescent="0.15">
      <c r="C5162" s="255" t="s">
        <v>988</v>
      </c>
      <c r="D5162" s="59">
        <v>569.70000000000005</v>
      </c>
      <c r="E5162" s="59"/>
    </row>
    <row r="5163" spans="3:5" x14ac:dyDescent="0.15">
      <c r="C5163" s="255" t="s">
        <v>989</v>
      </c>
      <c r="D5163" s="59">
        <v>324.3</v>
      </c>
      <c r="E5163" s="59"/>
    </row>
    <row r="5164" spans="3:5" x14ac:dyDescent="0.15">
      <c r="C5164" s="255" t="s">
        <v>990</v>
      </c>
      <c r="D5164" s="59">
        <v>115.9</v>
      </c>
      <c r="E5164" s="59"/>
    </row>
    <row r="5165" spans="3:5" x14ac:dyDescent="0.15">
      <c r="C5165" s="255" t="s">
        <v>991</v>
      </c>
      <c r="D5165" s="59">
        <v>6666.2</v>
      </c>
      <c r="E5165" s="59"/>
    </row>
    <row r="5166" spans="3:5" x14ac:dyDescent="0.15">
      <c r="C5166" s="255" t="s">
        <v>992</v>
      </c>
      <c r="D5166" s="59">
        <v>36.700000000000003</v>
      </c>
      <c r="E5166" s="59"/>
    </row>
    <row r="5167" spans="3:5" x14ac:dyDescent="0.15">
      <c r="C5167" s="255" t="s">
        <v>993</v>
      </c>
      <c r="D5167" s="59">
        <v>319.89999999999998</v>
      </c>
      <c r="E5167" s="59"/>
    </row>
    <row r="5168" spans="3:5" x14ac:dyDescent="0.15">
      <c r="C5168" s="255" t="s">
        <v>994</v>
      </c>
      <c r="D5168" s="59">
        <v>0</v>
      </c>
      <c r="E5168" s="59"/>
    </row>
    <row r="5169" spans="3:5" x14ac:dyDescent="0.15">
      <c r="C5169" s="255" t="s">
        <v>995</v>
      </c>
      <c r="D5169" s="59">
        <v>162</v>
      </c>
      <c r="E5169" s="59"/>
    </row>
    <row r="5170" spans="3:5" x14ac:dyDescent="0.15">
      <c r="C5170" s="255" t="s">
        <v>996</v>
      </c>
      <c r="D5170" s="59">
        <v>146.80000000000001</v>
      </c>
      <c r="E5170" s="59"/>
    </row>
    <row r="5171" spans="3:5" x14ac:dyDescent="0.15">
      <c r="C5171" s="255" t="s">
        <v>997</v>
      </c>
      <c r="D5171" s="59">
        <v>687.1</v>
      </c>
      <c r="E5171" s="59"/>
    </row>
    <row r="5172" spans="3:5" x14ac:dyDescent="0.15">
      <c r="C5172" s="255" t="s">
        <v>998</v>
      </c>
      <c r="D5172" s="59">
        <v>120.7</v>
      </c>
      <c r="E5172" s="59"/>
    </row>
    <row r="5173" spans="3:5" x14ac:dyDescent="0.15">
      <c r="C5173" s="255" t="s">
        <v>999</v>
      </c>
      <c r="D5173" s="59">
        <v>0</v>
      </c>
      <c r="E5173" s="59"/>
    </row>
    <row r="5174" spans="3:5" x14ac:dyDescent="0.15">
      <c r="C5174" s="255" t="s">
        <v>1000</v>
      </c>
      <c r="D5174" s="59">
        <v>309.2</v>
      </c>
      <c r="E5174" s="59"/>
    </row>
    <row r="5175" spans="3:5" x14ac:dyDescent="0.15">
      <c r="C5175" s="255" t="s">
        <v>1001</v>
      </c>
      <c r="D5175" s="59">
        <v>263.89999999999998</v>
      </c>
      <c r="E5175" s="59"/>
    </row>
    <row r="5176" spans="3:5" x14ac:dyDescent="0.15">
      <c r="C5176" s="255" t="s">
        <v>1002</v>
      </c>
      <c r="D5176" s="59">
        <v>91.2</v>
      </c>
      <c r="E5176" s="59"/>
    </row>
    <row r="5177" spans="3:5" x14ac:dyDescent="0.15">
      <c r="C5177" s="255" t="s">
        <v>1003</v>
      </c>
      <c r="D5177" s="59">
        <v>190.4</v>
      </c>
      <c r="E5177" s="59"/>
    </row>
    <row r="5178" spans="3:5" x14ac:dyDescent="0.15">
      <c r="C5178" s="255" t="s">
        <v>1004</v>
      </c>
      <c r="D5178" s="59">
        <v>69.400000000000006</v>
      </c>
      <c r="E5178" s="59"/>
    </row>
    <row r="5179" spans="3:5" x14ac:dyDescent="0.15">
      <c r="C5179" s="255" t="s">
        <v>1005</v>
      </c>
      <c r="D5179" s="59">
        <v>648.9</v>
      </c>
      <c r="E5179" s="59"/>
    </row>
    <row r="5180" spans="3:5" x14ac:dyDescent="0.15">
      <c r="C5180" s="255" t="s">
        <v>1006</v>
      </c>
      <c r="D5180" s="59">
        <v>2302.1999999999998</v>
      </c>
      <c r="E5180" s="59"/>
    </row>
    <row r="5181" spans="3:5" x14ac:dyDescent="0.15">
      <c r="C5181" s="255" t="s">
        <v>1007</v>
      </c>
      <c r="D5181" s="59">
        <v>326.8</v>
      </c>
      <c r="E5181" s="59"/>
    </row>
    <row r="5182" spans="3:5" x14ac:dyDescent="0.15">
      <c r="C5182" s="255" t="s">
        <v>1008</v>
      </c>
      <c r="D5182" s="59">
        <v>230.4</v>
      </c>
      <c r="E5182" s="59"/>
    </row>
    <row r="5183" spans="3:5" x14ac:dyDescent="0.15">
      <c r="C5183" s="255" t="s">
        <v>1009</v>
      </c>
      <c r="D5183" s="59">
        <v>0</v>
      </c>
      <c r="E5183" s="59"/>
    </row>
    <row r="5184" spans="3:5" x14ac:dyDescent="0.15">
      <c r="C5184" s="255" t="s">
        <v>1010</v>
      </c>
      <c r="D5184" s="59">
        <v>45.5</v>
      </c>
      <c r="E5184" s="59"/>
    </row>
    <row r="5185" spans="3:5" x14ac:dyDescent="0.15">
      <c r="C5185" s="255" t="s">
        <v>1011</v>
      </c>
      <c r="D5185" s="59">
        <v>50.9</v>
      </c>
      <c r="E5185" s="59"/>
    </row>
    <row r="5186" spans="3:5" x14ac:dyDescent="0.15">
      <c r="C5186" s="255" t="s">
        <v>1012</v>
      </c>
      <c r="D5186" s="59">
        <v>7776.9</v>
      </c>
      <c r="E5186" s="59"/>
    </row>
    <row r="5187" spans="3:5" x14ac:dyDescent="0.15">
      <c r="C5187" s="255" t="s">
        <v>1013</v>
      </c>
      <c r="D5187" s="59">
        <v>4027.4</v>
      </c>
      <c r="E5187" s="59"/>
    </row>
    <row r="5188" spans="3:5" x14ac:dyDescent="0.15">
      <c r="C5188" s="255" t="s">
        <v>1014</v>
      </c>
      <c r="D5188" s="59">
        <v>2304.3000000000002</v>
      </c>
      <c r="E5188" s="59"/>
    </row>
    <row r="5189" spans="3:5" x14ac:dyDescent="0.15">
      <c r="C5189" s="255" t="s">
        <v>1015</v>
      </c>
      <c r="D5189" s="59">
        <v>355.3</v>
      </c>
      <c r="E5189" s="59"/>
    </row>
    <row r="5190" spans="3:5" x14ac:dyDescent="0.15">
      <c r="C5190" s="255" t="s">
        <v>1016</v>
      </c>
      <c r="D5190" s="59">
        <v>63.4</v>
      </c>
      <c r="E5190" s="59"/>
    </row>
    <row r="5191" spans="3:5" x14ac:dyDescent="0.15">
      <c r="C5191" s="255" t="s">
        <v>1017</v>
      </c>
      <c r="D5191" s="59">
        <v>1026.4000000000001</v>
      </c>
      <c r="E5191" s="59"/>
    </row>
    <row r="5192" spans="3:5" x14ac:dyDescent="0.15">
      <c r="C5192" s="255" t="s">
        <v>1018</v>
      </c>
      <c r="D5192" s="59">
        <v>0</v>
      </c>
      <c r="E5192" s="59"/>
    </row>
    <row r="5193" spans="3:5" x14ac:dyDescent="0.15">
      <c r="C5193" s="255" t="s">
        <v>1019</v>
      </c>
      <c r="D5193" s="59">
        <v>13894.4</v>
      </c>
      <c r="E5193" s="59"/>
    </row>
    <row r="5194" spans="3:5" x14ac:dyDescent="0.15">
      <c r="C5194" s="255" t="s">
        <v>1020</v>
      </c>
      <c r="D5194" s="59">
        <v>322.60000000000002</v>
      </c>
      <c r="E5194" s="59"/>
    </row>
    <row r="5195" spans="3:5" x14ac:dyDescent="0.15">
      <c r="C5195" s="255" t="s">
        <v>1021</v>
      </c>
      <c r="D5195" s="59">
        <v>627.29999999999995</v>
      </c>
      <c r="E5195" s="59"/>
    </row>
    <row r="5196" spans="3:5" x14ac:dyDescent="0.15">
      <c r="C5196" s="255" t="s">
        <v>1022</v>
      </c>
      <c r="D5196" s="59">
        <v>386.5</v>
      </c>
      <c r="E5196" s="59"/>
    </row>
    <row r="5197" spans="3:5" x14ac:dyDescent="0.15">
      <c r="C5197" s="255" t="s">
        <v>1023</v>
      </c>
      <c r="D5197" s="59">
        <v>1.5</v>
      </c>
      <c r="E5197" s="59"/>
    </row>
    <row r="5198" spans="3:5" x14ac:dyDescent="0.15">
      <c r="C5198" s="255" t="s">
        <v>1024</v>
      </c>
      <c r="D5198" s="59">
        <v>50.9</v>
      </c>
      <c r="E5198" s="59"/>
    </row>
    <row r="5199" spans="3:5" x14ac:dyDescent="0.15">
      <c r="C5199" s="255" t="s">
        <v>1025</v>
      </c>
      <c r="D5199" s="59">
        <v>176</v>
      </c>
      <c r="E5199" s="59"/>
    </row>
    <row r="5200" spans="3:5" x14ac:dyDescent="0.15">
      <c r="C5200" s="255" t="s">
        <v>1026</v>
      </c>
      <c r="D5200" s="59">
        <v>2875.9</v>
      </c>
      <c r="E5200" s="59"/>
    </row>
    <row r="5201" spans="3:5" x14ac:dyDescent="0.15">
      <c r="C5201" s="255" t="s">
        <v>1027</v>
      </c>
      <c r="D5201" s="59">
        <v>0</v>
      </c>
      <c r="E5201" s="59"/>
    </row>
    <row r="5202" spans="3:5" x14ac:dyDescent="0.15">
      <c r="C5202" s="255" t="s">
        <v>1028</v>
      </c>
      <c r="D5202" s="59">
        <v>629.9</v>
      </c>
      <c r="E5202" s="59"/>
    </row>
    <row r="5203" spans="3:5" x14ac:dyDescent="0.15">
      <c r="C5203" s="255" t="s">
        <v>1029</v>
      </c>
      <c r="D5203" s="59">
        <v>35.799999999999997</v>
      </c>
      <c r="E5203" s="59"/>
    </row>
    <row r="5204" spans="3:5" x14ac:dyDescent="0.15">
      <c r="C5204" s="255" t="s">
        <v>1030</v>
      </c>
      <c r="D5204" s="59">
        <v>0</v>
      </c>
      <c r="E5204" s="59"/>
    </row>
    <row r="5205" spans="3:5" x14ac:dyDescent="0.15">
      <c r="C5205" s="255" t="s">
        <v>1031</v>
      </c>
      <c r="D5205" s="59">
        <v>251.6</v>
      </c>
      <c r="E5205" s="59"/>
    </row>
    <row r="5206" spans="3:5" x14ac:dyDescent="0.15">
      <c r="C5206" s="255" t="s">
        <v>1032</v>
      </c>
      <c r="D5206" s="59">
        <v>19.8</v>
      </c>
      <c r="E5206" s="59"/>
    </row>
    <row r="5207" spans="3:5" x14ac:dyDescent="0.15">
      <c r="C5207" s="255" t="s">
        <v>1033</v>
      </c>
      <c r="D5207" s="59">
        <v>0</v>
      </c>
      <c r="E5207" s="59"/>
    </row>
    <row r="5208" spans="3:5" x14ac:dyDescent="0.15">
      <c r="C5208" s="255" t="s">
        <v>1034</v>
      </c>
      <c r="D5208" s="59">
        <v>36</v>
      </c>
      <c r="E5208" s="59"/>
    </row>
    <row r="5209" spans="3:5" x14ac:dyDescent="0.15">
      <c r="C5209" s="255" t="s">
        <v>1035</v>
      </c>
      <c r="D5209" s="59">
        <v>1054.2</v>
      </c>
      <c r="E5209" s="59"/>
    </row>
    <row r="5210" spans="3:5" x14ac:dyDescent="0.15">
      <c r="C5210" s="255" t="s">
        <v>1036</v>
      </c>
      <c r="D5210" s="59">
        <v>0</v>
      </c>
      <c r="E5210" s="59"/>
    </row>
    <row r="5211" spans="3:5" x14ac:dyDescent="0.15">
      <c r="C5211" s="255" t="s">
        <v>1037</v>
      </c>
      <c r="D5211" s="59">
        <v>110.8</v>
      </c>
      <c r="E5211" s="59"/>
    </row>
    <row r="5212" spans="3:5" x14ac:dyDescent="0.15">
      <c r="C5212" s="255" t="s">
        <v>1038</v>
      </c>
      <c r="D5212" s="59">
        <v>2264.1</v>
      </c>
      <c r="E5212" s="59"/>
    </row>
    <row r="5213" spans="3:5" x14ac:dyDescent="0.15">
      <c r="C5213" s="255" t="s">
        <v>1039</v>
      </c>
      <c r="D5213" s="59">
        <v>278.10000000000002</v>
      </c>
      <c r="E5213" s="59"/>
    </row>
    <row r="5214" spans="3:5" x14ac:dyDescent="0.15">
      <c r="C5214" s="255" t="s">
        <v>1040</v>
      </c>
      <c r="D5214" s="59">
        <v>2653.9</v>
      </c>
      <c r="E5214" s="59"/>
    </row>
    <row r="5215" spans="3:5" x14ac:dyDescent="0.15">
      <c r="C5215" s="255" t="s">
        <v>1041</v>
      </c>
      <c r="D5215" s="59">
        <v>223.6</v>
      </c>
      <c r="E5215" s="59"/>
    </row>
    <row r="5216" spans="3:5" x14ac:dyDescent="0.15">
      <c r="C5216" s="255" t="s">
        <v>1042</v>
      </c>
      <c r="D5216" s="59">
        <v>1535.7</v>
      </c>
      <c r="E5216" s="59"/>
    </row>
    <row r="5217" spans="2:5" x14ac:dyDescent="0.15">
      <c r="C5217" s="255" t="s">
        <v>1043</v>
      </c>
      <c r="D5217" s="59">
        <v>303</v>
      </c>
      <c r="E5217" s="59"/>
    </row>
    <row r="5218" spans="2:5" x14ac:dyDescent="0.15">
      <c r="C5218" s="255" t="s">
        <v>1044</v>
      </c>
      <c r="D5218" s="59">
        <v>8.1</v>
      </c>
      <c r="E5218" s="59"/>
    </row>
    <row r="5219" spans="2:5" x14ac:dyDescent="0.15">
      <c r="C5219" s="255" t="s">
        <v>1045</v>
      </c>
      <c r="D5219" s="59">
        <v>11.1</v>
      </c>
      <c r="E5219" s="59"/>
    </row>
    <row r="5220" spans="2:5" x14ac:dyDescent="0.15">
      <c r="C5220" s="255" t="s">
        <v>1046</v>
      </c>
      <c r="D5220" s="59">
        <v>31.9</v>
      </c>
      <c r="E5220" s="59"/>
    </row>
    <row r="5221" spans="2:5" x14ac:dyDescent="0.15">
      <c r="C5221" s="255" t="s">
        <v>1047</v>
      </c>
      <c r="D5221" s="59">
        <v>6.3</v>
      </c>
      <c r="E5221" s="59"/>
    </row>
    <row r="5222" spans="2:5" x14ac:dyDescent="0.15">
      <c r="C5222" s="255" t="s">
        <v>1048</v>
      </c>
      <c r="D5222" s="59">
        <v>0</v>
      </c>
      <c r="E5222" s="59"/>
    </row>
    <row r="5223" spans="2:5" x14ac:dyDescent="0.15">
      <c r="B5223" s="255" t="s">
        <v>1061</v>
      </c>
      <c r="C5223" s="255" t="s">
        <v>743</v>
      </c>
      <c r="D5223" s="59">
        <v>2194</v>
      </c>
      <c r="E5223" s="59"/>
    </row>
    <row r="5224" spans="2:5" x14ac:dyDescent="0.15">
      <c r="C5224" s="255" t="s">
        <v>744</v>
      </c>
      <c r="D5224" s="59">
        <v>2686</v>
      </c>
      <c r="E5224" s="59"/>
    </row>
    <row r="5225" spans="2:5" x14ac:dyDescent="0.15">
      <c r="C5225" s="255" t="s">
        <v>745</v>
      </c>
      <c r="D5225" s="59">
        <v>5683.5</v>
      </c>
      <c r="E5225" s="59"/>
    </row>
    <row r="5226" spans="2:5" x14ac:dyDescent="0.15">
      <c r="C5226" s="255" t="s">
        <v>746</v>
      </c>
      <c r="D5226" s="59">
        <v>2.1</v>
      </c>
      <c r="E5226" s="59"/>
    </row>
    <row r="5227" spans="2:5" x14ac:dyDescent="0.15">
      <c r="C5227" s="255" t="s">
        <v>747</v>
      </c>
      <c r="D5227" s="59">
        <v>1.7</v>
      </c>
      <c r="E5227" s="59"/>
    </row>
    <row r="5228" spans="2:5" x14ac:dyDescent="0.15">
      <c r="C5228" s="255" t="s">
        <v>748</v>
      </c>
      <c r="D5228" s="59">
        <v>0.4</v>
      </c>
      <c r="E5228" s="59"/>
    </row>
    <row r="5229" spans="2:5" x14ac:dyDescent="0.15">
      <c r="C5229" s="255" t="s">
        <v>749</v>
      </c>
      <c r="D5229" s="59">
        <v>0.5</v>
      </c>
      <c r="E5229" s="59"/>
    </row>
    <row r="5230" spans="2:5" x14ac:dyDescent="0.15">
      <c r="C5230" s="255" t="s">
        <v>750</v>
      </c>
      <c r="D5230" s="59">
        <v>0.4</v>
      </c>
      <c r="E5230" s="59"/>
    </row>
    <row r="5231" spans="2:5" x14ac:dyDescent="0.15">
      <c r="C5231" s="255" t="s">
        <v>751</v>
      </c>
      <c r="D5231" s="59">
        <v>52.3</v>
      </c>
      <c r="E5231" s="59"/>
    </row>
    <row r="5232" spans="2:5" x14ac:dyDescent="0.15">
      <c r="C5232" s="255" t="s">
        <v>752</v>
      </c>
      <c r="D5232" s="59">
        <v>1.5</v>
      </c>
      <c r="E5232" s="59"/>
    </row>
    <row r="5233" spans="3:5" x14ac:dyDescent="0.15">
      <c r="C5233" s="255" t="s">
        <v>753</v>
      </c>
      <c r="D5233" s="59">
        <v>112.7</v>
      </c>
      <c r="E5233" s="59"/>
    </row>
    <row r="5234" spans="3:5" x14ac:dyDescent="0.15">
      <c r="C5234" s="255" t="s">
        <v>754</v>
      </c>
      <c r="D5234" s="59">
        <v>1953.7</v>
      </c>
      <c r="E5234" s="59"/>
    </row>
    <row r="5235" spans="3:5" x14ac:dyDescent="0.15">
      <c r="C5235" s="255" t="s">
        <v>192</v>
      </c>
      <c r="D5235" s="59">
        <v>300480.3</v>
      </c>
      <c r="E5235" s="59"/>
    </row>
    <row r="5236" spans="3:5" x14ac:dyDescent="0.15">
      <c r="C5236" s="255" t="s">
        <v>755</v>
      </c>
      <c r="D5236" s="59">
        <v>36260.9</v>
      </c>
      <c r="E5236" s="59"/>
    </row>
    <row r="5237" spans="3:5" x14ac:dyDescent="0.15">
      <c r="C5237" s="255" t="s">
        <v>756</v>
      </c>
      <c r="D5237" s="59">
        <v>142.6</v>
      </c>
      <c r="E5237" s="59"/>
    </row>
    <row r="5238" spans="3:5" x14ac:dyDescent="0.15">
      <c r="C5238" s="255" t="s">
        <v>757</v>
      </c>
      <c r="D5238" s="59">
        <v>119.1</v>
      </c>
      <c r="E5238" s="59"/>
    </row>
    <row r="5239" spans="3:5" x14ac:dyDescent="0.15">
      <c r="C5239" s="255" t="s">
        <v>758</v>
      </c>
      <c r="D5239" s="59">
        <v>2221.1999999999998</v>
      </c>
      <c r="E5239" s="59"/>
    </row>
    <row r="5240" spans="3:5" x14ac:dyDescent="0.15">
      <c r="C5240" s="255" t="s">
        <v>759</v>
      </c>
      <c r="D5240" s="59">
        <v>1387</v>
      </c>
      <c r="E5240" s="59"/>
    </row>
    <row r="5241" spans="3:5" x14ac:dyDescent="0.15">
      <c r="C5241" s="255" t="s">
        <v>760</v>
      </c>
      <c r="D5241" s="59">
        <v>165</v>
      </c>
      <c r="E5241" s="59"/>
    </row>
    <row r="5242" spans="3:5" x14ac:dyDescent="0.15">
      <c r="C5242" s="255" t="s">
        <v>761</v>
      </c>
      <c r="D5242" s="59">
        <v>364.4</v>
      </c>
      <c r="E5242" s="59"/>
    </row>
    <row r="5243" spans="3:5" x14ac:dyDescent="0.15">
      <c r="C5243" s="255" t="s">
        <v>762</v>
      </c>
      <c r="D5243" s="59">
        <v>386</v>
      </c>
      <c r="E5243" s="59"/>
    </row>
    <row r="5244" spans="3:5" x14ac:dyDescent="0.15">
      <c r="C5244" s="255" t="s">
        <v>763</v>
      </c>
      <c r="D5244" s="59">
        <v>173.3</v>
      </c>
      <c r="E5244" s="59"/>
    </row>
    <row r="5245" spans="3:5" x14ac:dyDescent="0.15">
      <c r="C5245" s="255" t="s">
        <v>764</v>
      </c>
      <c r="D5245" s="59">
        <v>2187.5</v>
      </c>
      <c r="E5245" s="59"/>
    </row>
    <row r="5246" spans="3:5" x14ac:dyDescent="0.15">
      <c r="C5246" s="255" t="s">
        <v>765</v>
      </c>
      <c r="D5246" s="59">
        <v>1110.7</v>
      </c>
      <c r="E5246" s="59"/>
    </row>
    <row r="5247" spans="3:5" x14ac:dyDescent="0.15">
      <c r="C5247" s="255" t="s">
        <v>766</v>
      </c>
      <c r="D5247" s="59">
        <v>166.9</v>
      </c>
      <c r="E5247" s="59"/>
    </row>
    <row r="5248" spans="3:5" x14ac:dyDescent="0.15">
      <c r="C5248" s="255" t="s">
        <v>767</v>
      </c>
      <c r="D5248" s="59">
        <v>1140.0999999999999</v>
      </c>
      <c r="E5248" s="59"/>
    </row>
    <row r="5249" spans="3:5" x14ac:dyDescent="0.15">
      <c r="C5249" s="255" t="s">
        <v>768</v>
      </c>
      <c r="D5249" s="59">
        <v>36.1</v>
      </c>
      <c r="E5249" s="59"/>
    </row>
    <row r="5250" spans="3:5" x14ac:dyDescent="0.15">
      <c r="C5250" s="255" t="s">
        <v>769</v>
      </c>
      <c r="D5250" s="59">
        <v>27.4</v>
      </c>
      <c r="E5250" s="59"/>
    </row>
    <row r="5251" spans="3:5" x14ac:dyDescent="0.15">
      <c r="C5251" s="255" t="s">
        <v>770</v>
      </c>
      <c r="D5251" s="59">
        <v>1525.8</v>
      </c>
      <c r="E5251" s="59"/>
    </row>
    <row r="5252" spans="3:5" x14ac:dyDescent="0.15">
      <c r="C5252" s="255" t="s">
        <v>771</v>
      </c>
      <c r="D5252" s="59">
        <v>1619.8</v>
      </c>
      <c r="E5252" s="59"/>
    </row>
    <row r="5253" spans="3:5" x14ac:dyDescent="0.15">
      <c r="C5253" s="255" t="s">
        <v>772</v>
      </c>
      <c r="D5253" s="59">
        <v>556.6</v>
      </c>
      <c r="E5253" s="59"/>
    </row>
    <row r="5254" spans="3:5" x14ac:dyDescent="0.15">
      <c r="C5254" s="255" t="s">
        <v>773</v>
      </c>
      <c r="D5254" s="59">
        <v>101.1</v>
      </c>
      <c r="E5254" s="59"/>
    </row>
    <row r="5255" spans="3:5" x14ac:dyDescent="0.15">
      <c r="C5255" s="255" t="s">
        <v>774</v>
      </c>
      <c r="D5255" s="59">
        <v>92.2</v>
      </c>
      <c r="E5255" s="59"/>
    </row>
    <row r="5256" spans="3:5" x14ac:dyDescent="0.15">
      <c r="C5256" s="255" t="s">
        <v>775</v>
      </c>
      <c r="D5256" s="59">
        <v>94.5</v>
      </c>
      <c r="E5256" s="59"/>
    </row>
    <row r="5257" spans="3:5" x14ac:dyDescent="0.15">
      <c r="C5257" s="255" t="s">
        <v>776</v>
      </c>
      <c r="D5257" s="59">
        <v>300.5</v>
      </c>
      <c r="E5257" s="59"/>
    </row>
    <row r="5258" spans="3:5" x14ac:dyDescent="0.15">
      <c r="C5258" s="255" t="s">
        <v>777</v>
      </c>
      <c r="D5258" s="59">
        <v>766.5</v>
      </c>
      <c r="E5258" s="59"/>
    </row>
    <row r="5259" spans="3:5" x14ac:dyDescent="0.15">
      <c r="C5259" s="255" t="s">
        <v>778</v>
      </c>
      <c r="D5259" s="59">
        <v>430.3</v>
      </c>
      <c r="E5259" s="59"/>
    </row>
    <row r="5260" spans="3:5" x14ac:dyDescent="0.15">
      <c r="C5260" s="255" t="s">
        <v>779</v>
      </c>
      <c r="D5260" s="59">
        <v>539.70000000000005</v>
      </c>
      <c r="E5260" s="59"/>
    </row>
    <row r="5261" spans="3:5" x14ac:dyDescent="0.15">
      <c r="C5261" s="255" t="s">
        <v>780</v>
      </c>
      <c r="D5261" s="59">
        <v>9</v>
      </c>
      <c r="E5261" s="59"/>
    </row>
    <row r="5262" spans="3:5" x14ac:dyDescent="0.15">
      <c r="C5262" s="255" t="s">
        <v>781</v>
      </c>
      <c r="D5262" s="59">
        <v>756.7</v>
      </c>
      <c r="E5262" s="59"/>
    </row>
    <row r="5263" spans="3:5" x14ac:dyDescent="0.15">
      <c r="C5263" s="255" t="s">
        <v>782</v>
      </c>
      <c r="D5263" s="59">
        <v>1883.8</v>
      </c>
      <c r="E5263" s="59"/>
    </row>
    <row r="5264" spans="3:5" x14ac:dyDescent="0.15">
      <c r="C5264" s="255" t="s">
        <v>783</v>
      </c>
      <c r="D5264" s="59">
        <v>722.6</v>
      </c>
      <c r="E5264" s="59"/>
    </row>
    <row r="5265" spans="3:5" x14ac:dyDescent="0.15">
      <c r="C5265" s="255" t="s">
        <v>784</v>
      </c>
      <c r="D5265" s="59">
        <v>619.1</v>
      </c>
      <c r="E5265" s="59"/>
    </row>
    <row r="5266" spans="3:5" x14ac:dyDescent="0.15">
      <c r="C5266" s="255" t="s">
        <v>785</v>
      </c>
      <c r="D5266" s="59">
        <v>554.6</v>
      </c>
      <c r="E5266" s="59"/>
    </row>
    <row r="5267" spans="3:5" x14ac:dyDescent="0.15">
      <c r="C5267" s="255" t="s">
        <v>786</v>
      </c>
      <c r="D5267" s="59">
        <v>149</v>
      </c>
      <c r="E5267" s="59"/>
    </row>
    <row r="5268" spans="3:5" x14ac:dyDescent="0.15">
      <c r="C5268" s="255" t="s">
        <v>787</v>
      </c>
      <c r="D5268" s="59">
        <v>112.1</v>
      </c>
      <c r="E5268" s="59"/>
    </row>
    <row r="5269" spans="3:5" x14ac:dyDescent="0.15">
      <c r="C5269" s="255" t="s">
        <v>788</v>
      </c>
      <c r="D5269" s="59">
        <v>91.8</v>
      </c>
      <c r="E5269" s="59"/>
    </row>
    <row r="5270" spans="3:5" x14ac:dyDescent="0.15">
      <c r="C5270" s="255" t="s">
        <v>789</v>
      </c>
      <c r="D5270" s="59">
        <v>9.8000000000000007</v>
      </c>
      <c r="E5270" s="59"/>
    </row>
    <row r="5271" spans="3:5" x14ac:dyDescent="0.15">
      <c r="C5271" s="255" t="s">
        <v>790</v>
      </c>
      <c r="D5271" s="59">
        <v>2245.9</v>
      </c>
      <c r="E5271" s="59"/>
    </row>
    <row r="5272" spans="3:5" x14ac:dyDescent="0.15">
      <c r="C5272" s="255" t="s">
        <v>791</v>
      </c>
      <c r="D5272" s="59">
        <v>64.2</v>
      </c>
      <c r="E5272" s="59"/>
    </row>
    <row r="5273" spans="3:5" x14ac:dyDescent="0.15">
      <c r="C5273" s="255" t="s">
        <v>792</v>
      </c>
      <c r="D5273" s="59">
        <v>772.3</v>
      </c>
      <c r="E5273" s="59"/>
    </row>
    <row r="5274" spans="3:5" x14ac:dyDescent="0.15">
      <c r="C5274" s="255" t="s">
        <v>793</v>
      </c>
      <c r="D5274" s="59">
        <v>180.1</v>
      </c>
      <c r="E5274" s="59"/>
    </row>
    <row r="5275" spans="3:5" x14ac:dyDescent="0.15">
      <c r="C5275" s="255" t="s">
        <v>794</v>
      </c>
      <c r="D5275" s="59">
        <v>2353.3000000000002</v>
      </c>
      <c r="E5275" s="59"/>
    </row>
    <row r="5276" spans="3:5" x14ac:dyDescent="0.15">
      <c r="C5276" s="255" t="s">
        <v>795</v>
      </c>
      <c r="D5276" s="59">
        <v>237.6</v>
      </c>
      <c r="E5276" s="59"/>
    </row>
    <row r="5277" spans="3:5" x14ac:dyDescent="0.15">
      <c r="C5277" s="255" t="s">
        <v>796</v>
      </c>
      <c r="D5277" s="59">
        <v>565</v>
      </c>
      <c r="E5277" s="59"/>
    </row>
    <row r="5278" spans="3:5" x14ac:dyDescent="0.15">
      <c r="C5278" s="255" t="s">
        <v>797</v>
      </c>
      <c r="D5278" s="59">
        <v>628.9</v>
      </c>
      <c r="E5278" s="59"/>
    </row>
    <row r="5279" spans="3:5" x14ac:dyDescent="0.15">
      <c r="C5279" s="255" t="s">
        <v>798</v>
      </c>
      <c r="D5279" s="59">
        <v>303.60000000000002</v>
      </c>
      <c r="E5279" s="59"/>
    </row>
    <row r="5280" spans="3:5" x14ac:dyDescent="0.15">
      <c r="C5280" s="255" t="s">
        <v>799</v>
      </c>
      <c r="D5280" s="59">
        <v>99.4</v>
      </c>
      <c r="E5280" s="59"/>
    </row>
    <row r="5281" spans="3:5" x14ac:dyDescent="0.15">
      <c r="C5281" s="255" t="s">
        <v>800</v>
      </c>
      <c r="D5281" s="59">
        <v>112.7</v>
      </c>
      <c r="E5281" s="59"/>
    </row>
    <row r="5282" spans="3:5" x14ac:dyDescent="0.15">
      <c r="C5282" s="255" t="s">
        <v>801</v>
      </c>
      <c r="D5282" s="59">
        <v>266.60000000000002</v>
      </c>
      <c r="E5282" s="59"/>
    </row>
    <row r="5283" spans="3:5" x14ac:dyDescent="0.15">
      <c r="C5283" s="255" t="s">
        <v>802</v>
      </c>
      <c r="D5283" s="59">
        <v>1058.3</v>
      </c>
      <c r="E5283" s="59"/>
    </row>
    <row r="5284" spans="3:5" x14ac:dyDescent="0.15">
      <c r="C5284" s="255" t="s">
        <v>803</v>
      </c>
      <c r="D5284" s="59">
        <v>1289.2</v>
      </c>
      <c r="E5284" s="59"/>
    </row>
    <row r="5285" spans="3:5" x14ac:dyDescent="0.15">
      <c r="C5285" s="255" t="s">
        <v>804</v>
      </c>
      <c r="D5285" s="59">
        <v>724.5</v>
      </c>
      <c r="E5285" s="59"/>
    </row>
    <row r="5286" spans="3:5" x14ac:dyDescent="0.15">
      <c r="C5286" s="255" t="s">
        <v>805</v>
      </c>
      <c r="D5286" s="59">
        <v>16.100000000000001</v>
      </c>
      <c r="E5286" s="59"/>
    </row>
    <row r="5287" spans="3:5" x14ac:dyDescent="0.15">
      <c r="C5287" s="255" t="s">
        <v>806</v>
      </c>
      <c r="D5287" s="59">
        <v>755</v>
      </c>
      <c r="E5287" s="59"/>
    </row>
    <row r="5288" spans="3:5" x14ac:dyDescent="0.15">
      <c r="C5288" s="255" t="s">
        <v>807</v>
      </c>
      <c r="D5288" s="59">
        <v>360.2</v>
      </c>
      <c r="E5288" s="59"/>
    </row>
    <row r="5289" spans="3:5" x14ac:dyDescent="0.15">
      <c r="C5289" s="255" t="s">
        <v>808</v>
      </c>
      <c r="D5289" s="59">
        <v>53.8</v>
      </c>
      <c r="E5289" s="59"/>
    </row>
    <row r="5290" spans="3:5" x14ac:dyDescent="0.15">
      <c r="C5290" s="255" t="s">
        <v>809</v>
      </c>
      <c r="D5290" s="59">
        <v>348.6</v>
      </c>
      <c r="E5290" s="59"/>
    </row>
    <row r="5291" spans="3:5" x14ac:dyDescent="0.15">
      <c r="C5291" s="255" t="s">
        <v>810</v>
      </c>
      <c r="D5291" s="59">
        <v>224.6</v>
      </c>
      <c r="E5291" s="59"/>
    </row>
    <row r="5292" spans="3:5" x14ac:dyDescent="0.15">
      <c r="C5292" s="255" t="s">
        <v>811</v>
      </c>
      <c r="D5292" s="59">
        <v>1015.7</v>
      </c>
      <c r="E5292" s="59"/>
    </row>
    <row r="5293" spans="3:5" x14ac:dyDescent="0.15">
      <c r="C5293" s="255" t="s">
        <v>812</v>
      </c>
      <c r="D5293" s="59">
        <v>161.69999999999999</v>
      </c>
      <c r="E5293" s="59"/>
    </row>
    <row r="5294" spans="3:5" x14ac:dyDescent="0.15">
      <c r="C5294" s="255" t="s">
        <v>813</v>
      </c>
      <c r="D5294" s="59">
        <v>37.700000000000003</v>
      </c>
      <c r="E5294" s="59"/>
    </row>
    <row r="5295" spans="3:5" x14ac:dyDescent="0.15">
      <c r="C5295" s="255" t="s">
        <v>814</v>
      </c>
      <c r="D5295" s="59">
        <v>183.9</v>
      </c>
      <c r="E5295" s="59"/>
    </row>
    <row r="5296" spans="3:5" x14ac:dyDescent="0.15">
      <c r="C5296" s="255" t="s">
        <v>815</v>
      </c>
      <c r="D5296" s="59">
        <v>1036.3</v>
      </c>
      <c r="E5296" s="59"/>
    </row>
    <row r="5297" spans="3:5" x14ac:dyDescent="0.15">
      <c r="C5297" s="255" t="s">
        <v>816</v>
      </c>
      <c r="D5297" s="59">
        <v>603.1</v>
      </c>
      <c r="E5297" s="59"/>
    </row>
    <row r="5298" spans="3:5" x14ac:dyDescent="0.15">
      <c r="C5298" s="255" t="s">
        <v>817</v>
      </c>
      <c r="D5298" s="59">
        <v>6700.4</v>
      </c>
      <c r="E5298" s="59"/>
    </row>
    <row r="5299" spans="3:5" x14ac:dyDescent="0.15">
      <c r="C5299" s="255" t="s">
        <v>818</v>
      </c>
      <c r="D5299" s="59">
        <v>629.6</v>
      </c>
      <c r="E5299" s="59"/>
    </row>
    <row r="5300" spans="3:5" x14ac:dyDescent="0.15">
      <c r="C5300" s="255" t="s">
        <v>819</v>
      </c>
      <c r="D5300" s="59">
        <v>11</v>
      </c>
      <c r="E5300" s="59"/>
    </row>
    <row r="5301" spans="3:5" x14ac:dyDescent="0.15">
      <c r="C5301" s="255" t="s">
        <v>820</v>
      </c>
      <c r="D5301" s="59">
        <v>2409.6999999999998</v>
      </c>
      <c r="E5301" s="59"/>
    </row>
    <row r="5302" spans="3:5" x14ac:dyDescent="0.15">
      <c r="C5302" s="255" t="s">
        <v>821</v>
      </c>
      <c r="D5302" s="59">
        <v>39.700000000000003</v>
      </c>
      <c r="E5302" s="59"/>
    </row>
    <row r="5303" spans="3:5" x14ac:dyDescent="0.15">
      <c r="C5303" s="255" t="s">
        <v>822</v>
      </c>
      <c r="D5303" s="59">
        <v>140.19999999999999</v>
      </c>
      <c r="E5303" s="59"/>
    </row>
    <row r="5304" spans="3:5" x14ac:dyDescent="0.15">
      <c r="C5304" s="255" t="s">
        <v>823</v>
      </c>
      <c r="D5304" s="59">
        <v>2.7</v>
      </c>
      <c r="E5304" s="59"/>
    </row>
    <row r="5305" spans="3:5" x14ac:dyDescent="0.15">
      <c r="C5305" s="255" t="s">
        <v>824</v>
      </c>
      <c r="D5305" s="59">
        <v>578.1</v>
      </c>
      <c r="E5305" s="59"/>
    </row>
    <row r="5306" spans="3:5" x14ac:dyDescent="0.15">
      <c r="C5306" s="255" t="s">
        <v>825</v>
      </c>
      <c r="D5306" s="59">
        <v>549.5</v>
      </c>
      <c r="E5306" s="59"/>
    </row>
    <row r="5307" spans="3:5" x14ac:dyDescent="0.15">
      <c r="C5307" s="255" t="s">
        <v>826</v>
      </c>
      <c r="D5307" s="59">
        <v>5.9</v>
      </c>
      <c r="E5307" s="59"/>
    </row>
    <row r="5308" spans="3:5" x14ac:dyDescent="0.15">
      <c r="C5308" s="255" t="s">
        <v>827</v>
      </c>
      <c r="D5308" s="59">
        <v>2.4</v>
      </c>
      <c r="E5308" s="59"/>
    </row>
    <row r="5309" spans="3:5" x14ac:dyDescent="0.15">
      <c r="C5309" s="255" t="s">
        <v>828</v>
      </c>
      <c r="D5309" s="59">
        <v>1882.4</v>
      </c>
      <c r="E5309" s="59"/>
    </row>
    <row r="5310" spans="3:5" x14ac:dyDescent="0.15">
      <c r="C5310" s="255" t="s">
        <v>829</v>
      </c>
      <c r="D5310" s="59">
        <v>10</v>
      </c>
      <c r="E5310" s="59"/>
    </row>
    <row r="5311" spans="3:5" x14ac:dyDescent="0.15">
      <c r="C5311" s="255" t="s">
        <v>830</v>
      </c>
      <c r="D5311" s="59">
        <v>439</v>
      </c>
      <c r="E5311" s="59"/>
    </row>
    <row r="5312" spans="3:5" x14ac:dyDescent="0.15">
      <c r="C5312" s="255" t="s">
        <v>831</v>
      </c>
      <c r="D5312" s="59">
        <v>0</v>
      </c>
      <c r="E5312" s="59"/>
    </row>
    <row r="5313" spans="3:5" x14ac:dyDescent="0.15">
      <c r="C5313" s="255" t="s">
        <v>832</v>
      </c>
      <c r="D5313" s="59">
        <v>11324.8</v>
      </c>
      <c r="E5313" s="59"/>
    </row>
    <row r="5314" spans="3:5" x14ac:dyDescent="0.15">
      <c r="C5314" s="255" t="s">
        <v>833</v>
      </c>
      <c r="D5314" s="59">
        <v>59.7</v>
      </c>
      <c r="E5314" s="59"/>
    </row>
    <row r="5315" spans="3:5" x14ac:dyDescent="0.15">
      <c r="C5315" s="255" t="s">
        <v>834</v>
      </c>
      <c r="D5315" s="59">
        <v>2715.8</v>
      </c>
      <c r="E5315" s="59"/>
    </row>
    <row r="5316" spans="3:5" x14ac:dyDescent="0.15">
      <c r="C5316" s="255" t="s">
        <v>835</v>
      </c>
      <c r="D5316" s="59">
        <v>4500.2</v>
      </c>
      <c r="E5316" s="59"/>
    </row>
    <row r="5317" spans="3:5" x14ac:dyDescent="0.15">
      <c r="C5317" s="255" t="s">
        <v>836</v>
      </c>
      <c r="D5317" s="59">
        <v>1184.4000000000001</v>
      </c>
      <c r="E5317" s="59"/>
    </row>
    <row r="5318" spans="3:5" x14ac:dyDescent="0.15">
      <c r="C5318" s="255" t="s">
        <v>837</v>
      </c>
      <c r="D5318" s="59">
        <v>330</v>
      </c>
      <c r="E5318" s="59"/>
    </row>
    <row r="5319" spans="3:5" x14ac:dyDescent="0.15">
      <c r="C5319" s="255" t="s">
        <v>838</v>
      </c>
      <c r="D5319" s="59">
        <v>184.2</v>
      </c>
      <c r="E5319" s="59"/>
    </row>
    <row r="5320" spans="3:5" x14ac:dyDescent="0.15">
      <c r="C5320" s="255" t="s">
        <v>839</v>
      </c>
      <c r="D5320" s="59">
        <v>125</v>
      </c>
      <c r="E5320" s="59"/>
    </row>
    <row r="5321" spans="3:5" x14ac:dyDescent="0.15">
      <c r="C5321" s="255" t="s">
        <v>840</v>
      </c>
      <c r="D5321" s="59">
        <v>16.3</v>
      </c>
      <c r="E5321" s="59"/>
    </row>
    <row r="5322" spans="3:5" x14ac:dyDescent="0.15">
      <c r="C5322" s="255" t="s">
        <v>841</v>
      </c>
      <c r="D5322" s="59">
        <v>738.8</v>
      </c>
      <c r="E5322" s="59"/>
    </row>
    <row r="5323" spans="3:5" x14ac:dyDescent="0.15">
      <c r="C5323" s="255" t="s">
        <v>842</v>
      </c>
      <c r="D5323" s="59">
        <v>1203.2</v>
      </c>
      <c r="E5323" s="59"/>
    </row>
    <row r="5324" spans="3:5" x14ac:dyDescent="0.15">
      <c r="C5324" s="255" t="s">
        <v>843</v>
      </c>
      <c r="D5324" s="59">
        <v>252.3</v>
      </c>
      <c r="E5324" s="59"/>
    </row>
    <row r="5325" spans="3:5" x14ac:dyDescent="0.15">
      <c r="C5325" s="255" t="s">
        <v>844</v>
      </c>
      <c r="D5325" s="59">
        <v>14.8</v>
      </c>
      <c r="E5325" s="59"/>
    </row>
    <row r="5326" spans="3:5" x14ac:dyDescent="0.15">
      <c r="C5326" s="255" t="s">
        <v>845</v>
      </c>
      <c r="D5326" s="59">
        <v>98046</v>
      </c>
      <c r="E5326" s="59"/>
    </row>
    <row r="5327" spans="3:5" x14ac:dyDescent="0.15">
      <c r="C5327" s="255" t="s">
        <v>846</v>
      </c>
      <c r="D5327" s="59">
        <v>27080.400000000001</v>
      </c>
      <c r="E5327" s="59"/>
    </row>
    <row r="5328" spans="3:5" x14ac:dyDescent="0.15">
      <c r="C5328" s="255" t="s">
        <v>847</v>
      </c>
      <c r="D5328" s="59">
        <v>69.8</v>
      </c>
      <c r="E5328" s="59"/>
    </row>
    <row r="5329" spans="3:5" x14ac:dyDescent="0.15">
      <c r="C5329" s="255" t="s">
        <v>848</v>
      </c>
      <c r="D5329" s="59">
        <v>33878.699999999997</v>
      </c>
      <c r="E5329" s="59"/>
    </row>
    <row r="5330" spans="3:5" x14ac:dyDescent="0.15">
      <c r="C5330" s="255" t="s">
        <v>849</v>
      </c>
      <c r="D5330" s="59">
        <v>2035.1</v>
      </c>
      <c r="E5330" s="59"/>
    </row>
    <row r="5331" spans="3:5" x14ac:dyDescent="0.15">
      <c r="C5331" s="255" t="s">
        <v>850</v>
      </c>
      <c r="D5331" s="59">
        <v>1669.2</v>
      </c>
      <c r="E5331" s="59"/>
    </row>
    <row r="5332" spans="3:5" x14ac:dyDescent="0.15">
      <c r="C5332" s="255" t="s">
        <v>851</v>
      </c>
      <c r="D5332" s="59">
        <v>0</v>
      </c>
      <c r="E5332" s="59"/>
    </row>
    <row r="5333" spans="3:5" x14ac:dyDescent="0.15">
      <c r="C5333" s="255" t="s">
        <v>852</v>
      </c>
      <c r="D5333" s="59">
        <v>0</v>
      </c>
      <c r="E5333" s="59"/>
    </row>
    <row r="5334" spans="3:5" x14ac:dyDescent="0.15">
      <c r="C5334" s="255" t="s">
        <v>853</v>
      </c>
      <c r="D5334" s="59">
        <v>203.1</v>
      </c>
      <c r="E5334" s="59"/>
    </row>
    <row r="5335" spans="3:5" x14ac:dyDescent="0.15">
      <c r="C5335" s="255" t="s">
        <v>854</v>
      </c>
      <c r="D5335" s="59">
        <v>0</v>
      </c>
      <c r="E5335" s="59"/>
    </row>
    <row r="5336" spans="3:5" x14ac:dyDescent="0.15">
      <c r="C5336" s="255" t="s">
        <v>855</v>
      </c>
      <c r="D5336" s="59">
        <v>283.3</v>
      </c>
      <c r="E5336" s="59"/>
    </row>
    <row r="5337" spans="3:5" x14ac:dyDescent="0.15">
      <c r="C5337" s="255" t="s">
        <v>856</v>
      </c>
      <c r="D5337" s="59">
        <v>2389.1999999999998</v>
      </c>
      <c r="E5337" s="59"/>
    </row>
    <row r="5338" spans="3:5" x14ac:dyDescent="0.15">
      <c r="C5338" s="255" t="s">
        <v>857</v>
      </c>
      <c r="D5338" s="59">
        <v>2237.6999999999998</v>
      </c>
      <c r="E5338" s="59"/>
    </row>
    <row r="5339" spans="3:5" x14ac:dyDescent="0.15">
      <c r="C5339" s="255" t="s">
        <v>858</v>
      </c>
      <c r="D5339" s="59">
        <v>2479.1</v>
      </c>
      <c r="E5339" s="59"/>
    </row>
    <row r="5340" spans="3:5" x14ac:dyDescent="0.15">
      <c r="C5340" s="255" t="s">
        <v>859</v>
      </c>
      <c r="D5340" s="59">
        <v>2315.1999999999998</v>
      </c>
      <c r="E5340" s="59"/>
    </row>
    <row r="5341" spans="3:5" x14ac:dyDescent="0.15">
      <c r="C5341" s="255" t="s">
        <v>860</v>
      </c>
      <c r="D5341" s="59">
        <v>211.8</v>
      </c>
      <c r="E5341" s="59"/>
    </row>
    <row r="5342" spans="3:5" x14ac:dyDescent="0.15">
      <c r="C5342" s="255" t="s">
        <v>861</v>
      </c>
      <c r="D5342" s="59">
        <v>1937.2</v>
      </c>
      <c r="E5342" s="59"/>
    </row>
    <row r="5343" spans="3:5" x14ac:dyDescent="0.15">
      <c r="C5343" s="255" t="s">
        <v>862</v>
      </c>
      <c r="D5343" s="59">
        <v>7501</v>
      </c>
      <c r="E5343" s="59"/>
    </row>
    <row r="5344" spans="3:5" x14ac:dyDescent="0.15">
      <c r="C5344" s="255" t="s">
        <v>863</v>
      </c>
      <c r="D5344" s="59">
        <v>1696.7</v>
      </c>
      <c r="E5344" s="59"/>
    </row>
    <row r="5345" spans="3:5" x14ac:dyDescent="0.15">
      <c r="C5345" s="255" t="s">
        <v>864</v>
      </c>
      <c r="D5345" s="59">
        <v>93.1</v>
      </c>
      <c r="E5345" s="59"/>
    </row>
    <row r="5346" spans="3:5" x14ac:dyDescent="0.15">
      <c r="C5346" s="255" t="s">
        <v>865</v>
      </c>
      <c r="D5346" s="59">
        <v>757</v>
      </c>
      <c r="E5346" s="59"/>
    </row>
    <row r="5347" spans="3:5" x14ac:dyDescent="0.15">
      <c r="C5347" s="255" t="s">
        <v>866</v>
      </c>
      <c r="D5347" s="59">
        <v>41.3</v>
      </c>
      <c r="E5347" s="59"/>
    </row>
    <row r="5348" spans="3:5" x14ac:dyDescent="0.15">
      <c r="C5348" s="255" t="s">
        <v>867</v>
      </c>
      <c r="D5348" s="59">
        <v>1210.3</v>
      </c>
      <c r="E5348" s="59"/>
    </row>
    <row r="5349" spans="3:5" x14ac:dyDescent="0.15">
      <c r="C5349" s="255" t="s">
        <v>868</v>
      </c>
      <c r="D5349" s="59">
        <v>9956.7999999999993</v>
      </c>
      <c r="E5349" s="59"/>
    </row>
    <row r="5350" spans="3:5" x14ac:dyDescent="0.15">
      <c r="C5350" s="255" t="s">
        <v>869</v>
      </c>
      <c r="D5350" s="59">
        <v>15884.1</v>
      </c>
      <c r="E5350" s="59"/>
    </row>
    <row r="5351" spans="3:5" x14ac:dyDescent="0.15">
      <c r="C5351" s="255" t="s">
        <v>870</v>
      </c>
      <c r="D5351" s="59">
        <v>3670.6</v>
      </c>
      <c r="E5351" s="59"/>
    </row>
    <row r="5352" spans="3:5" x14ac:dyDescent="0.15">
      <c r="C5352" s="255" t="s">
        <v>871</v>
      </c>
      <c r="D5352" s="59">
        <v>576.6</v>
      </c>
      <c r="E5352" s="59"/>
    </row>
    <row r="5353" spans="3:5" x14ac:dyDescent="0.15">
      <c r="C5353" s="255" t="s">
        <v>872</v>
      </c>
      <c r="D5353" s="59">
        <v>495.5</v>
      </c>
      <c r="E5353" s="59"/>
    </row>
    <row r="5354" spans="3:5" x14ac:dyDescent="0.15">
      <c r="C5354" s="255" t="s">
        <v>873</v>
      </c>
      <c r="D5354" s="59">
        <v>850.6</v>
      </c>
      <c r="E5354" s="59"/>
    </row>
    <row r="5355" spans="3:5" x14ac:dyDescent="0.15">
      <c r="C5355" s="255" t="s">
        <v>874</v>
      </c>
      <c r="D5355" s="59">
        <v>251</v>
      </c>
      <c r="E5355" s="59"/>
    </row>
    <row r="5356" spans="3:5" x14ac:dyDescent="0.15">
      <c r="C5356" s="255" t="s">
        <v>875</v>
      </c>
      <c r="D5356" s="59">
        <v>28</v>
      </c>
      <c r="E5356" s="59"/>
    </row>
    <row r="5357" spans="3:5" x14ac:dyDescent="0.15">
      <c r="C5357" s="255" t="s">
        <v>876</v>
      </c>
      <c r="D5357" s="59">
        <v>16.100000000000001</v>
      </c>
      <c r="E5357" s="59"/>
    </row>
    <row r="5358" spans="3:5" x14ac:dyDescent="0.15">
      <c r="C5358" s="255" t="s">
        <v>877</v>
      </c>
      <c r="D5358" s="59">
        <v>20.8</v>
      </c>
      <c r="E5358" s="59"/>
    </row>
    <row r="5359" spans="3:5" x14ac:dyDescent="0.15">
      <c r="C5359" s="255" t="s">
        <v>878</v>
      </c>
      <c r="D5359" s="59">
        <v>186.4</v>
      </c>
      <c r="E5359" s="59"/>
    </row>
    <row r="5360" spans="3:5" x14ac:dyDescent="0.15">
      <c r="C5360" s="255" t="s">
        <v>879</v>
      </c>
      <c r="D5360" s="59">
        <v>837.9</v>
      </c>
      <c r="E5360" s="59"/>
    </row>
    <row r="5361" spans="3:5" x14ac:dyDescent="0.15">
      <c r="C5361" s="255" t="s">
        <v>880</v>
      </c>
      <c r="D5361" s="59">
        <v>87.1</v>
      </c>
      <c r="E5361" s="59"/>
    </row>
    <row r="5362" spans="3:5" x14ac:dyDescent="0.15">
      <c r="C5362" s="255" t="s">
        <v>881</v>
      </c>
      <c r="D5362" s="59">
        <v>0.4</v>
      </c>
      <c r="E5362" s="59"/>
    </row>
    <row r="5363" spans="3:5" x14ac:dyDescent="0.15">
      <c r="C5363" s="255" t="s">
        <v>882</v>
      </c>
      <c r="D5363" s="59">
        <v>185.6</v>
      </c>
      <c r="E5363" s="59"/>
    </row>
    <row r="5364" spans="3:5" x14ac:dyDescent="0.15">
      <c r="C5364" s="255" t="s">
        <v>883</v>
      </c>
      <c r="D5364" s="59">
        <v>454</v>
      </c>
      <c r="E5364" s="59"/>
    </row>
    <row r="5365" spans="3:5" x14ac:dyDescent="0.15">
      <c r="C5365" s="255" t="s">
        <v>884</v>
      </c>
      <c r="D5365" s="59">
        <v>784.5</v>
      </c>
      <c r="E5365" s="59"/>
    </row>
    <row r="5366" spans="3:5" x14ac:dyDescent="0.15">
      <c r="C5366" s="255" t="s">
        <v>885</v>
      </c>
      <c r="D5366" s="59">
        <v>326.5</v>
      </c>
      <c r="E5366" s="59"/>
    </row>
    <row r="5367" spans="3:5" x14ac:dyDescent="0.15">
      <c r="C5367" s="255" t="s">
        <v>886</v>
      </c>
      <c r="D5367" s="59">
        <v>149.4</v>
      </c>
      <c r="E5367" s="59"/>
    </row>
    <row r="5368" spans="3:5" x14ac:dyDescent="0.15">
      <c r="C5368" s="255" t="s">
        <v>887</v>
      </c>
      <c r="D5368" s="59">
        <v>202</v>
      </c>
      <c r="E5368" s="59"/>
    </row>
    <row r="5369" spans="3:5" x14ac:dyDescent="0.15">
      <c r="C5369" s="255" t="s">
        <v>888</v>
      </c>
      <c r="D5369" s="59">
        <v>25.8</v>
      </c>
      <c r="E5369" s="59"/>
    </row>
    <row r="5370" spans="3:5" x14ac:dyDescent="0.15">
      <c r="C5370" s="255" t="s">
        <v>889</v>
      </c>
      <c r="D5370" s="59">
        <v>198.6</v>
      </c>
      <c r="E5370" s="59"/>
    </row>
    <row r="5371" spans="3:5" x14ac:dyDescent="0.15">
      <c r="C5371" s="255" t="s">
        <v>890</v>
      </c>
      <c r="D5371" s="59">
        <v>91.7</v>
      </c>
      <c r="E5371" s="59"/>
    </row>
    <row r="5372" spans="3:5" x14ac:dyDescent="0.15">
      <c r="C5372" s="255" t="s">
        <v>891</v>
      </c>
      <c r="D5372" s="59">
        <v>19.7</v>
      </c>
      <c r="E5372" s="59"/>
    </row>
    <row r="5373" spans="3:5" x14ac:dyDescent="0.15">
      <c r="C5373" s="255" t="s">
        <v>892</v>
      </c>
      <c r="D5373" s="59">
        <v>12.9</v>
      </c>
      <c r="E5373" s="59"/>
    </row>
    <row r="5374" spans="3:5" x14ac:dyDescent="0.15">
      <c r="C5374" s="255" t="s">
        <v>893</v>
      </c>
      <c r="D5374" s="59">
        <v>166.5</v>
      </c>
      <c r="E5374" s="59"/>
    </row>
    <row r="5375" spans="3:5" x14ac:dyDescent="0.15">
      <c r="C5375" s="255" t="s">
        <v>894</v>
      </c>
      <c r="D5375" s="59">
        <v>27.6</v>
      </c>
      <c r="E5375" s="59"/>
    </row>
    <row r="5376" spans="3:5" x14ac:dyDescent="0.15">
      <c r="C5376" s="255" t="s">
        <v>895</v>
      </c>
      <c r="D5376" s="59">
        <v>453.1</v>
      </c>
      <c r="E5376" s="59"/>
    </row>
    <row r="5377" spans="3:5" x14ac:dyDescent="0.15">
      <c r="C5377" s="255" t="s">
        <v>896</v>
      </c>
      <c r="D5377" s="59">
        <v>57.5</v>
      </c>
      <c r="E5377" s="59"/>
    </row>
    <row r="5378" spans="3:5" x14ac:dyDescent="0.15">
      <c r="C5378" s="255" t="s">
        <v>897</v>
      </c>
      <c r="D5378" s="59">
        <v>1008</v>
      </c>
      <c r="E5378" s="59"/>
    </row>
    <row r="5379" spans="3:5" x14ac:dyDescent="0.15">
      <c r="C5379" s="255" t="s">
        <v>898</v>
      </c>
      <c r="D5379" s="59">
        <v>402</v>
      </c>
      <c r="E5379" s="59"/>
    </row>
    <row r="5380" spans="3:5" x14ac:dyDescent="0.15">
      <c r="C5380" s="255" t="s">
        <v>899</v>
      </c>
      <c r="D5380" s="59">
        <v>91.3</v>
      </c>
      <c r="E5380" s="59"/>
    </row>
    <row r="5381" spans="3:5" x14ac:dyDescent="0.15">
      <c r="C5381" s="255" t="s">
        <v>900</v>
      </c>
      <c r="D5381" s="59">
        <v>348</v>
      </c>
      <c r="E5381" s="59"/>
    </row>
    <row r="5382" spans="3:5" x14ac:dyDescent="0.15">
      <c r="C5382" s="255" t="s">
        <v>901</v>
      </c>
      <c r="D5382" s="59">
        <v>812.6</v>
      </c>
      <c r="E5382" s="59"/>
    </row>
    <row r="5383" spans="3:5" x14ac:dyDescent="0.15">
      <c r="C5383" s="255" t="s">
        <v>902</v>
      </c>
      <c r="D5383" s="59">
        <v>22</v>
      </c>
      <c r="E5383" s="59"/>
    </row>
    <row r="5384" spans="3:5" x14ac:dyDescent="0.15">
      <c r="C5384" s="255" t="s">
        <v>903</v>
      </c>
      <c r="D5384" s="59">
        <v>852.3</v>
      </c>
      <c r="E5384" s="59"/>
    </row>
    <row r="5385" spans="3:5" x14ac:dyDescent="0.15">
      <c r="C5385" s="255" t="s">
        <v>904</v>
      </c>
      <c r="D5385" s="59">
        <v>1134.9000000000001</v>
      </c>
      <c r="E5385" s="59"/>
    </row>
    <row r="5386" spans="3:5" x14ac:dyDescent="0.15">
      <c r="C5386" s="255" t="s">
        <v>905</v>
      </c>
      <c r="D5386" s="59">
        <v>278.39999999999998</v>
      </c>
      <c r="E5386" s="59"/>
    </row>
    <row r="5387" spans="3:5" x14ac:dyDescent="0.15">
      <c r="C5387" s="255" t="s">
        <v>906</v>
      </c>
      <c r="D5387" s="59">
        <v>86.2</v>
      </c>
      <c r="E5387" s="59"/>
    </row>
    <row r="5388" spans="3:5" x14ac:dyDescent="0.15">
      <c r="C5388" s="255" t="s">
        <v>907</v>
      </c>
      <c r="D5388" s="59">
        <v>672</v>
      </c>
      <c r="E5388" s="59"/>
    </row>
    <row r="5389" spans="3:5" x14ac:dyDescent="0.15">
      <c r="C5389" s="255" t="s">
        <v>908</v>
      </c>
      <c r="D5389" s="59">
        <v>7715.7</v>
      </c>
      <c r="E5389" s="59"/>
    </row>
    <row r="5390" spans="3:5" x14ac:dyDescent="0.15">
      <c r="C5390" s="255" t="s">
        <v>909</v>
      </c>
      <c r="D5390" s="59">
        <v>2250</v>
      </c>
      <c r="E5390" s="59"/>
    </row>
    <row r="5391" spans="3:5" x14ac:dyDescent="0.15">
      <c r="C5391" s="255" t="s">
        <v>910</v>
      </c>
      <c r="D5391" s="59">
        <v>7.3</v>
      </c>
      <c r="E5391" s="59"/>
    </row>
    <row r="5392" spans="3:5" x14ac:dyDescent="0.15">
      <c r="C5392" s="255" t="s">
        <v>911</v>
      </c>
      <c r="D5392" s="59">
        <v>232.3</v>
      </c>
      <c r="E5392" s="59"/>
    </row>
    <row r="5393" spans="3:5" x14ac:dyDescent="0.15">
      <c r="C5393" s="255" t="s">
        <v>912</v>
      </c>
      <c r="D5393" s="59">
        <v>1054.2</v>
      </c>
      <c r="E5393" s="59"/>
    </row>
    <row r="5394" spans="3:5" x14ac:dyDescent="0.15">
      <c r="C5394" s="255" t="s">
        <v>913</v>
      </c>
      <c r="D5394" s="59">
        <v>0</v>
      </c>
      <c r="E5394" s="59"/>
    </row>
    <row r="5395" spans="3:5" x14ac:dyDescent="0.15">
      <c r="C5395" s="255" t="s">
        <v>914</v>
      </c>
      <c r="D5395" s="59">
        <v>2.2000000000000002</v>
      </c>
      <c r="E5395" s="59"/>
    </row>
    <row r="5396" spans="3:5" x14ac:dyDescent="0.15">
      <c r="C5396" s="255" t="s">
        <v>915</v>
      </c>
      <c r="D5396" s="59">
        <v>38.9</v>
      </c>
      <c r="E5396" s="59"/>
    </row>
    <row r="5397" spans="3:5" x14ac:dyDescent="0.15">
      <c r="C5397" s="255" t="s">
        <v>916</v>
      </c>
      <c r="D5397" s="59">
        <v>213.3</v>
      </c>
      <c r="E5397" s="59"/>
    </row>
    <row r="5398" spans="3:5" x14ac:dyDescent="0.15">
      <c r="C5398" s="255" t="s">
        <v>917</v>
      </c>
      <c r="D5398" s="59">
        <v>97.2</v>
      </c>
      <c r="E5398" s="59"/>
    </row>
    <row r="5399" spans="3:5" x14ac:dyDescent="0.15">
      <c r="C5399" s="255" t="s">
        <v>918</v>
      </c>
      <c r="D5399" s="59">
        <v>2629.1</v>
      </c>
      <c r="E5399" s="59"/>
    </row>
    <row r="5400" spans="3:5" x14ac:dyDescent="0.15">
      <c r="C5400" s="255" t="s">
        <v>919</v>
      </c>
      <c r="D5400" s="59">
        <v>1.9</v>
      </c>
      <c r="E5400" s="59"/>
    </row>
    <row r="5401" spans="3:5" x14ac:dyDescent="0.15">
      <c r="C5401" s="255" t="s">
        <v>920</v>
      </c>
      <c r="D5401" s="59">
        <v>1189.3</v>
      </c>
      <c r="E5401" s="59"/>
    </row>
    <row r="5402" spans="3:5" x14ac:dyDescent="0.15">
      <c r="C5402" s="255" t="s">
        <v>921</v>
      </c>
      <c r="D5402" s="59">
        <v>0</v>
      </c>
      <c r="E5402" s="59"/>
    </row>
    <row r="5403" spans="3:5" x14ac:dyDescent="0.15">
      <c r="C5403" s="255" t="s">
        <v>922</v>
      </c>
      <c r="D5403" s="59">
        <v>40731.699999999997</v>
      </c>
      <c r="E5403" s="59"/>
    </row>
    <row r="5404" spans="3:5" x14ac:dyDescent="0.15">
      <c r="C5404" s="255" t="s">
        <v>923</v>
      </c>
      <c r="D5404" s="59">
        <v>11013.6</v>
      </c>
      <c r="E5404" s="59"/>
    </row>
    <row r="5405" spans="3:5" x14ac:dyDescent="0.15">
      <c r="C5405" s="255" t="s">
        <v>924</v>
      </c>
      <c r="D5405" s="59">
        <v>3506.1</v>
      </c>
      <c r="E5405" s="59"/>
    </row>
    <row r="5406" spans="3:5" x14ac:dyDescent="0.15">
      <c r="C5406" s="255" t="s">
        <v>925</v>
      </c>
      <c r="D5406" s="59">
        <v>354.3</v>
      </c>
      <c r="E5406" s="59"/>
    </row>
    <row r="5407" spans="3:5" x14ac:dyDescent="0.15">
      <c r="C5407" s="255" t="s">
        <v>926</v>
      </c>
      <c r="D5407" s="59">
        <v>941.4</v>
      </c>
      <c r="E5407" s="59"/>
    </row>
    <row r="5408" spans="3:5" x14ac:dyDescent="0.15">
      <c r="C5408" s="255" t="s">
        <v>927</v>
      </c>
      <c r="D5408" s="59">
        <v>559</v>
      </c>
      <c r="E5408" s="59"/>
    </row>
    <row r="5409" spans="3:5" x14ac:dyDescent="0.15">
      <c r="C5409" s="255" t="s">
        <v>928</v>
      </c>
      <c r="D5409" s="59">
        <v>827.8</v>
      </c>
      <c r="E5409" s="59"/>
    </row>
    <row r="5410" spans="3:5" x14ac:dyDescent="0.15">
      <c r="C5410" s="255" t="s">
        <v>929</v>
      </c>
      <c r="D5410" s="59">
        <v>220.8</v>
      </c>
      <c r="E5410" s="59"/>
    </row>
    <row r="5411" spans="3:5" x14ac:dyDescent="0.15">
      <c r="C5411" s="255" t="s">
        <v>930</v>
      </c>
      <c r="D5411" s="59">
        <v>1793.2</v>
      </c>
      <c r="E5411" s="59"/>
    </row>
    <row r="5412" spans="3:5" x14ac:dyDescent="0.15">
      <c r="C5412" s="255" t="s">
        <v>931</v>
      </c>
      <c r="D5412" s="59">
        <v>5455.7</v>
      </c>
      <c r="E5412" s="59"/>
    </row>
    <row r="5413" spans="3:5" x14ac:dyDescent="0.15">
      <c r="C5413" s="255" t="s">
        <v>932</v>
      </c>
      <c r="D5413" s="59">
        <v>0</v>
      </c>
      <c r="E5413" s="59"/>
    </row>
    <row r="5414" spans="3:5" x14ac:dyDescent="0.15">
      <c r="C5414" s="255" t="s">
        <v>933</v>
      </c>
      <c r="D5414" s="59">
        <v>41.3</v>
      </c>
      <c r="E5414" s="59"/>
    </row>
    <row r="5415" spans="3:5" x14ac:dyDescent="0.15">
      <c r="C5415" s="255" t="s">
        <v>934</v>
      </c>
      <c r="D5415" s="59">
        <v>4822.6000000000004</v>
      </c>
      <c r="E5415" s="59"/>
    </row>
    <row r="5416" spans="3:5" x14ac:dyDescent="0.15">
      <c r="C5416" s="255" t="s">
        <v>935</v>
      </c>
      <c r="D5416" s="59">
        <v>2433.9</v>
      </c>
      <c r="E5416" s="59"/>
    </row>
    <row r="5417" spans="3:5" x14ac:dyDescent="0.15">
      <c r="C5417" s="255" t="s">
        <v>936</v>
      </c>
      <c r="D5417" s="59">
        <v>3599.4</v>
      </c>
      <c r="E5417" s="59"/>
    </row>
    <row r="5418" spans="3:5" x14ac:dyDescent="0.15">
      <c r="C5418" s="255" t="s">
        <v>937</v>
      </c>
      <c r="D5418" s="59">
        <v>679.9</v>
      </c>
      <c r="E5418" s="59"/>
    </row>
    <row r="5419" spans="3:5" x14ac:dyDescent="0.15">
      <c r="C5419" s="255" t="s">
        <v>938</v>
      </c>
      <c r="D5419" s="59">
        <v>350.4</v>
      </c>
      <c r="E5419" s="59"/>
    </row>
    <row r="5420" spans="3:5" x14ac:dyDescent="0.15">
      <c r="C5420" s="255" t="s">
        <v>939</v>
      </c>
      <c r="D5420" s="59">
        <v>4.5</v>
      </c>
      <c r="E5420" s="59"/>
    </row>
    <row r="5421" spans="3:5" x14ac:dyDescent="0.15">
      <c r="C5421" s="255" t="s">
        <v>940</v>
      </c>
      <c r="D5421" s="59">
        <v>110.4</v>
      </c>
      <c r="E5421" s="59"/>
    </row>
    <row r="5422" spans="3:5" x14ac:dyDescent="0.15">
      <c r="C5422" s="255" t="s">
        <v>941</v>
      </c>
      <c r="D5422" s="59">
        <v>329.3</v>
      </c>
      <c r="E5422" s="59"/>
    </row>
    <row r="5423" spans="3:5" x14ac:dyDescent="0.15">
      <c r="C5423" s="255" t="s">
        <v>942</v>
      </c>
      <c r="D5423" s="59">
        <v>17.3</v>
      </c>
      <c r="E5423" s="59"/>
    </row>
    <row r="5424" spans="3:5" x14ac:dyDescent="0.15">
      <c r="C5424" s="255" t="s">
        <v>943</v>
      </c>
      <c r="D5424" s="59">
        <v>1456.4</v>
      </c>
      <c r="E5424" s="59"/>
    </row>
    <row r="5425" spans="3:5" x14ac:dyDescent="0.15">
      <c r="C5425" s="255" t="s">
        <v>944</v>
      </c>
      <c r="D5425" s="59">
        <v>442.1</v>
      </c>
      <c r="E5425" s="59"/>
    </row>
    <row r="5426" spans="3:5" x14ac:dyDescent="0.15">
      <c r="C5426" s="255" t="s">
        <v>945</v>
      </c>
      <c r="D5426" s="59">
        <v>1678.6</v>
      </c>
      <c r="E5426" s="59"/>
    </row>
    <row r="5427" spans="3:5" x14ac:dyDescent="0.15">
      <c r="C5427" s="255" t="s">
        <v>946</v>
      </c>
      <c r="D5427" s="59">
        <v>70.3</v>
      </c>
      <c r="E5427" s="59"/>
    </row>
    <row r="5428" spans="3:5" x14ac:dyDescent="0.15">
      <c r="C5428" s="255" t="s">
        <v>947</v>
      </c>
      <c r="D5428" s="59">
        <v>23.4</v>
      </c>
      <c r="E5428" s="59"/>
    </row>
    <row r="5429" spans="3:5" x14ac:dyDescent="0.15">
      <c r="C5429" s="255" t="s">
        <v>948</v>
      </c>
      <c r="D5429" s="59">
        <v>8497.1</v>
      </c>
      <c r="E5429" s="59"/>
    </row>
    <row r="5430" spans="3:5" x14ac:dyDescent="0.15">
      <c r="C5430" s="255" t="s">
        <v>949</v>
      </c>
      <c r="D5430" s="59">
        <v>175.5</v>
      </c>
      <c r="E5430" s="59"/>
    </row>
    <row r="5431" spans="3:5" x14ac:dyDescent="0.15">
      <c r="C5431" s="255" t="s">
        <v>950</v>
      </c>
      <c r="D5431" s="59">
        <v>1</v>
      </c>
      <c r="E5431" s="59"/>
    </row>
    <row r="5432" spans="3:5" x14ac:dyDescent="0.15">
      <c r="C5432" s="255" t="s">
        <v>951</v>
      </c>
      <c r="D5432" s="59">
        <v>1360.2</v>
      </c>
      <c r="E5432" s="59"/>
    </row>
    <row r="5433" spans="3:5" x14ac:dyDescent="0.15">
      <c r="C5433" s="255" t="s">
        <v>952</v>
      </c>
      <c r="D5433" s="59">
        <v>53.6</v>
      </c>
      <c r="E5433" s="59"/>
    </row>
    <row r="5434" spans="3:5" x14ac:dyDescent="0.15">
      <c r="C5434" s="255" t="s">
        <v>953</v>
      </c>
      <c r="D5434" s="59">
        <v>246.5</v>
      </c>
      <c r="E5434" s="59"/>
    </row>
    <row r="5435" spans="3:5" x14ac:dyDescent="0.15">
      <c r="C5435" s="255" t="s">
        <v>954</v>
      </c>
      <c r="D5435" s="59">
        <v>2576.6</v>
      </c>
      <c r="E5435" s="59"/>
    </row>
    <row r="5436" spans="3:5" x14ac:dyDescent="0.15">
      <c r="C5436" s="255" t="s">
        <v>955</v>
      </c>
      <c r="D5436" s="59">
        <v>1561.6</v>
      </c>
      <c r="E5436" s="59"/>
    </row>
    <row r="5437" spans="3:5" x14ac:dyDescent="0.15">
      <c r="C5437" s="255" t="s">
        <v>956</v>
      </c>
      <c r="D5437" s="59">
        <v>2522.1</v>
      </c>
      <c r="E5437" s="59"/>
    </row>
    <row r="5438" spans="3:5" x14ac:dyDescent="0.15">
      <c r="C5438" s="255" t="s">
        <v>957</v>
      </c>
      <c r="D5438" s="59">
        <v>29052.6</v>
      </c>
      <c r="E5438" s="59"/>
    </row>
    <row r="5439" spans="3:5" x14ac:dyDescent="0.15">
      <c r="C5439" s="255" t="s">
        <v>958</v>
      </c>
      <c r="D5439" s="59">
        <v>153.1</v>
      </c>
      <c r="E5439" s="59"/>
    </row>
    <row r="5440" spans="3:5" x14ac:dyDescent="0.15">
      <c r="C5440" s="255" t="s">
        <v>959</v>
      </c>
      <c r="D5440" s="59">
        <v>978.6</v>
      </c>
      <c r="E5440" s="59"/>
    </row>
    <row r="5441" spans="3:5" x14ac:dyDescent="0.15">
      <c r="C5441" s="255" t="s">
        <v>960</v>
      </c>
      <c r="D5441" s="59">
        <v>91.6</v>
      </c>
      <c r="E5441" s="59"/>
    </row>
    <row r="5442" spans="3:5" x14ac:dyDescent="0.15">
      <c r="C5442" s="255" t="s">
        <v>961</v>
      </c>
      <c r="D5442" s="59">
        <v>90.4</v>
      </c>
      <c r="E5442" s="59"/>
    </row>
    <row r="5443" spans="3:5" x14ac:dyDescent="0.15">
      <c r="C5443" s="255" t="s">
        <v>962</v>
      </c>
      <c r="D5443" s="59">
        <v>1.9</v>
      </c>
      <c r="E5443" s="59"/>
    </row>
    <row r="5444" spans="3:5" x14ac:dyDescent="0.15">
      <c r="C5444" s="255" t="s">
        <v>963</v>
      </c>
      <c r="D5444" s="59">
        <v>1125</v>
      </c>
      <c r="E5444" s="59"/>
    </row>
    <row r="5445" spans="3:5" x14ac:dyDescent="0.15">
      <c r="C5445" s="255" t="s">
        <v>964</v>
      </c>
      <c r="D5445" s="59">
        <v>577.70000000000005</v>
      </c>
      <c r="E5445" s="59"/>
    </row>
    <row r="5446" spans="3:5" x14ac:dyDescent="0.15">
      <c r="C5446" s="255" t="s">
        <v>965</v>
      </c>
      <c r="D5446" s="59">
        <v>90.9</v>
      </c>
      <c r="E5446" s="59"/>
    </row>
    <row r="5447" spans="3:5" x14ac:dyDescent="0.15">
      <c r="C5447" s="255" t="s">
        <v>966</v>
      </c>
      <c r="D5447" s="59">
        <v>10.1</v>
      </c>
      <c r="E5447" s="59"/>
    </row>
    <row r="5448" spans="3:5" x14ac:dyDescent="0.15">
      <c r="C5448" s="255" t="s">
        <v>967</v>
      </c>
      <c r="D5448" s="59">
        <v>179.3</v>
      </c>
      <c r="E5448" s="59"/>
    </row>
    <row r="5449" spans="3:5" x14ac:dyDescent="0.15">
      <c r="C5449" s="255" t="s">
        <v>968</v>
      </c>
      <c r="D5449" s="59">
        <v>2.2999999999999998</v>
      </c>
      <c r="E5449" s="59"/>
    </row>
    <row r="5450" spans="3:5" x14ac:dyDescent="0.15">
      <c r="C5450" s="255" t="s">
        <v>969</v>
      </c>
      <c r="D5450" s="59">
        <v>33.299999999999997</v>
      </c>
      <c r="E5450" s="59"/>
    </row>
    <row r="5451" spans="3:5" x14ac:dyDescent="0.15">
      <c r="C5451" s="255" t="s">
        <v>970</v>
      </c>
      <c r="D5451" s="59">
        <v>113.9</v>
      </c>
      <c r="E5451" s="59"/>
    </row>
    <row r="5452" spans="3:5" x14ac:dyDescent="0.15">
      <c r="C5452" s="255" t="s">
        <v>971</v>
      </c>
      <c r="D5452" s="59">
        <v>444.9</v>
      </c>
      <c r="E5452" s="59"/>
    </row>
    <row r="5453" spans="3:5" x14ac:dyDescent="0.15">
      <c r="C5453" s="255" t="s">
        <v>972</v>
      </c>
      <c r="D5453" s="59">
        <v>601.79999999999995</v>
      </c>
      <c r="E5453" s="59"/>
    </row>
    <row r="5454" spans="3:5" x14ac:dyDescent="0.15">
      <c r="C5454" s="255" t="s">
        <v>973</v>
      </c>
      <c r="D5454" s="59">
        <v>42.5</v>
      </c>
      <c r="E5454" s="59"/>
    </row>
    <row r="5455" spans="3:5" x14ac:dyDescent="0.15">
      <c r="C5455" s="255" t="s">
        <v>974</v>
      </c>
      <c r="D5455" s="59">
        <v>68</v>
      </c>
      <c r="E5455" s="59"/>
    </row>
    <row r="5456" spans="3:5" x14ac:dyDescent="0.15">
      <c r="C5456" s="255" t="s">
        <v>975</v>
      </c>
      <c r="D5456" s="59">
        <v>168.3</v>
      </c>
      <c r="E5456" s="59"/>
    </row>
    <row r="5457" spans="3:5" x14ac:dyDescent="0.15">
      <c r="C5457" s="255" t="s">
        <v>976</v>
      </c>
      <c r="D5457" s="59">
        <v>30.9</v>
      </c>
      <c r="E5457" s="59"/>
    </row>
    <row r="5458" spans="3:5" x14ac:dyDescent="0.15">
      <c r="C5458" s="255" t="s">
        <v>977</v>
      </c>
      <c r="D5458" s="59">
        <v>584</v>
      </c>
      <c r="E5458" s="59"/>
    </row>
    <row r="5459" spans="3:5" x14ac:dyDescent="0.15">
      <c r="C5459" s="255" t="s">
        <v>978</v>
      </c>
      <c r="D5459" s="59">
        <v>1129</v>
      </c>
      <c r="E5459" s="59"/>
    </row>
    <row r="5460" spans="3:5" x14ac:dyDescent="0.15">
      <c r="C5460" s="255" t="s">
        <v>979</v>
      </c>
      <c r="D5460" s="59">
        <v>352.8</v>
      </c>
      <c r="E5460" s="59"/>
    </row>
    <row r="5461" spans="3:5" x14ac:dyDescent="0.15">
      <c r="C5461" s="255" t="s">
        <v>980</v>
      </c>
      <c r="D5461" s="59">
        <v>320.8</v>
      </c>
      <c r="E5461" s="59"/>
    </row>
    <row r="5462" spans="3:5" x14ac:dyDescent="0.15">
      <c r="C5462" s="255" t="s">
        <v>981</v>
      </c>
      <c r="D5462" s="59">
        <v>0</v>
      </c>
      <c r="E5462" s="59"/>
    </row>
    <row r="5463" spans="3:5" x14ac:dyDescent="0.15">
      <c r="C5463" s="255" t="s">
        <v>982</v>
      </c>
      <c r="D5463" s="59">
        <v>411.9</v>
      </c>
      <c r="E5463" s="59"/>
    </row>
    <row r="5464" spans="3:5" x14ac:dyDescent="0.15">
      <c r="C5464" s="255" t="s">
        <v>983</v>
      </c>
      <c r="D5464" s="59">
        <v>1788.9</v>
      </c>
      <c r="E5464" s="59"/>
    </row>
    <row r="5465" spans="3:5" x14ac:dyDescent="0.15">
      <c r="C5465" s="255" t="s">
        <v>984</v>
      </c>
      <c r="D5465" s="59">
        <v>42.4</v>
      </c>
      <c r="E5465" s="59"/>
    </row>
    <row r="5466" spans="3:5" x14ac:dyDescent="0.15">
      <c r="C5466" s="255" t="s">
        <v>985</v>
      </c>
      <c r="D5466" s="59">
        <v>1002.7</v>
      </c>
      <c r="E5466" s="59"/>
    </row>
    <row r="5467" spans="3:5" x14ac:dyDescent="0.15">
      <c r="C5467" s="255" t="s">
        <v>986</v>
      </c>
      <c r="D5467" s="59">
        <v>657.8</v>
      </c>
      <c r="E5467" s="59"/>
    </row>
    <row r="5468" spans="3:5" x14ac:dyDescent="0.15">
      <c r="C5468" s="255" t="s">
        <v>987</v>
      </c>
      <c r="D5468" s="59">
        <v>406.1</v>
      </c>
      <c r="E5468" s="59"/>
    </row>
    <row r="5469" spans="3:5" x14ac:dyDescent="0.15">
      <c r="C5469" s="255" t="s">
        <v>988</v>
      </c>
      <c r="D5469" s="59">
        <v>1440.8</v>
      </c>
      <c r="E5469" s="59"/>
    </row>
    <row r="5470" spans="3:5" x14ac:dyDescent="0.15">
      <c r="C5470" s="255" t="s">
        <v>989</v>
      </c>
      <c r="D5470" s="59">
        <v>1233.7</v>
      </c>
      <c r="E5470" s="59"/>
    </row>
    <row r="5471" spans="3:5" x14ac:dyDescent="0.15">
      <c r="C5471" s="255" t="s">
        <v>990</v>
      </c>
      <c r="D5471" s="59">
        <v>371.6</v>
      </c>
      <c r="E5471" s="59"/>
    </row>
    <row r="5472" spans="3:5" x14ac:dyDescent="0.15">
      <c r="C5472" s="255" t="s">
        <v>991</v>
      </c>
      <c r="D5472" s="59">
        <v>5360.4</v>
      </c>
      <c r="E5472" s="59"/>
    </row>
    <row r="5473" spans="3:5" x14ac:dyDescent="0.15">
      <c r="C5473" s="255" t="s">
        <v>992</v>
      </c>
      <c r="D5473" s="59">
        <v>13.2</v>
      </c>
      <c r="E5473" s="59"/>
    </row>
    <row r="5474" spans="3:5" x14ac:dyDescent="0.15">
      <c r="C5474" s="255" t="s">
        <v>993</v>
      </c>
      <c r="D5474" s="59">
        <v>151.5</v>
      </c>
      <c r="E5474" s="59"/>
    </row>
    <row r="5475" spans="3:5" x14ac:dyDescent="0.15">
      <c r="C5475" s="255" t="s">
        <v>994</v>
      </c>
      <c r="D5475" s="59">
        <v>0</v>
      </c>
      <c r="E5475" s="59"/>
    </row>
    <row r="5476" spans="3:5" x14ac:dyDescent="0.15">
      <c r="C5476" s="255" t="s">
        <v>995</v>
      </c>
      <c r="D5476" s="59">
        <v>899.9</v>
      </c>
      <c r="E5476" s="59"/>
    </row>
    <row r="5477" spans="3:5" x14ac:dyDescent="0.15">
      <c r="C5477" s="255" t="s">
        <v>996</v>
      </c>
      <c r="D5477" s="59">
        <v>413.3</v>
      </c>
      <c r="E5477" s="59"/>
    </row>
    <row r="5478" spans="3:5" x14ac:dyDescent="0.15">
      <c r="C5478" s="255" t="s">
        <v>997</v>
      </c>
      <c r="D5478" s="59">
        <v>299.10000000000002</v>
      </c>
      <c r="E5478" s="59"/>
    </row>
    <row r="5479" spans="3:5" x14ac:dyDescent="0.15">
      <c r="C5479" s="255" t="s">
        <v>998</v>
      </c>
      <c r="D5479" s="59">
        <v>104.9</v>
      </c>
      <c r="E5479" s="59"/>
    </row>
    <row r="5480" spans="3:5" x14ac:dyDescent="0.15">
      <c r="C5480" s="255" t="s">
        <v>999</v>
      </c>
      <c r="D5480" s="59">
        <v>5.4</v>
      </c>
      <c r="E5480" s="59"/>
    </row>
    <row r="5481" spans="3:5" x14ac:dyDescent="0.15">
      <c r="C5481" s="255" t="s">
        <v>1000</v>
      </c>
      <c r="D5481" s="59">
        <v>1015.9</v>
      </c>
      <c r="E5481" s="59"/>
    </row>
    <row r="5482" spans="3:5" x14ac:dyDescent="0.15">
      <c r="C5482" s="255" t="s">
        <v>1001</v>
      </c>
      <c r="D5482" s="59">
        <v>447</v>
      </c>
      <c r="E5482" s="59"/>
    </row>
    <row r="5483" spans="3:5" x14ac:dyDescent="0.15">
      <c r="C5483" s="255" t="s">
        <v>1002</v>
      </c>
      <c r="D5483" s="59">
        <v>154.4</v>
      </c>
      <c r="E5483" s="59"/>
    </row>
    <row r="5484" spans="3:5" x14ac:dyDescent="0.15">
      <c r="C5484" s="255" t="s">
        <v>1003</v>
      </c>
      <c r="D5484" s="59">
        <v>110.9</v>
      </c>
      <c r="E5484" s="59"/>
    </row>
    <row r="5485" spans="3:5" x14ac:dyDescent="0.15">
      <c r="C5485" s="255" t="s">
        <v>1004</v>
      </c>
      <c r="D5485" s="59">
        <v>95</v>
      </c>
      <c r="E5485" s="59"/>
    </row>
    <row r="5486" spans="3:5" x14ac:dyDescent="0.15">
      <c r="C5486" s="255" t="s">
        <v>1005</v>
      </c>
      <c r="D5486" s="59">
        <v>133.19999999999999</v>
      </c>
      <c r="E5486" s="59"/>
    </row>
    <row r="5487" spans="3:5" x14ac:dyDescent="0.15">
      <c r="C5487" s="255" t="s">
        <v>1006</v>
      </c>
      <c r="D5487" s="59">
        <v>5301.8</v>
      </c>
      <c r="E5487" s="59"/>
    </row>
    <row r="5488" spans="3:5" x14ac:dyDescent="0.15">
      <c r="C5488" s="255" t="s">
        <v>1007</v>
      </c>
      <c r="D5488" s="59">
        <v>1446</v>
      </c>
      <c r="E5488" s="59"/>
    </row>
    <row r="5489" spans="3:5" x14ac:dyDescent="0.15">
      <c r="C5489" s="255" t="s">
        <v>1008</v>
      </c>
      <c r="D5489" s="59">
        <v>556</v>
      </c>
      <c r="E5489" s="59"/>
    </row>
    <row r="5490" spans="3:5" x14ac:dyDescent="0.15">
      <c r="C5490" s="255" t="s">
        <v>1009</v>
      </c>
      <c r="D5490" s="59">
        <v>341.7</v>
      </c>
      <c r="E5490" s="59"/>
    </row>
    <row r="5491" spans="3:5" x14ac:dyDescent="0.15">
      <c r="C5491" s="255" t="s">
        <v>1010</v>
      </c>
      <c r="D5491" s="59">
        <v>179.1</v>
      </c>
      <c r="E5491" s="59"/>
    </row>
    <row r="5492" spans="3:5" x14ac:dyDescent="0.15">
      <c r="C5492" s="255" t="s">
        <v>1011</v>
      </c>
      <c r="D5492" s="59">
        <v>369.2</v>
      </c>
      <c r="E5492" s="59"/>
    </row>
    <row r="5493" spans="3:5" x14ac:dyDescent="0.15">
      <c r="C5493" s="255" t="s">
        <v>1012</v>
      </c>
      <c r="D5493" s="59">
        <v>16942.400000000001</v>
      </c>
      <c r="E5493" s="59"/>
    </row>
    <row r="5494" spans="3:5" x14ac:dyDescent="0.15">
      <c r="C5494" s="255" t="s">
        <v>1013</v>
      </c>
      <c r="D5494" s="59">
        <v>9249.1</v>
      </c>
      <c r="E5494" s="59"/>
    </row>
    <row r="5495" spans="3:5" x14ac:dyDescent="0.15">
      <c r="C5495" s="255" t="s">
        <v>1014</v>
      </c>
      <c r="D5495" s="59">
        <v>3029.9</v>
      </c>
      <c r="E5495" s="59"/>
    </row>
    <row r="5496" spans="3:5" x14ac:dyDescent="0.15">
      <c r="C5496" s="255" t="s">
        <v>1015</v>
      </c>
      <c r="D5496" s="59">
        <v>791.1</v>
      </c>
      <c r="E5496" s="59"/>
    </row>
    <row r="5497" spans="3:5" x14ac:dyDescent="0.15">
      <c r="C5497" s="255" t="s">
        <v>1016</v>
      </c>
      <c r="D5497" s="59">
        <v>2071.5</v>
      </c>
      <c r="E5497" s="59"/>
    </row>
    <row r="5498" spans="3:5" x14ac:dyDescent="0.15">
      <c r="C5498" s="255" t="s">
        <v>1017</v>
      </c>
      <c r="D5498" s="59">
        <v>1779</v>
      </c>
      <c r="E5498" s="59"/>
    </row>
    <row r="5499" spans="3:5" x14ac:dyDescent="0.15">
      <c r="C5499" s="255" t="s">
        <v>1018</v>
      </c>
      <c r="D5499" s="59">
        <v>21.8</v>
      </c>
      <c r="E5499" s="59"/>
    </row>
    <row r="5500" spans="3:5" x14ac:dyDescent="0.15">
      <c r="C5500" s="255" t="s">
        <v>1019</v>
      </c>
      <c r="D5500" s="59">
        <v>27878.5</v>
      </c>
      <c r="E5500" s="59"/>
    </row>
    <row r="5501" spans="3:5" x14ac:dyDescent="0.15">
      <c r="C5501" s="255" t="s">
        <v>1020</v>
      </c>
      <c r="D5501" s="59">
        <v>470.7</v>
      </c>
      <c r="E5501" s="59"/>
    </row>
    <row r="5502" spans="3:5" x14ac:dyDescent="0.15">
      <c r="C5502" s="255" t="s">
        <v>1021</v>
      </c>
      <c r="D5502" s="59">
        <v>1295.8</v>
      </c>
      <c r="E5502" s="59"/>
    </row>
    <row r="5503" spans="3:5" x14ac:dyDescent="0.15">
      <c r="C5503" s="255" t="s">
        <v>1022</v>
      </c>
      <c r="D5503" s="59">
        <v>402.2</v>
      </c>
      <c r="E5503" s="59"/>
    </row>
    <row r="5504" spans="3:5" x14ac:dyDescent="0.15">
      <c r="C5504" s="255" t="s">
        <v>1023</v>
      </c>
      <c r="D5504" s="59">
        <v>137.69999999999999</v>
      </c>
      <c r="E5504" s="59"/>
    </row>
    <row r="5505" spans="3:5" x14ac:dyDescent="0.15">
      <c r="C5505" s="255" t="s">
        <v>1024</v>
      </c>
      <c r="D5505" s="59">
        <v>22.4</v>
      </c>
      <c r="E5505" s="59"/>
    </row>
    <row r="5506" spans="3:5" x14ac:dyDescent="0.15">
      <c r="C5506" s="255" t="s">
        <v>1025</v>
      </c>
      <c r="D5506" s="59">
        <v>249.4</v>
      </c>
      <c r="E5506" s="59"/>
    </row>
    <row r="5507" spans="3:5" x14ac:dyDescent="0.15">
      <c r="C5507" s="255" t="s">
        <v>1026</v>
      </c>
      <c r="D5507" s="59">
        <v>3423.4</v>
      </c>
      <c r="E5507" s="59"/>
    </row>
    <row r="5508" spans="3:5" x14ac:dyDescent="0.15">
      <c r="C5508" s="255" t="s">
        <v>1027</v>
      </c>
      <c r="D5508" s="59">
        <v>0</v>
      </c>
      <c r="E5508" s="59"/>
    </row>
    <row r="5509" spans="3:5" x14ac:dyDescent="0.15">
      <c r="C5509" s="255" t="s">
        <v>1028</v>
      </c>
      <c r="D5509" s="59">
        <v>571.70000000000005</v>
      </c>
      <c r="E5509" s="59"/>
    </row>
    <row r="5510" spans="3:5" x14ac:dyDescent="0.15">
      <c r="C5510" s="255" t="s">
        <v>1029</v>
      </c>
      <c r="D5510" s="59">
        <v>371</v>
      </c>
      <c r="E5510" s="59"/>
    </row>
    <row r="5511" spans="3:5" x14ac:dyDescent="0.15">
      <c r="C5511" s="255" t="s">
        <v>1030</v>
      </c>
      <c r="D5511" s="59">
        <v>39.9</v>
      </c>
      <c r="E5511" s="59"/>
    </row>
    <row r="5512" spans="3:5" x14ac:dyDescent="0.15">
      <c r="C5512" s="255" t="s">
        <v>1031</v>
      </c>
      <c r="D5512" s="59">
        <v>544.6</v>
      </c>
      <c r="E5512" s="59"/>
    </row>
    <row r="5513" spans="3:5" x14ac:dyDescent="0.15">
      <c r="C5513" s="255" t="s">
        <v>1032</v>
      </c>
      <c r="D5513" s="59">
        <v>202.9</v>
      </c>
      <c r="E5513" s="59"/>
    </row>
    <row r="5514" spans="3:5" x14ac:dyDescent="0.15">
      <c r="C5514" s="255" t="s">
        <v>1033</v>
      </c>
      <c r="D5514" s="59">
        <v>2.8</v>
      </c>
      <c r="E5514" s="59"/>
    </row>
    <row r="5515" spans="3:5" x14ac:dyDescent="0.15">
      <c r="C5515" s="255" t="s">
        <v>1034</v>
      </c>
      <c r="D5515" s="59">
        <v>126.9</v>
      </c>
      <c r="E5515" s="59"/>
    </row>
    <row r="5516" spans="3:5" x14ac:dyDescent="0.15">
      <c r="C5516" s="255" t="s">
        <v>1035</v>
      </c>
      <c r="D5516" s="59">
        <v>3405.6</v>
      </c>
      <c r="E5516" s="59"/>
    </row>
    <row r="5517" spans="3:5" x14ac:dyDescent="0.15">
      <c r="C5517" s="255" t="s">
        <v>1036</v>
      </c>
      <c r="D5517" s="59">
        <v>303.39999999999998</v>
      </c>
      <c r="E5517" s="59"/>
    </row>
    <row r="5518" spans="3:5" x14ac:dyDescent="0.15">
      <c r="C5518" s="255" t="s">
        <v>1037</v>
      </c>
      <c r="D5518" s="59">
        <v>887.8</v>
      </c>
      <c r="E5518" s="59"/>
    </row>
    <row r="5519" spans="3:5" x14ac:dyDescent="0.15">
      <c r="C5519" s="255" t="s">
        <v>1038</v>
      </c>
      <c r="D5519" s="59">
        <v>4874.5</v>
      </c>
      <c r="E5519" s="59"/>
    </row>
    <row r="5520" spans="3:5" x14ac:dyDescent="0.15">
      <c r="C5520" s="255" t="s">
        <v>1039</v>
      </c>
      <c r="D5520" s="59">
        <v>1235.8</v>
      </c>
      <c r="E5520" s="59"/>
    </row>
    <row r="5521" spans="2:5" x14ac:dyDescent="0.15">
      <c r="C5521" s="255" t="s">
        <v>1040</v>
      </c>
      <c r="D5521" s="59">
        <v>4924</v>
      </c>
      <c r="E5521" s="59"/>
    </row>
    <row r="5522" spans="2:5" x14ac:dyDescent="0.15">
      <c r="C5522" s="255" t="s">
        <v>1041</v>
      </c>
      <c r="D5522" s="59">
        <v>394.2</v>
      </c>
      <c r="E5522" s="59"/>
    </row>
    <row r="5523" spans="2:5" x14ac:dyDescent="0.15">
      <c r="C5523" s="255" t="s">
        <v>1042</v>
      </c>
      <c r="D5523" s="59">
        <v>2485.4</v>
      </c>
      <c r="E5523" s="59"/>
    </row>
    <row r="5524" spans="2:5" x14ac:dyDescent="0.15">
      <c r="C5524" s="255" t="s">
        <v>1043</v>
      </c>
      <c r="D5524" s="59">
        <v>719.1</v>
      </c>
      <c r="E5524" s="59"/>
    </row>
    <row r="5525" spans="2:5" x14ac:dyDescent="0.15">
      <c r="C5525" s="255" t="s">
        <v>1044</v>
      </c>
      <c r="D5525" s="59">
        <v>187.8</v>
      </c>
      <c r="E5525" s="59"/>
    </row>
    <row r="5526" spans="2:5" x14ac:dyDescent="0.15">
      <c r="C5526" s="255" t="s">
        <v>1045</v>
      </c>
      <c r="D5526" s="59">
        <v>56.7</v>
      </c>
      <c r="E5526" s="59"/>
    </row>
    <row r="5527" spans="2:5" x14ac:dyDescent="0.15">
      <c r="C5527" s="255" t="s">
        <v>1046</v>
      </c>
      <c r="D5527" s="59">
        <v>215.7</v>
      </c>
      <c r="E5527" s="59"/>
    </row>
    <row r="5528" spans="2:5" x14ac:dyDescent="0.15">
      <c r="C5528" s="255" t="s">
        <v>1047</v>
      </c>
      <c r="D5528" s="59">
        <v>250.6</v>
      </c>
      <c r="E5528" s="59"/>
    </row>
    <row r="5529" spans="2:5" x14ac:dyDescent="0.15">
      <c r="C5529" s="255" t="s">
        <v>1048</v>
      </c>
      <c r="D5529" s="59">
        <v>76.400000000000006</v>
      </c>
      <c r="E5529" s="59"/>
    </row>
    <row r="5530" spans="2:5" x14ac:dyDescent="0.15">
      <c r="B5530" s="255" t="s">
        <v>1062</v>
      </c>
      <c r="C5530" s="255" t="s">
        <v>743</v>
      </c>
      <c r="D5530" s="59">
        <v>95</v>
      </c>
      <c r="E5530" s="59"/>
    </row>
    <row r="5531" spans="2:5" x14ac:dyDescent="0.15">
      <c r="C5531" s="255" t="s">
        <v>744</v>
      </c>
      <c r="D5531" s="59">
        <v>178</v>
      </c>
      <c r="E5531" s="59"/>
    </row>
    <row r="5532" spans="2:5" x14ac:dyDescent="0.15">
      <c r="C5532" s="255" t="s">
        <v>745</v>
      </c>
      <c r="D5532" s="59">
        <v>193.2</v>
      </c>
      <c r="E5532" s="59"/>
    </row>
    <row r="5533" spans="2:5" x14ac:dyDescent="0.15">
      <c r="C5533" s="255" t="s">
        <v>746</v>
      </c>
      <c r="D5533" s="59">
        <v>1.1000000000000001</v>
      </c>
      <c r="E5533" s="59"/>
    </row>
    <row r="5534" spans="2:5" x14ac:dyDescent="0.15">
      <c r="C5534" s="255" t="s">
        <v>747</v>
      </c>
      <c r="D5534" s="59">
        <v>1.1000000000000001</v>
      </c>
      <c r="E5534" s="59"/>
    </row>
    <row r="5535" spans="2:5" x14ac:dyDescent="0.15">
      <c r="C5535" s="255" t="s">
        <v>748</v>
      </c>
      <c r="D5535" s="59">
        <v>0</v>
      </c>
      <c r="E5535" s="59"/>
    </row>
    <row r="5536" spans="2:5" x14ac:dyDescent="0.15">
      <c r="C5536" s="255" t="s">
        <v>749</v>
      </c>
      <c r="D5536" s="59">
        <v>0.1</v>
      </c>
      <c r="E5536" s="59"/>
    </row>
    <row r="5537" spans="3:5" x14ac:dyDescent="0.15">
      <c r="C5537" s="255" t="s">
        <v>750</v>
      </c>
      <c r="D5537" s="59">
        <v>0.5</v>
      </c>
      <c r="E5537" s="59"/>
    </row>
    <row r="5538" spans="3:5" x14ac:dyDescent="0.15">
      <c r="C5538" s="255" t="s">
        <v>751</v>
      </c>
      <c r="D5538" s="59">
        <v>31.3</v>
      </c>
      <c r="E5538" s="59"/>
    </row>
    <row r="5539" spans="3:5" x14ac:dyDescent="0.15">
      <c r="C5539" s="255" t="s">
        <v>752</v>
      </c>
      <c r="D5539" s="59">
        <v>1</v>
      </c>
      <c r="E5539" s="59"/>
    </row>
    <row r="5540" spans="3:5" x14ac:dyDescent="0.15">
      <c r="C5540" s="255" t="s">
        <v>753</v>
      </c>
      <c r="D5540" s="59">
        <v>66.599999999999994</v>
      </c>
      <c r="E5540" s="59"/>
    </row>
    <row r="5541" spans="3:5" x14ac:dyDescent="0.15">
      <c r="C5541" s="255" t="s">
        <v>754</v>
      </c>
      <c r="D5541" s="59">
        <v>1952.1</v>
      </c>
      <c r="E5541" s="59"/>
    </row>
    <row r="5542" spans="3:5" x14ac:dyDescent="0.15">
      <c r="C5542" s="255" t="s">
        <v>192</v>
      </c>
      <c r="D5542" s="59">
        <v>131020.9</v>
      </c>
      <c r="E5542" s="59"/>
    </row>
    <row r="5543" spans="3:5" x14ac:dyDescent="0.15">
      <c r="C5543" s="255" t="s">
        <v>755</v>
      </c>
      <c r="D5543" s="59">
        <v>17558.8</v>
      </c>
      <c r="E5543" s="59"/>
    </row>
    <row r="5544" spans="3:5" x14ac:dyDescent="0.15">
      <c r="C5544" s="255" t="s">
        <v>756</v>
      </c>
      <c r="D5544" s="59">
        <v>83.1</v>
      </c>
      <c r="E5544" s="59"/>
    </row>
    <row r="5545" spans="3:5" x14ac:dyDescent="0.15">
      <c r="C5545" s="255" t="s">
        <v>757</v>
      </c>
      <c r="D5545" s="59">
        <v>28.1</v>
      </c>
      <c r="E5545" s="59"/>
    </row>
    <row r="5546" spans="3:5" x14ac:dyDescent="0.15">
      <c r="C5546" s="255" t="s">
        <v>758</v>
      </c>
      <c r="D5546" s="59">
        <v>956</v>
      </c>
      <c r="E5546" s="59"/>
    </row>
    <row r="5547" spans="3:5" x14ac:dyDescent="0.15">
      <c r="C5547" s="255" t="s">
        <v>759</v>
      </c>
      <c r="D5547" s="59">
        <v>724.7</v>
      </c>
      <c r="E5547" s="59"/>
    </row>
    <row r="5548" spans="3:5" x14ac:dyDescent="0.15">
      <c r="C5548" s="255" t="s">
        <v>760</v>
      </c>
      <c r="D5548" s="59">
        <v>208.4</v>
      </c>
      <c r="E5548" s="59"/>
    </row>
    <row r="5549" spans="3:5" x14ac:dyDescent="0.15">
      <c r="C5549" s="255" t="s">
        <v>761</v>
      </c>
      <c r="D5549" s="59">
        <v>189</v>
      </c>
      <c r="E5549" s="59"/>
    </row>
    <row r="5550" spans="3:5" x14ac:dyDescent="0.15">
      <c r="C5550" s="255" t="s">
        <v>762</v>
      </c>
      <c r="D5550" s="59">
        <v>186.6</v>
      </c>
      <c r="E5550" s="59"/>
    </row>
    <row r="5551" spans="3:5" x14ac:dyDescent="0.15">
      <c r="C5551" s="255" t="s">
        <v>763</v>
      </c>
      <c r="D5551" s="59">
        <v>76.2</v>
      </c>
      <c r="E5551" s="59"/>
    </row>
    <row r="5552" spans="3:5" x14ac:dyDescent="0.15">
      <c r="C5552" s="255" t="s">
        <v>764</v>
      </c>
      <c r="D5552" s="59">
        <v>1026</v>
      </c>
      <c r="E5552" s="59"/>
    </row>
    <row r="5553" spans="3:5" x14ac:dyDescent="0.15">
      <c r="C5553" s="255" t="s">
        <v>765</v>
      </c>
      <c r="D5553" s="59">
        <v>390.5</v>
      </c>
      <c r="E5553" s="59"/>
    </row>
    <row r="5554" spans="3:5" x14ac:dyDescent="0.15">
      <c r="C5554" s="255" t="s">
        <v>766</v>
      </c>
      <c r="D5554" s="59">
        <v>21.1</v>
      </c>
      <c r="E5554" s="59"/>
    </row>
    <row r="5555" spans="3:5" x14ac:dyDescent="0.15">
      <c r="C5555" s="255" t="s">
        <v>767</v>
      </c>
      <c r="D5555" s="59">
        <v>621.9</v>
      </c>
      <c r="E5555" s="59"/>
    </row>
    <row r="5556" spans="3:5" x14ac:dyDescent="0.15">
      <c r="C5556" s="255" t="s">
        <v>768</v>
      </c>
      <c r="D5556" s="59">
        <v>4.4000000000000004</v>
      </c>
      <c r="E5556" s="59"/>
    </row>
    <row r="5557" spans="3:5" x14ac:dyDescent="0.15">
      <c r="C5557" s="255" t="s">
        <v>769</v>
      </c>
      <c r="D5557" s="59">
        <v>1.3</v>
      </c>
      <c r="E5557" s="59"/>
    </row>
    <row r="5558" spans="3:5" x14ac:dyDescent="0.15">
      <c r="C5558" s="255" t="s">
        <v>770</v>
      </c>
      <c r="D5558" s="59">
        <v>671.9</v>
      </c>
      <c r="E5558" s="59"/>
    </row>
    <row r="5559" spans="3:5" x14ac:dyDescent="0.15">
      <c r="C5559" s="255" t="s">
        <v>771</v>
      </c>
      <c r="D5559" s="59">
        <v>687.1</v>
      </c>
      <c r="E5559" s="59"/>
    </row>
    <row r="5560" spans="3:5" x14ac:dyDescent="0.15">
      <c r="C5560" s="255" t="s">
        <v>772</v>
      </c>
      <c r="D5560" s="59">
        <v>132</v>
      </c>
      <c r="E5560" s="59"/>
    </row>
    <row r="5561" spans="3:5" x14ac:dyDescent="0.15">
      <c r="C5561" s="255" t="s">
        <v>773</v>
      </c>
      <c r="D5561" s="59">
        <v>49.3</v>
      </c>
      <c r="E5561" s="59"/>
    </row>
    <row r="5562" spans="3:5" x14ac:dyDescent="0.15">
      <c r="C5562" s="255" t="s">
        <v>774</v>
      </c>
      <c r="D5562" s="59">
        <v>9.1999999999999993</v>
      </c>
      <c r="E5562" s="59"/>
    </row>
    <row r="5563" spans="3:5" x14ac:dyDescent="0.15">
      <c r="C5563" s="255" t="s">
        <v>775</v>
      </c>
      <c r="D5563" s="59">
        <v>10.5</v>
      </c>
      <c r="E5563" s="59"/>
    </row>
    <row r="5564" spans="3:5" x14ac:dyDescent="0.15">
      <c r="C5564" s="255" t="s">
        <v>776</v>
      </c>
      <c r="D5564" s="59">
        <v>128.69999999999999</v>
      </c>
      <c r="E5564" s="59"/>
    </row>
    <row r="5565" spans="3:5" x14ac:dyDescent="0.15">
      <c r="C5565" s="255" t="s">
        <v>777</v>
      </c>
      <c r="D5565" s="59">
        <v>370.5</v>
      </c>
      <c r="E5565" s="59"/>
    </row>
    <row r="5566" spans="3:5" x14ac:dyDescent="0.15">
      <c r="C5566" s="255" t="s">
        <v>778</v>
      </c>
      <c r="D5566" s="59">
        <v>178.9</v>
      </c>
      <c r="E5566" s="59"/>
    </row>
    <row r="5567" spans="3:5" x14ac:dyDescent="0.15">
      <c r="C5567" s="255" t="s">
        <v>779</v>
      </c>
      <c r="D5567" s="59">
        <v>271.10000000000002</v>
      </c>
      <c r="E5567" s="59"/>
    </row>
    <row r="5568" spans="3:5" x14ac:dyDescent="0.15">
      <c r="C5568" s="255" t="s">
        <v>780</v>
      </c>
      <c r="D5568" s="59">
        <v>18.3</v>
      </c>
      <c r="E5568" s="59"/>
    </row>
    <row r="5569" spans="3:5" x14ac:dyDescent="0.15">
      <c r="C5569" s="255" t="s">
        <v>781</v>
      </c>
      <c r="D5569" s="59">
        <v>322.2</v>
      </c>
      <c r="E5569" s="59"/>
    </row>
    <row r="5570" spans="3:5" x14ac:dyDescent="0.15">
      <c r="C5570" s="255" t="s">
        <v>782</v>
      </c>
      <c r="D5570" s="59">
        <v>929.5</v>
      </c>
      <c r="E5570" s="59"/>
    </row>
    <row r="5571" spans="3:5" x14ac:dyDescent="0.15">
      <c r="C5571" s="255" t="s">
        <v>783</v>
      </c>
      <c r="D5571" s="59">
        <v>362.5</v>
      </c>
      <c r="E5571" s="59"/>
    </row>
    <row r="5572" spans="3:5" x14ac:dyDescent="0.15">
      <c r="C5572" s="255" t="s">
        <v>784</v>
      </c>
      <c r="D5572" s="59">
        <v>311.7</v>
      </c>
      <c r="E5572" s="59"/>
    </row>
    <row r="5573" spans="3:5" x14ac:dyDescent="0.15">
      <c r="C5573" s="255" t="s">
        <v>785</v>
      </c>
      <c r="D5573" s="59">
        <v>160.9</v>
      </c>
      <c r="E5573" s="59"/>
    </row>
    <row r="5574" spans="3:5" x14ac:dyDescent="0.15">
      <c r="C5574" s="255" t="s">
        <v>786</v>
      </c>
      <c r="D5574" s="59">
        <v>42.3</v>
      </c>
      <c r="E5574" s="59"/>
    </row>
    <row r="5575" spans="3:5" x14ac:dyDescent="0.15">
      <c r="C5575" s="255" t="s">
        <v>787</v>
      </c>
      <c r="D5575" s="59">
        <v>31.6</v>
      </c>
      <c r="E5575" s="59"/>
    </row>
    <row r="5576" spans="3:5" x14ac:dyDescent="0.15">
      <c r="C5576" s="255" t="s">
        <v>788</v>
      </c>
      <c r="D5576" s="59">
        <v>40.299999999999997</v>
      </c>
      <c r="E5576" s="59"/>
    </row>
    <row r="5577" spans="3:5" x14ac:dyDescent="0.15">
      <c r="C5577" s="255" t="s">
        <v>789</v>
      </c>
      <c r="D5577" s="59">
        <v>12.5</v>
      </c>
      <c r="E5577" s="59"/>
    </row>
    <row r="5578" spans="3:5" x14ac:dyDescent="0.15">
      <c r="C5578" s="255" t="s">
        <v>790</v>
      </c>
      <c r="D5578" s="59">
        <v>1039.7</v>
      </c>
      <c r="E5578" s="59"/>
    </row>
    <row r="5579" spans="3:5" x14ac:dyDescent="0.15">
      <c r="C5579" s="255" t="s">
        <v>791</v>
      </c>
      <c r="D5579" s="59">
        <v>76</v>
      </c>
      <c r="E5579" s="59"/>
    </row>
    <row r="5580" spans="3:5" x14ac:dyDescent="0.15">
      <c r="C5580" s="255" t="s">
        <v>792</v>
      </c>
      <c r="D5580" s="59">
        <v>451.3</v>
      </c>
      <c r="E5580" s="59"/>
    </row>
    <row r="5581" spans="3:5" x14ac:dyDescent="0.15">
      <c r="C5581" s="255" t="s">
        <v>793</v>
      </c>
      <c r="D5581" s="59">
        <v>125.5</v>
      </c>
      <c r="E5581" s="59"/>
    </row>
    <row r="5582" spans="3:5" x14ac:dyDescent="0.15">
      <c r="C5582" s="255" t="s">
        <v>794</v>
      </c>
      <c r="D5582" s="59">
        <v>1147.4000000000001</v>
      </c>
      <c r="E5582" s="59"/>
    </row>
    <row r="5583" spans="3:5" x14ac:dyDescent="0.15">
      <c r="C5583" s="255" t="s">
        <v>795</v>
      </c>
      <c r="D5583" s="59">
        <v>152.80000000000001</v>
      </c>
      <c r="E5583" s="59"/>
    </row>
    <row r="5584" spans="3:5" x14ac:dyDescent="0.15">
      <c r="C5584" s="255" t="s">
        <v>796</v>
      </c>
      <c r="D5584" s="59">
        <v>304.7</v>
      </c>
      <c r="E5584" s="59"/>
    </row>
    <row r="5585" spans="3:5" x14ac:dyDescent="0.15">
      <c r="C5585" s="255" t="s">
        <v>797</v>
      </c>
      <c r="D5585" s="59">
        <v>278.10000000000002</v>
      </c>
      <c r="E5585" s="59"/>
    </row>
    <row r="5586" spans="3:5" x14ac:dyDescent="0.15">
      <c r="C5586" s="255" t="s">
        <v>798</v>
      </c>
      <c r="D5586" s="59">
        <v>257.39999999999998</v>
      </c>
      <c r="E5586" s="59"/>
    </row>
    <row r="5587" spans="3:5" x14ac:dyDescent="0.15">
      <c r="C5587" s="255" t="s">
        <v>799</v>
      </c>
      <c r="D5587" s="59">
        <v>67.900000000000006</v>
      </c>
      <c r="E5587" s="59"/>
    </row>
    <row r="5588" spans="3:5" x14ac:dyDescent="0.15">
      <c r="C5588" s="255" t="s">
        <v>800</v>
      </c>
      <c r="D5588" s="59">
        <v>17</v>
      </c>
      <c r="E5588" s="59"/>
    </row>
    <row r="5589" spans="3:5" x14ac:dyDescent="0.15">
      <c r="C5589" s="255" t="s">
        <v>801</v>
      </c>
      <c r="D5589" s="59">
        <v>141.19999999999999</v>
      </c>
      <c r="E5589" s="59"/>
    </row>
    <row r="5590" spans="3:5" x14ac:dyDescent="0.15">
      <c r="C5590" s="255" t="s">
        <v>802</v>
      </c>
      <c r="D5590" s="59">
        <v>468.5</v>
      </c>
      <c r="E5590" s="59"/>
    </row>
    <row r="5591" spans="3:5" x14ac:dyDescent="0.15">
      <c r="C5591" s="255" t="s">
        <v>803</v>
      </c>
      <c r="D5591" s="59">
        <v>458.2</v>
      </c>
      <c r="E5591" s="59"/>
    </row>
    <row r="5592" spans="3:5" x14ac:dyDescent="0.15">
      <c r="C5592" s="255" t="s">
        <v>804</v>
      </c>
      <c r="D5592" s="59">
        <v>341.3</v>
      </c>
      <c r="E5592" s="59"/>
    </row>
    <row r="5593" spans="3:5" x14ac:dyDescent="0.15">
      <c r="C5593" s="255" t="s">
        <v>805</v>
      </c>
      <c r="D5593" s="59">
        <v>7.7</v>
      </c>
      <c r="E5593" s="59"/>
    </row>
    <row r="5594" spans="3:5" x14ac:dyDescent="0.15">
      <c r="C5594" s="255" t="s">
        <v>806</v>
      </c>
      <c r="D5594" s="59">
        <v>493.2</v>
      </c>
      <c r="E5594" s="59"/>
    </row>
    <row r="5595" spans="3:5" x14ac:dyDescent="0.15">
      <c r="C5595" s="255" t="s">
        <v>807</v>
      </c>
      <c r="D5595" s="59">
        <v>203.2</v>
      </c>
      <c r="E5595" s="59"/>
    </row>
    <row r="5596" spans="3:5" x14ac:dyDescent="0.15">
      <c r="C5596" s="255" t="s">
        <v>808</v>
      </c>
      <c r="D5596" s="59">
        <v>3.9</v>
      </c>
      <c r="E5596" s="59"/>
    </row>
    <row r="5597" spans="3:5" x14ac:dyDescent="0.15">
      <c r="C5597" s="255" t="s">
        <v>809</v>
      </c>
      <c r="D5597" s="59">
        <v>165</v>
      </c>
      <c r="E5597" s="59"/>
    </row>
    <row r="5598" spans="3:5" x14ac:dyDescent="0.15">
      <c r="C5598" s="255" t="s">
        <v>810</v>
      </c>
      <c r="D5598" s="59">
        <v>143.9</v>
      </c>
      <c r="E5598" s="59"/>
    </row>
    <row r="5599" spans="3:5" x14ac:dyDescent="0.15">
      <c r="C5599" s="255" t="s">
        <v>811</v>
      </c>
      <c r="D5599" s="59">
        <v>301.39999999999998</v>
      </c>
      <c r="E5599" s="59"/>
    </row>
    <row r="5600" spans="3:5" x14ac:dyDescent="0.15">
      <c r="C5600" s="255" t="s">
        <v>812</v>
      </c>
      <c r="D5600" s="59">
        <v>73.599999999999994</v>
      </c>
      <c r="E5600" s="59"/>
    </row>
    <row r="5601" spans="3:5" x14ac:dyDescent="0.15">
      <c r="C5601" s="255" t="s">
        <v>813</v>
      </c>
      <c r="D5601" s="59">
        <v>5.3</v>
      </c>
      <c r="E5601" s="59"/>
    </row>
    <row r="5602" spans="3:5" x14ac:dyDescent="0.15">
      <c r="C5602" s="255" t="s">
        <v>814</v>
      </c>
      <c r="D5602" s="59">
        <v>155.80000000000001</v>
      </c>
      <c r="E5602" s="59"/>
    </row>
    <row r="5603" spans="3:5" x14ac:dyDescent="0.15">
      <c r="C5603" s="255" t="s">
        <v>815</v>
      </c>
      <c r="D5603" s="59">
        <v>1085.2</v>
      </c>
      <c r="E5603" s="59"/>
    </row>
    <row r="5604" spans="3:5" x14ac:dyDescent="0.15">
      <c r="C5604" s="255" t="s">
        <v>816</v>
      </c>
      <c r="D5604" s="59">
        <v>335.7</v>
      </c>
      <c r="E5604" s="59"/>
    </row>
    <row r="5605" spans="3:5" x14ac:dyDescent="0.15">
      <c r="C5605" s="255" t="s">
        <v>817</v>
      </c>
      <c r="D5605" s="59">
        <v>3901.3</v>
      </c>
      <c r="E5605" s="59"/>
    </row>
    <row r="5606" spans="3:5" x14ac:dyDescent="0.15">
      <c r="C5606" s="255" t="s">
        <v>818</v>
      </c>
      <c r="D5606" s="59">
        <v>519.79999999999995</v>
      </c>
      <c r="E5606" s="59"/>
    </row>
    <row r="5607" spans="3:5" x14ac:dyDescent="0.15">
      <c r="C5607" s="255" t="s">
        <v>819</v>
      </c>
      <c r="D5607" s="59">
        <v>15.1</v>
      </c>
      <c r="E5607" s="59"/>
    </row>
    <row r="5608" spans="3:5" x14ac:dyDescent="0.15">
      <c r="C5608" s="255" t="s">
        <v>820</v>
      </c>
      <c r="D5608" s="59">
        <v>680.8</v>
      </c>
      <c r="E5608" s="59"/>
    </row>
    <row r="5609" spans="3:5" x14ac:dyDescent="0.15">
      <c r="C5609" s="255" t="s">
        <v>821</v>
      </c>
      <c r="D5609" s="59">
        <v>41.8</v>
      </c>
      <c r="E5609" s="59"/>
    </row>
    <row r="5610" spans="3:5" x14ac:dyDescent="0.15">
      <c r="C5610" s="255" t="s">
        <v>822</v>
      </c>
      <c r="D5610" s="59">
        <v>94.7</v>
      </c>
      <c r="E5610" s="59"/>
    </row>
    <row r="5611" spans="3:5" x14ac:dyDescent="0.15">
      <c r="C5611" s="255" t="s">
        <v>823</v>
      </c>
      <c r="D5611" s="59">
        <v>0.7</v>
      </c>
      <c r="E5611" s="59"/>
    </row>
    <row r="5612" spans="3:5" x14ac:dyDescent="0.15">
      <c r="C5612" s="255" t="s">
        <v>824</v>
      </c>
      <c r="D5612" s="59">
        <v>318.60000000000002</v>
      </c>
      <c r="E5612" s="59"/>
    </row>
    <row r="5613" spans="3:5" x14ac:dyDescent="0.15">
      <c r="C5613" s="255" t="s">
        <v>825</v>
      </c>
      <c r="D5613" s="59">
        <v>329.3</v>
      </c>
      <c r="E5613" s="59"/>
    </row>
    <row r="5614" spans="3:5" x14ac:dyDescent="0.15">
      <c r="C5614" s="255" t="s">
        <v>826</v>
      </c>
      <c r="D5614" s="59">
        <v>0.3</v>
      </c>
      <c r="E5614" s="59"/>
    </row>
    <row r="5615" spans="3:5" x14ac:dyDescent="0.15">
      <c r="C5615" s="255" t="s">
        <v>827</v>
      </c>
      <c r="D5615" s="59">
        <v>0</v>
      </c>
      <c r="E5615" s="59"/>
    </row>
    <row r="5616" spans="3:5" x14ac:dyDescent="0.15">
      <c r="C5616" s="255" t="s">
        <v>828</v>
      </c>
      <c r="D5616" s="59">
        <v>1852.7</v>
      </c>
      <c r="E5616" s="59"/>
    </row>
    <row r="5617" spans="3:5" x14ac:dyDescent="0.15">
      <c r="C5617" s="255" t="s">
        <v>829</v>
      </c>
      <c r="D5617" s="59">
        <v>1</v>
      </c>
      <c r="E5617" s="59"/>
    </row>
    <row r="5618" spans="3:5" x14ac:dyDescent="0.15">
      <c r="C5618" s="255" t="s">
        <v>830</v>
      </c>
      <c r="D5618" s="59">
        <v>46.6</v>
      </c>
      <c r="E5618" s="59"/>
    </row>
    <row r="5619" spans="3:5" x14ac:dyDescent="0.15">
      <c r="C5619" s="255" t="s">
        <v>831</v>
      </c>
      <c r="D5619" s="59">
        <v>0</v>
      </c>
      <c r="E5619" s="59"/>
    </row>
    <row r="5620" spans="3:5" x14ac:dyDescent="0.15">
      <c r="C5620" s="255" t="s">
        <v>832</v>
      </c>
      <c r="D5620" s="59">
        <v>5350.1</v>
      </c>
      <c r="E5620" s="59"/>
    </row>
    <row r="5621" spans="3:5" x14ac:dyDescent="0.15">
      <c r="C5621" s="255" t="s">
        <v>833</v>
      </c>
      <c r="D5621" s="59">
        <v>64.5</v>
      </c>
      <c r="E5621" s="59"/>
    </row>
    <row r="5622" spans="3:5" x14ac:dyDescent="0.15">
      <c r="C5622" s="255" t="s">
        <v>834</v>
      </c>
      <c r="D5622" s="59">
        <v>1480.3</v>
      </c>
      <c r="E5622" s="59"/>
    </row>
    <row r="5623" spans="3:5" x14ac:dyDescent="0.15">
      <c r="C5623" s="255" t="s">
        <v>835</v>
      </c>
      <c r="D5623" s="59">
        <v>2807.3</v>
      </c>
      <c r="E5623" s="59"/>
    </row>
    <row r="5624" spans="3:5" x14ac:dyDescent="0.15">
      <c r="C5624" s="255" t="s">
        <v>836</v>
      </c>
      <c r="D5624" s="59">
        <v>165.1</v>
      </c>
      <c r="E5624" s="59"/>
    </row>
    <row r="5625" spans="3:5" x14ac:dyDescent="0.15">
      <c r="C5625" s="255" t="s">
        <v>837</v>
      </c>
      <c r="D5625" s="59">
        <v>46.2</v>
      </c>
      <c r="E5625" s="59"/>
    </row>
    <row r="5626" spans="3:5" x14ac:dyDescent="0.15">
      <c r="C5626" s="255" t="s">
        <v>838</v>
      </c>
      <c r="D5626" s="59">
        <v>7.2</v>
      </c>
      <c r="E5626" s="59"/>
    </row>
    <row r="5627" spans="3:5" x14ac:dyDescent="0.15">
      <c r="C5627" s="255" t="s">
        <v>839</v>
      </c>
      <c r="D5627" s="59">
        <v>8.1999999999999993</v>
      </c>
      <c r="E5627" s="59"/>
    </row>
    <row r="5628" spans="3:5" x14ac:dyDescent="0.15">
      <c r="C5628" s="255" t="s">
        <v>840</v>
      </c>
      <c r="D5628" s="59">
        <v>0</v>
      </c>
      <c r="E5628" s="59"/>
    </row>
    <row r="5629" spans="3:5" x14ac:dyDescent="0.15">
      <c r="C5629" s="255" t="s">
        <v>841</v>
      </c>
      <c r="D5629" s="59">
        <v>172.2</v>
      </c>
      <c r="E5629" s="59"/>
    </row>
    <row r="5630" spans="3:5" x14ac:dyDescent="0.15">
      <c r="C5630" s="255" t="s">
        <v>842</v>
      </c>
      <c r="D5630" s="59">
        <v>517.79999999999995</v>
      </c>
      <c r="E5630" s="59"/>
    </row>
    <row r="5631" spans="3:5" x14ac:dyDescent="0.15">
      <c r="C5631" s="255" t="s">
        <v>843</v>
      </c>
      <c r="D5631" s="59">
        <v>81.2</v>
      </c>
      <c r="E5631" s="59"/>
    </row>
    <row r="5632" spans="3:5" x14ac:dyDescent="0.15">
      <c r="C5632" s="255" t="s">
        <v>844</v>
      </c>
      <c r="D5632" s="59">
        <v>0</v>
      </c>
      <c r="E5632" s="59"/>
    </row>
    <row r="5633" spans="3:5" x14ac:dyDescent="0.15">
      <c r="C5633" s="255" t="s">
        <v>845</v>
      </c>
      <c r="D5633" s="59">
        <v>56874.7</v>
      </c>
      <c r="E5633" s="59"/>
    </row>
    <row r="5634" spans="3:5" x14ac:dyDescent="0.15">
      <c r="C5634" s="255" t="s">
        <v>846</v>
      </c>
      <c r="D5634" s="59">
        <v>36724.5</v>
      </c>
      <c r="E5634" s="59"/>
    </row>
    <row r="5635" spans="3:5" x14ac:dyDescent="0.15">
      <c r="C5635" s="255" t="s">
        <v>847</v>
      </c>
      <c r="D5635" s="59">
        <v>59.1</v>
      </c>
      <c r="E5635" s="59"/>
    </row>
    <row r="5636" spans="3:5" x14ac:dyDescent="0.15">
      <c r="C5636" s="255" t="s">
        <v>848</v>
      </c>
      <c r="D5636" s="59">
        <v>3347.9</v>
      </c>
      <c r="E5636" s="59"/>
    </row>
    <row r="5637" spans="3:5" x14ac:dyDescent="0.15">
      <c r="C5637" s="255" t="s">
        <v>849</v>
      </c>
      <c r="D5637" s="59">
        <v>239.3</v>
      </c>
      <c r="E5637" s="59"/>
    </row>
    <row r="5638" spans="3:5" x14ac:dyDescent="0.15">
      <c r="C5638" s="255" t="s">
        <v>850</v>
      </c>
      <c r="D5638" s="59">
        <v>0</v>
      </c>
      <c r="E5638" s="59"/>
    </row>
    <row r="5639" spans="3:5" x14ac:dyDescent="0.15">
      <c r="C5639" s="255" t="s">
        <v>851</v>
      </c>
      <c r="D5639" s="59">
        <v>0</v>
      </c>
      <c r="E5639" s="59"/>
    </row>
    <row r="5640" spans="3:5" x14ac:dyDescent="0.15">
      <c r="C5640" s="255" t="s">
        <v>852</v>
      </c>
      <c r="D5640" s="59">
        <v>0</v>
      </c>
      <c r="E5640" s="59"/>
    </row>
    <row r="5641" spans="3:5" x14ac:dyDescent="0.15">
      <c r="C5641" s="255" t="s">
        <v>853</v>
      </c>
      <c r="D5641" s="59">
        <v>0</v>
      </c>
      <c r="E5641" s="59"/>
    </row>
    <row r="5642" spans="3:5" x14ac:dyDescent="0.15">
      <c r="C5642" s="255" t="s">
        <v>854</v>
      </c>
      <c r="D5642" s="59">
        <v>0</v>
      </c>
      <c r="E5642" s="59"/>
    </row>
    <row r="5643" spans="3:5" x14ac:dyDescent="0.15">
      <c r="C5643" s="255" t="s">
        <v>855</v>
      </c>
      <c r="D5643" s="59">
        <v>0</v>
      </c>
      <c r="E5643" s="59"/>
    </row>
    <row r="5644" spans="3:5" x14ac:dyDescent="0.15">
      <c r="C5644" s="255" t="s">
        <v>856</v>
      </c>
      <c r="D5644" s="59">
        <v>774.5</v>
      </c>
      <c r="E5644" s="59"/>
    </row>
    <row r="5645" spans="3:5" x14ac:dyDescent="0.15">
      <c r="C5645" s="255" t="s">
        <v>857</v>
      </c>
      <c r="D5645" s="59">
        <v>1741.7</v>
      </c>
      <c r="E5645" s="59"/>
    </row>
    <row r="5646" spans="3:5" x14ac:dyDescent="0.15">
      <c r="C5646" s="255" t="s">
        <v>858</v>
      </c>
      <c r="D5646" s="59">
        <v>1573.7</v>
      </c>
      <c r="E5646" s="59"/>
    </row>
    <row r="5647" spans="3:5" x14ac:dyDescent="0.15">
      <c r="C5647" s="255" t="s">
        <v>859</v>
      </c>
      <c r="D5647" s="59">
        <v>585.6</v>
      </c>
      <c r="E5647" s="59"/>
    </row>
    <row r="5648" spans="3:5" x14ac:dyDescent="0.15">
      <c r="C5648" s="255" t="s">
        <v>860</v>
      </c>
      <c r="D5648" s="59">
        <v>0</v>
      </c>
      <c r="E5648" s="59"/>
    </row>
    <row r="5649" spans="3:5" x14ac:dyDescent="0.15">
      <c r="C5649" s="255" t="s">
        <v>861</v>
      </c>
      <c r="D5649" s="59">
        <v>186.1</v>
      </c>
      <c r="E5649" s="59"/>
    </row>
    <row r="5650" spans="3:5" x14ac:dyDescent="0.15">
      <c r="C5650" s="255" t="s">
        <v>862</v>
      </c>
      <c r="D5650" s="59">
        <v>3881.9</v>
      </c>
      <c r="E5650" s="59"/>
    </row>
    <row r="5651" spans="3:5" x14ac:dyDescent="0.15">
      <c r="C5651" s="255" t="s">
        <v>863</v>
      </c>
      <c r="D5651" s="59">
        <v>286</v>
      </c>
      <c r="E5651" s="59"/>
    </row>
    <row r="5652" spans="3:5" x14ac:dyDescent="0.15">
      <c r="C5652" s="255" t="s">
        <v>864</v>
      </c>
      <c r="D5652" s="59">
        <v>3.7</v>
      </c>
      <c r="E5652" s="59"/>
    </row>
    <row r="5653" spans="3:5" x14ac:dyDescent="0.15">
      <c r="C5653" s="255" t="s">
        <v>865</v>
      </c>
      <c r="D5653" s="59">
        <v>485</v>
      </c>
      <c r="E5653" s="59"/>
    </row>
    <row r="5654" spans="3:5" x14ac:dyDescent="0.15">
      <c r="C5654" s="255" t="s">
        <v>866</v>
      </c>
      <c r="D5654" s="59">
        <v>3</v>
      </c>
      <c r="E5654" s="59"/>
    </row>
    <row r="5655" spans="3:5" x14ac:dyDescent="0.15">
      <c r="C5655" s="255" t="s">
        <v>867</v>
      </c>
      <c r="D5655" s="59">
        <v>167.8</v>
      </c>
      <c r="E5655" s="59"/>
    </row>
    <row r="5656" spans="3:5" x14ac:dyDescent="0.15">
      <c r="C5656" s="255" t="s">
        <v>868</v>
      </c>
      <c r="D5656" s="59">
        <v>6814.9</v>
      </c>
      <c r="E5656" s="59"/>
    </row>
    <row r="5657" spans="3:5" x14ac:dyDescent="0.15">
      <c r="C5657" s="255" t="s">
        <v>869</v>
      </c>
      <c r="D5657" s="59">
        <v>4723.8999999999996</v>
      </c>
      <c r="E5657" s="59"/>
    </row>
    <row r="5658" spans="3:5" x14ac:dyDescent="0.15">
      <c r="C5658" s="255" t="s">
        <v>870</v>
      </c>
      <c r="D5658" s="59">
        <v>2048.9</v>
      </c>
      <c r="E5658" s="59"/>
    </row>
    <row r="5659" spans="3:5" x14ac:dyDescent="0.15">
      <c r="C5659" s="255" t="s">
        <v>871</v>
      </c>
      <c r="D5659" s="59">
        <v>1.2</v>
      </c>
      <c r="E5659" s="59"/>
    </row>
    <row r="5660" spans="3:5" x14ac:dyDescent="0.15">
      <c r="C5660" s="255" t="s">
        <v>872</v>
      </c>
      <c r="D5660" s="59">
        <v>89.2</v>
      </c>
      <c r="E5660" s="59"/>
    </row>
    <row r="5661" spans="3:5" x14ac:dyDescent="0.15">
      <c r="C5661" s="255" t="s">
        <v>873</v>
      </c>
      <c r="D5661" s="59">
        <v>499.5</v>
      </c>
      <c r="E5661" s="59"/>
    </row>
    <row r="5662" spans="3:5" x14ac:dyDescent="0.15">
      <c r="C5662" s="255" t="s">
        <v>874</v>
      </c>
      <c r="D5662" s="59">
        <v>53</v>
      </c>
      <c r="E5662" s="59"/>
    </row>
    <row r="5663" spans="3:5" x14ac:dyDescent="0.15">
      <c r="C5663" s="255" t="s">
        <v>875</v>
      </c>
      <c r="D5663" s="59">
        <v>0</v>
      </c>
      <c r="E5663" s="59"/>
    </row>
    <row r="5664" spans="3:5" x14ac:dyDescent="0.15">
      <c r="C5664" s="255" t="s">
        <v>876</v>
      </c>
      <c r="D5664" s="59">
        <v>0</v>
      </c>
      <c r="E5664" s="59"/>
    </row>
    <row r="5665" spans="3:5" x14ac:dyDescent="0.15">
      <c r="C5665" s="255" t="s">
        <v>877</v>
      </c>
      <c r="D5665" s="59">
        <v>0</v>
      </c>
      <c r="E5665" s="59"/>
    </row>
    <row r="5666" spans="3:5" x14ac:dyDescent="0.15">
      <c r="C5666" s="255" t="s">
        <v>878</v>
      </c>
      <c r="D5666" s="59">
        <v>1.9</v>
      </c>
      <c r="E5666" s="59"/>
    </row>
    <row r="5667" spans="3:5" x14ac:dyDescent="0.15">
      <c r="C5667" s="255" t="s">
        <v>879</v>
      </c>
      <c r="D5667" s="59">
        <v>86.6</v>
      </c>
      <c r="E5667" s="59"/>
    </row>
    <row r="5668" spans="3:5" x14ac:dyDescent="0.15">
      <c r="C5668" s="255" t="s">
        <v>880</v>
      </c>
      <c r="D5668" s="59">
        <v>2.2000000000000002</v>
      </c>
      <c r="E5668" s="59"/>
    </row>
    <row r="5669" spans="3:5" x14ac:dyDescent="0.15">
      <c r="C5669" s="255" t="s">
        <v>881</v>
      </c>
      <c r="D5669" s="59">
        <v>0</v>
      </c>
      <c r="E5669" s="59"/>
    </row>
    <row r="5670" spans="3:5" x14ac:dyDescent="0.15">
      <c r="C5670" s="255" t="s">
        <v>882</v>
      </c>
      <c r="D5670" s="59">
        <v>89.8</v>
      </c>
      <c r="E5670" s="59"/>
    </row>
    <row r="5671" spans="3:5" x14ac:dyDescent="0.15">
      <c r="C5671" s="255" t="s">
        <v>883</v>
      </c>
      <c r="D5671" s="59">
        <v>58.2</v>
      </c>
      <c r="E5671" s="59"/>
    </row>
    <row r="5672" spans="3:5" x14ac:dyDescent="0.15">
      <c r="C5672" s="255" t="s">
        <v>884</v>
      </c>
      <c r="D5672" s="59">
        <v>10</v>
      </c>
      <c r="E5672" s="59"/>
    </row>
    <row r="5673" spans="3:5" x14ac:dyDescent="0.15">
      <c r="C5673" s="255" t="s">
        <v>885</v>
      </c>
      <c r="D5673" s="59">
        <v>0</v>
      </c>
      <c r="E5673" s="59"/>
    </row>
    <row r="5674" spans="3:5" x14ac:dyDescent="0.15">
      <c r="C5674" s="255" t="s">
        <v>886</v>
      </c>
      <c r="D5674" s="59">
        <v>0</v>
      </c>
      <c r="E5674" s="59"/>
    </row>
    <row r="5675" spans="3:5" x14ac:dyDescent="0.15">
      <c r="C5675" s="255" t="s">
        <v>887</v>
      </c>
      <c r="D5675" s="59">
        <v>0</v>
      </c>
      <c r="E5675" s="59"/>
    </row>
    <row r="5676" spans="3:5" x14ac:dyDescent="0.15">
      <c r="C5676" s="255" t="s">
        <v>888</v>
      </c>
      <c r="D5676" s="59">
        <v>0</v>
      </c>
      <c r="E5676" s="59"/>
    </row>
    <row r="5677" spans="3:5" x14ac:dyDescent="0.15">
      <c r="C5677" s="255" t="s">
        <v>889</v>
      </c>
      <c r="D5677" s="59">
        <v>44</v>
      </c>
      <c r="E5677" s="59"/>
    </row>
    <row r="5678" spans="3:5" x14ac:dyDescent="0.15">
      <c r="C5678" s="255" t="s">
        <v>890</v>
      </c>
      <c r="D5678" s="59">
        <v>0.8</v>
      </c>
      <c r="E5678" s="59"/>
    </row>
    <row r="5679" spans="3:5" x14ac:dyDescent="0.15">
      <c r="C5679" s="255" t="s">
        <v>891</v>
      </c>
      <c r="D5679" s="59">
        <v>0.2</v>
      </c>
      <c r="E5679" s="59"/>
    </row>
    <row r="5680" spans="3:5" x14ac:dyDescent="0.15">
      <c r="C5680" s="255" t="s">
        <v>892</v>
      </c>
      <c r="D5680" s="59">
        <v>0.1</v>
      </c>
      <c r="E5680" s="59"/>
    </row>
    <row r="5681" spans="3:5" x14ac:dyDescent="0.15">
      <c r="C5681" s="255" t="s">
        <v>893</v>
      </c>
      <c r="D5681" s="59">
        <v>3.5</v>
      </c>
      <c r="E5681" s="59"/>
    </row>
    <row r="5682" spans="3:5" x14ac:dyDescent="0.15">
      <c r="C5682" s="255" t="s">
        <v>894</v>
      </c>
      <c r="D5682" s="59">
        <v>0</v>
      </c>
      <c r="E5682" s="59"/>
    </row>
    <row r="5683" spans="3:5" x14ac:dyDescent="0.15">
      <c r="C5683" s="255" t="s">
        <v>895</v>
      </c>
      <c r="D5683" s="59">
        <v>150.1</v>
      </c>
      <c r="E5683" s="59"/>
    </row>
    <row r="5684" spans="3:5" x14ac:dyDescent="0.15">
      <c r="C5684" s="255" t="s">
        <v>896</v>
      </c>
      <c r="D5684" s="59">
        <v>0.3</v>
      </c>
      <c r="E5684" s="59"/>
    </row>
    <row r="5685" spans="3:5" x14ac:dyDescent="0.15">
      <c r="C5685" s="255" t="s">
        <v>897</v>
      </c>
      <c r="D5685" s="59">
        <v>534.1</v>
      </c>
      <c r="E5685" s="59"/>
    </row>
    <row r="5686" spans="3:5" x14ac:dyDescent="0.15">
      <c r="C5686" s="255" t="s">
        <v>898</v>
      </c>
      <c r="D5686" s="59">
        <v>0</v>
      </c>
      <c r="E5686" s="59"/>
    </row>
    <row r="5687" spans="3:5" x14ac:dyDescent="0.15">
      <c r="C5687" s="255" t="s">
        <v>899</v>
      </c>
      <c r="D5687" s="59">
        <v>0</v>
      </c>
      <c r="E5687" s="59"/>
    </row>
    <row r="5688" spans="3:5" x14ac:dyDescent="0.15">
      <c r="C5688" s="255" t="s">
        <v>900</v>
      </c>
      <c r="D5688" s="59">
        <v>37.6</v>
      </c>
      <c r="E5688" s="59"/>
    </row>
    <row r="5689" spans="3:5" x14ac:dyDescent="0.15">
      <c r="C5689" s="255" t="s">
        <v>901</v>
      </c>
      <c r="D5689" s="59">
        <v>84.9</v>
      </c>
      <c r="E5689" s="59"/>
    </row>
    <row r="5690" spans="3:5" x14ac:dyDescent="0.15">
      <c r="C5690" s="255" t="s">
        <v>902</v>
      </c>
      <c r="D5690" s="59">
        <v>0</v>
      </c>
      <c r="E5690" s="59"/>
    </row>
    <row r="5691" spans="3:5" x14ac:dyDescent="0.15">
      <c r="C5691" s="255" t="s">
        <v>903</v>
      </c>
      <c r="D5691" s="59">
        <v>240</v>
      </c>
      <c r="E5691" s="59"/>
    </row>
    <row r="5692" spans="3:5" x14ac:dyDescent="0.15">
      <c r="C5692" s="255" t="s">
        <v>904</v>
      </c>
      <c r="D5692" s="59">
        <v>608.1</v>
      </c>
      <c r="E5692" s="59"/>
    </row>
    <row r="5693" spans="3:5" x14ac:dyDescent="0.15">
      <c r="C5693" s="255" t="s">
        <v>905</v>
      </c>
      <c r="D5693" s="59">
        <v>0</v>
      </c>
      <c r="E5693" s="59"/>
    </row>
    <row r="5694" spans="3:5" x14ac:dyDescent="0.15">
      <c r="C5694" s="255" t="s">
        <v>906</v>
      </c>
      <c r="D5694" s="59">
        <v>6.7</v>
      </c>
      <c r="E5694" s="59"/>
    </row>
    <row r="5695" spans="3:5" x14ac:dyDescent="0.15">
      <c r="C5695" s="255" t="s">
        <v>907</v>
      </c>
      <c r="D5695" s="59">
        <v>72.8</v>
      </c>
      <c r="E5695" s="59"/>
    </row>
    <row r="5696" spans="3:5" x14ac:dyDescent="0.15">
      <c r="C5696" s="255" t="s">
        <v>908</v>
      </c>
      <c r="D5696" s="59">
        <v>2029.3</v>
      </c>
      <c r="E5696" s="59"/>
    </row>
    <row r="5697" spans="3:5" x14ac:dyDescent="0.15">
      <c r="C5697" s="255" t="s">
        <v>909</v>
      </c>
      <c r="D5697" s="59">
        <v>811.7</v>
      </c>
      <c r="E5697" s="59"/>
    </row>
    <row r="5698" spans="3:5" x14ac:dyDescent="0.15">
      <c r="C5698" s="255" t="s">
        <v>910</v>
      </c>
      <c r="D5698" s="59">
        <v>40.9</v>
      </c>
      <c r="E5698" s="59"/>
    </row>
    <row r="5699" spans="3:5" x14ac:dyDescent="0.15">
      <c r="C5699" s="255" t="s">
        <v>911</v>
      </c>
      <c r="D5699" s="59">
        <v>36.9</v>
      </c>
      <c r="E5699" s="59"/>
    </row>
    <row r="5700" spans="3:5" x14ac:dyDescent="0.15">
      <c r="C5700" s="255" t="s">
        <v>912</v>
      </c>
      <c r="D5700" s="59">
        <v>158.4</v>
      </c>
      <c r="E5700" s="59"/>
    </row>
    <row r="5701" spans="3:5" x14ac:dyDescent="0.15">
      <c r="C5701" s="255" t="s">
        <v>913</v>
      </c>
      <c r="D5701" s="59">
        <v>0</v>
      </c>
      <c r="E5701" s="59"/>
    </row>
    <row r="5702" spans="3:5" x14ac:dyDescent="0.15">
      <c r="C5702" s="255" t="s">
        <v>914</v>
      </c>
      <c r="D5702" s="59">
        <v>0</v>
      </c>
      <c r="E5702" s="59"/>
    </row>
    <row r="5703" spans="3:5" x14ac:dyDescent="0.15">
      <c r="C5703" s="255" t="s">
        <v>915</v>
      </c>
      <c r="D5703" s="59">
        <v>0</v>
      </c>
      <c r="E5703" s="59"/>
    </row>
    <row r="5704" spans="3:5" x14ac:dyDescent="0.15">
      <c r="C5704" s="255" t="s">
        <v>916</v>
      </c>
      <c r="D5704" s="59">
        <v>39.4</v>
      </c>
      <c r="E5704" s="59"/>
    </row>
    <row r="5705" spans="3:5" x14ac:dyDescent="0.15">
      <c r="C5705" s="255" t="s">
        <v>917</v>
      </c>
      <c r="D5705" s="59">
        <v>0</v>
      </c>
      <c r="E5705" s="59"/>
    </row>
    <row r="5706" spans="3:5" x14ac:dyDescent="0.15">
      <c r="C5706" s="255" t="s">
        <v>918</v>
      </c>
      <c r="D5706" s="59">
        <v>569.5</v>
      </c>
      <c r="E5706" s="59"/>
    </row>
    <row r="5707" spans="3:5" x14ac:dyDescent="0.15">
      <c r="C5707" s="255" t="s">
        <v>919</v>
      </c>
      <c r="D5707" s="59">
        <v>5.3</v>
      </c>
      <c r="E5707" s="59"/>
    </row>
    <row r="5708" spans="3:5" x14ac:dyDescent="0.15">
      <c r="C5708" s="255" t="s">
        <v>920</v>
      </c>
      <c r="D5708" s="59">
        <v>367.4</v>
      </c>
      <c r="E5708" s="59"/>
    </row>
    <row r="5709" spans="3:5" x14ac:dyDescent="0.15">
      <c r="C5709" s="255" t="s">
        <v>921</v>
      </c>
      <c r="D5709" s="59">
        <v>0</v>
      </c>
      <c r="E5709" s="59"/>
    </row>
    <row r="5710" spans="3:5" x14ac:dyDescent="0.15">
      <c r="C5710" s="255" t="s">
        <v>922</v>
      </c>
      <c r="D5710" s="59">
        <v>8706.7000000000007</v>
      </c>
      <c r="E5710" s="59"/>
    </row>
    <row r="5711" spans="3:5" x14ac:dyDescent="0.15">
      <c r="C5711" s="255" t="s">
        <v>923</v>
      </c>
      <c r="D5711" s="59">
        <v>0</v>
      </c>
      <c r="E5711" s="59"/>
    </row>
    <row r="5712" spans="3:5" x14ac:dyDescent="0.15">
      <c r="C5712" s="255" t="s">
        <v>924</v>
      </c>
      <c r="D5712" s="59">
        <v>109.1</v>
      </c>
      <c r="E5712" s="59"/>
    </row>
    <row r="5713" spans="3:5" x14ac:dyDescent="0.15">
      <c r="C5713" s="255" t="s">
        <v>925</v>
      </c>
      <c r="D5713" s="59">
        <v>35.200000000000003</v>
      </c>
      <c r="E5713" s="59"/>
    </row>
    <row r="5714" spans="3:5" x14ac:dyDescent="0.15">
      <c r="C5714" s="255" t="s">
        <v>926</v>
      </c>
      <c r="D5714" s="59">
        <v>576</v>
      </c>
      <c r="E5714" s="59"/>
    </row>
    <row r="5715" spans="3:5" x14ac:dyDescent="0.15">
      <c r="C5715" s="255" t="s">
        <v>927</v>
      </c>
      <c r="D5715" s="59">
        <v>40.4</v>
      </c>
      <c r="E5715" s="59"/>
    </row>
    <row r="5716" spans="3:5" x14ac:dyDescent="0.15">
      <c r="C5716" s="255" t="s">
        <v>928</v>
      </c>
      <c r="D5716" s="59">
        <v>173.9</v>
      </c>
      <c r="E5716" s="59"/>
    </row>
    <row r="5717" spans="3:5" x14ac:dyDescent="0.15">
      <c r="C5717" s="255" t="s">
        <v>929</v>
      </c>
      <c r="D5717" s="59">
        <v>0</v>
      </c>
      <c r="E5717" s="59"/>
    </row>
    <row r="5718" spans="3:5" x14ac:dyDescent="0.15">
      <c r="C5718" s="255" t="s">
        <v>930</v>
      </c>
      <c r="D5718" s="59">
        <v>518.6</v>
      </c>
      <c r="E5718" s="59"/>
    </row>
    <row r="5719" spans="3:5" x14ac:dyDescent="0.15">
      <c r="C5719" s="255" t="s">
        <v>931</v>
      </c>
      <c r="D5719" s="59">
        <v>1707.3</v>
      </c>
      <c r="E5719" s="59"/>
    </row>
    <row r="5720" spans="3:5" x14ac:dyDescent="0.15">
      <c r="C5720" s="255" t="s">
        <v>932</v>
      </c>
      <c r="D5720" s="59">
        <v>0</v>
      </c>
      <c r="E5720" s="59"/>
    </row>
    <row r="5721" spans="3:5" x14ac:dyDescent="0.15">
      <c r="C5721" s="255" t="s">
        <v>933</v>
      </c>
      <c r="D5721" s="59">
        <v>0</v>
      </c>
      <c r="E5721" s="59"/>
    </row>
    <row r="5722" spans="3:5" x14ac:dyDescent="0.15">
      <c r="C5722" s="255" t="s">
        <v>934</v>
      </c>
      <c r="D5722" s="59">
        <v>396.2</v>
      </c>
      <c r="E5722" s="59"/>
    </row>
    <row r="5723" spans="3:5" x14ac:dyDescent="0.15">
      <c r="C5723" s="255" t="s">
        <v>935</v>
      </c>
      <c r="D5723" s="59">
        <v>33</v>
      </c>
      <c r="E5723" s="59"/>
    </row>
    <row r="5724" spans="3:5" x14ac:dyDescent="0.15">
      <c r="C5724" s="255" t="s">
        <v>936</v>
      </c>
      <c r="D5724" s="59">
        <v>1178.5999999999999</v>
      </c>
      <c r="E5724" s="59"/>
    </row>
    <row r="5725" spans="3:5" x14ac:dyDescent="0.15">
      <c r="C5725" s="255" t="s">
        <v>937</v>
      </c>
      <c r="D5725" s="59">
        <v>117.5</v>
      </c>
      <c r="E5725" s="59"/>
    </row>
    <row r="5726" spans="3:5" x14ac:dyDescent="0.15">
      <c r="C5726" s="255" t="s">
        <v>938</v>
      </c>
      <c r="D5726" s="59">
        <v>639.1</v>
      </c>
      <c r="E5726" s="59"/>
    </row>
    <row r="5727" spans="3:5" x14ac:dyDescent="0.15">
      <c r="C5727" s="255" t="s">
        <v>939</v>
      </c>
      <c r="D5727" s="59">
        <v>5.0999999999999996</v>
      </c>
      <c r="E5727" s="59"/>
    </row>
    <row r="5728" spans="3:5" x14ac:dyDescent="0.15">
      <c r="C5728" s="255" t="s">
        <v>940</v>
      </c>
      <c r="D5728" s="59">
        <v>233</v>
      </c>
      <c r="E5728" s="59"/>
    </row>
    <row r="5729" spans="3:5" x14ac:dyDescent="0.15">
      <c r="C5729" s="255" t="s">
        <v>941</v>
      </c>
      <c r="D5729" s="59">
        <v>407.7</v>
      </c>
      <c r="E5729" s="59"/>
    </row>
    <row r="5730" spans="3:5" x14ac:dyDescent="0.15">
      <c r="C5730" s="255" t="s">
        <v>942</v>
      </c>
      <c r="D5730" s="59">
        <v>0</v>
      </c>
      <c r="E5730" s="59"/>
    </row>
    <row r="5731" spans="3:5" x14ac:dyDescent="0.15">
      <c r="C5731" s="255" t="s">
        <v>943</v>
      </c>
      <c r="D5731" s="59">
        <v>780.2</v>
      </c>
      <c r="E5731" s="59"/>
    </row>
    <row r="5732" spans="3:5" x14ac:dyDescent="0.15">
      <c r="C5732" s="255" t="s">
        <v>944</v>
      </c>
      <c r="D5732" s="59">
        <v>45.4</v>
      </c>
      <c r="E5732" s="59"/>
    </row>
    <row r="5733" spans="3:5" x14ac:dyDescent="0.15">
      <c r="C5733" s="255" t="s">
        <v>945</v>
      </c>
      <c r="D5733" s="59">
        <v>1410.6</v>
      </c>
      <c r="E5733" s="59"/>
    </row>
    <row r="5734" spans="3:5" x14ac:dyDescent="0.15">
      <c r="C5734" s="255" t="s">
        <v>946</v>
      </c>
      <c r="D5734" s="59">
        <v>288.60000000000002</v>
      </c>
      <c r="E5734" s="59"/>
    </row>
    <row r="5735" spans="3:5" x14ac:dyDescent="0.15">
      <c r="C5735" s="255" t="s">
        <v>947</v>
      </c>
      <c r="D5735" s="59">
        <v>11.3</v>
      </c>
      <c r="E5735" s="59"/>
    </row>
    <row r="5736" spans="3:5" x14ac:dyDescent="0.15">
      <c r="C5736" s="255" t="s">
        <v>948</v>
      </c>
      <c r="D5736" s="59">
        <v>5298.2</v>
      </c>
      <c r="E5736" s="59"/>
    </row>
    <row r="5737" spans="3:5" x14ac:dyDescent="0.15">
      <c r="C5737" s="255" t="s">
        <v>949</v>
      </c>
      <c r="D5737" s="59">
        <v>82.3</v>
      </c>
      <c r="E5737" s="59"/>
    </row>
    <row r="5738" spans="3:5" x14ac:dyDescent="0.15">
      <c r="C5738" s="255" t="s">
        <v>950</v>
      </c>
      <c r="D5738" s="59">
        <v>0</v>
      </c>
      <c r="E5738" s="59"/>
    </row>
    <row r="5739" spans="3:5" x14ac:dyDescent="0.15">
      <c r="C5739" s="255" t="s">
        <v>951</v>
      </c>
      <c r="D5739" s="59">
        <v>632.1</v>
      </c>
      <c r="E5739" s="59"/>
    </row>
    <row r="5740" spans="3:5" x14ac:dyDescent="0.15">
      <c r="C5740" s="255" t="s">
        <v>952</v>
      </c>
      <c r="D5740" s="59">
        <v>0</v>
      </c>
      <c r="E5740" s="59"/>
    </row>
    <row r="5741" spans="3:5" x14ac:dyDescent="0.15">
      <c r="C5741" s="255" t="s">
        <v>953</v>
      </c>
      <c r="D5741" s="59">
        <v>48.4</v>
      </c>
      <c r="E5741" s="59"/>
    </row>
    <row r="5742" spans="3:5" x14ac:dyDescent="0.15">
      <c r="C5742" s="255" t="s">
        <v>954</v>
      </c>
      <c r="D5742" s="59">
        <v>1918.6</v>
      </c>
      <c r="E5742" s="59"/>
    </row>
    <row r="5743" spans="3:5" x14ac:dyDescent="0.15">
      <c r="C5743" s="255" t="s">
        <v>955</v>
      </c>
      <c r="D5743" s="59">
        <v>1474.4</v>
      </c>
      <c r="E5743" s="59"/>
    </row>
    <row r="5744" spans="3:5" x14ac:dyDescent="0.15">
      <c r="C5744" s="255" t="s">
        <v>956</v>
      </c>
      <c r="D5744" s="59">
        <v>1142.4000000000001</v>
      </c>
      <c r="E5744" s="59"/>
    </row>
    <row r="5745" spans="3:5" x14ac:dyDescent="0.15">
      <c r="C5745" s="255" t="s">
        <v>957</v>
      </c>
      <c r="D5745" s="59">
        <v>9665.9</v>
      </c>
      <c r="E5745" s="59"/>
    </row>
    <row r="5746" spans="3:5" x14ac:dyDescent="0.15">
      <c r="C5746" s="255" t="s">
        <v>958</v>
      </c>
      <c r="D5746" s="59">
        <v>0</v>
      </c>
      <c r="E5746" s="59"/>
    </row>
    <row r="5747" spans="3:5" x14ac:dyDescent="0.15">
      <c r="C5747" s="255" t="s">
        <v>959</v>
      </c>
      <c r="D5747" s="59">
        <v>298</v>
      </c>
      <c r="E5747" s="59"/>
    </row>
    <row r="5748" spans="3:5" x14ac:dyDescent="0.15">
      <c r="C5748" s="255" t="s">
        <v>960</v>
      </c>
      <c r="D5748" s="59">
        <v>43.1</v>
      </c>
      <c r="E5748" s="59"/>
    </row>
    <row r="5749" spans="3:5" x14ac:dyDescent="0.15">
      <c r="C5749" s="255" t="s">
        <v>961</v>
      </c>
      <c r="D5749" s="59">
        <v>0</v>
      </c>
      <c r="E5749" s="59"/>
    </row>
    <row r="5750" spans="3:5" x14ac:dyDescent="0.15">
      <c r="C5750" s="255" t="s">
        <v>962</v>
      </c>
      <c r="D5750" s="59">
        <v>0</v>
      </c>
      <c r="E5750" s="59"/>
    </row>
    <row r="5751" spans="3:5" x14ac:dyDescent="0.15">
      <c r="C5751" s="255" t="s">
        <v>963</v>
      </c>
      <c r="D5751" s="59">
        <v>1191.9000000000001</v>
      </c>
      <c r="E5751" s="59"/>
    </row>
    <row r="5752" spans="3:5" x14ac:dyDescent="0.15">
      <c r="C5752" s="255" t="s">
        <v>964</v>
      </c>
      <c r="D5752" s="59">
        <v>448.1</v>
      </c>
      <c r="E5752" s="59"/>
    </row>
    <row r="5753" spans="3:5" x14ac:dyDescent="0.15">
      <c r="C5753" s="255" t="s">
        <v>965</v>
      </c>
      <c r="D5753" s="59">
        <v>37.5</v>
      </c>
      <c r="E5753" s="59"/>
    </row>
    <row r="5754" spans="3:5" x14ac:dyDescent="0.15">
      <c r="C5754" s="255" t="s">
        <v>966</v>
      </c>
      <c r="D5754" s="59">
        <v>0</v>
      </c>
      <c r="E5754" s="59"/>
    </row>
    <row r="5755" spans="3:5" x14ac:dyDescent="0.15">
      <c r="C5755" s="255" t="s">
        <v>967</v>
      </c>
      <c r="D5755" s="59">
        <v>98.4</v>
      </c>
      <c r="E5755" s="59"/>
    </row>
    <row r="5756" spans="3:5" x14ac:dyDescent="0.15">
      <c r="C5756" s="255" t="s">
        <v>968</v>
      </c>
      <c r="D5756" s="59">
        <v>0</v>
      </c>
      <c r="E5756" s="59"/>
    </row>
    <row r="5757" spans="3:5" x14ac:dyDescent="0.15">
      <c r="C5757" s="255" t="s">
        <v>969</v>
      </c>
      <c r="D5757" s="59">
        <v>1.5</v>
      </c>
      <c r="E5757" s="59"/>
    </row>
    <row r="5758" spans="3:5" x14ac:dyDescent="0.15">
      <c r="C5758" s="255" t="s">
        <v>970</v>
      </c>
      <c r="D5758" s="59">
        <v>0</v>
      </c>
      <c r="E5758" s="59"/>
    </row>
    <row r="5759" spans="3:5" x14ac:dyDescent="0.15">
      <c r="C5759" s="255" t="s">
        <v>971</v>
      </c>
      <c r="D5759" s="59">
        <v>-215.4</v>
      </c>
      <c r="E5759" s="59"/>
    </row>
    <row r="5760" spans="3:5" x14ac:dyDescent="0.15">
      <c r="C5760" s="255" t="s">
        <v>972</v>
      </c>
      <c r="D5760" s="59">
        <v>-400.2</v>
      </c>
      <c r="E5760" s="59"/>
    </row>
    <row r="5761" spans="3:5" x14ac:dyDescent="0.15">
      <c r="C5761" s="255" t="s">
        <v>973</v>
      </c>
      <c r="D5761" s="59">
        <v>0</v>
      </c>
      <c r="E5761" s="59"/>
    </row>
    <row r="5762" spans="3:5" x14ac:dyDescent="0.15">
      <c r="C5762" s="255" t="s">
        <v>974</v>
      </c>
      <c r="D5762" s="59">
        <v>0</v>
      </c>
      <c r="E5762" s="59"/>
    </row>
    <row r="5763" spans="3:5" x14ac:dyDescent="0.15">
      <c r="C5763" s="255" t="s">
        <v>975</v>
      </c>
      <c r="D5763" s="59">
        <v>0</v>
      </c>
      <c r="E5763" s="59"/>
    </row>
    <row r="5764" spans="3:5" x14ac:dyDescent="0.15">
      <c r="C5764" s="255" t="s">
        <v>976</v>
      </c>
      <c r="D5764" s="59">
        <v>0</v>
      </c>
      <c r="E5764" s="59"/>
    </row>
    <row r="5765" spans="3:5" x14ac:dyDescent="0.15">
      <c r="C5765" s="255" t="s">
        <v>977</v>
      </c>
      <c r="D5765" s="59">
        <v>516.5</v>
      </c>
      <c r="E5765" s="59"/>
    </row>
    <row r="5766" spans="3:5" x14ac:dyDescent="0.15">
      <c r="C5766" s="255" t="s">
        <v>978</v>
      </c>
      <c r="D5766" s="59">
        <v>293</v>
      </c>
      <c r="E5766" s="59"/>
    </row>
    <row r="5767" spans="3:5" x14ac:dyDescent="0.15">
      <c r="C5767" s="255" t="s">
        <v>979</v>
      </c>
      <c r="D5767" s="59">
        <v>0</v>
      </c>
      <c r="E5767" s="59"/>
    </row>
    <row r="5768" spans="3:5" x14ac:dyDescent="0.15">
      <c r="C5768" s="255" t="s">
        <v>980</v>
      </c>
      <c r="D5768" s="59">
        <v>26.5</v>
      </c>
      <c r="E5768" s="59"/>
    </row>
    <row r="5769" spans="3:5" x14ac:dyDescent="0.15">
      <c r="C5769" s="255" t="s">
        <v>981</v>
      </c>
      <c r="D5769" s="59">
        <v>0</v>
      </c>
      <c r="E5769" s="59"/>
    </row>
    <row r="5770" spans="3:5" x14ac:dyDescent="0.15">
      <c r="C5770" s="255" t="s">
        <v>982</v>
      </c>
      <c r="D5770" s="59">
        <v>30.5</v>
      </c>
      <c r="E5770" s="59"/>
    </row>
    <row r="5771" spans="3:5" x14ac:dyDescent="0.15">
      <c r="C5771" s="255" t="s">
        <v>983</v>
      </c>
      <c r="D5771" s="59">
        <v>318.2</v>
      </c>
      <c r="E5771" s="59"/>
    </row>
    <row r="5772" spans="3:5" x14ac:dyDescent="0.15">
      <c r="C5772" s="255" t="s">
        <v>984</v>
      </c>
      <c r="D5772" s="59">
        <v>0</v>
      </c>
      <c r="E5772" s="59"/>
    </row>
    <row r="5773" spans="3:5" x14ac:dyDescent="0.15">
      <c r="C5773" s="255" t="s">
        <v>985</v>
      </c>
      <c r="D5773" s="59">
        <v>46.2</v>
      </c>
      <c r="E5773" s="59"/>
    </row>
    <row r="5774" spans="3:5" x14ac:dyDescent="0.15">
      <c r="C5774" s="255" t="s">
        <v>986</v>
      </c>
      <c r="D5774" s="59">
        <v>0</v>
      </c>
      <c r="E5774" s="59"/>
    </row>
    <row r="5775" spans="3:5" x14ac:dyDescent="0.15">
      <c r="C5775" s="255" t="s">
        <v>987</v>
      </c>
      <c r="D5775" s="59">
        <v>204.3</v>
      </c>
      <c r="E5775" s="59"/>
    </row>
    <row r="5776" spans="3:5" x14ac:dyDescent="0.15">
      <c r="C5776" s="255" t="s">
        <v>988</v>
      </c>
      <c r="D5776" s="59">
        <v>1017.3</v>
      </c>
      <c r="E5776" s="59"/>
    </row>
    <row r="5777" spans="3:5" x14ac:dyDescent="0.15">
      <c r="C5777" s="255" t="s">
        <v>989</v>
      </c>
      <c r="D5777" s="59">
        <v>344.4</v>
      </c>
      <c r="E5777" s="59"/>
    </row>
    <row r="5778" spans="3:5" x14ac:dyDescent="0.15">
      <c r="C5778" s="255" t="s">
        <v>990</v>
      </c>
      <c r="D5778" s="59">
        <v>489</v>
      </c>
      <c r="E5778" s="59"/>
    </row>
    <row r="5779" spans="3:5" x14ac:dyDescent="0.15">
      <c r="C5779" s="255" t="s">
        <v>991</v>
      </c>
      <c r="D5779" s="59">
        <v>2905.7</v>
      </c>
      <c r="E5779" s="59"/>
    </row>
    <row r="5780" spans="3:5" x14ac:dyDescent="0.15">
      <c r="C5780" s="255" t="s">
        <v>992</v>
      </c>
      <c r="D5780" s="59">
        <v>11.7</v>
      </c>
      <c r="E5780" s="59"/>
    </row>
    <row r="5781" spans="3:5" x14ac:dyDescent="0.15">
      <c r="C5781" s="255" t="s">
        <v>993</v>
      </c>
      <c r="D5781" s="59">
        <v>74</v>
      </c>
      <c r="E5781" s="59"/>
    </row>
    <row r="5782" spans="3:5" x14ac:dyDescent="0.15">
      <c r="C5782" s="255" t="s">
        <v>994</v>
      </c>
      <c r="D5782" s="59">
        <v>0</v>
      </c>
      <c r="E5782" s="59"/>
    </row>
    <row r="5783" spans="3:5" x14ac:dyDescent="0.15">
      <c r="C5783" s="255" t="s">
        <v>995</v>
      </c>
      <c r="D5783" s="59">
        <v>29.4</v>
      </c>
      <c r="E5783" s="59"/>
    </row>
    <row r="5784" spans="3:5" x14ac:dyDescent="0.15">
      <c r="C5784" s="255" t="s">
        <v>996</v>
      </c>
      <c r="D5784" s="59">
        <v>69.8</v>
      </c>
      <c r="E5784" s="59"/>
    </row>
    <row r="5785" spans="3:5" x14ac:dyDescent="0.15">
      <c r="C5785" s="255" t="s">
        <v>997</v>
      </c>
      <c r="D5785" s="59">
        <v>486.2</v>
      </c>
      <c r="E5785" s="59"/>
    </row>
    <row r="5786" spans="3:5" x14ac:dyDescent="0.15">
      <c r="C5786" s="255" t="s">
        <v>998</v>
      </c>
      <c r="D5786" s="59">
        <v>162.30000000000001</v>
      </c>
      <c r="E5786" s="59"/>
    </row>
    <row r="5787" spans="3:5" x14ac:dyDescent="0.15">
      <c r="C5787" s="255" t="s">
        <v>999</v>
      </c>
      <c r="D5787" s="59">
        <v>0</v>
      </c>
      <c r="E5787" s="59"/>
    </row>
    <row r="5788" spans="3:5" x14ac:dyDescent="0.15">
      <c r="C5788" s="255" t="s">
        <v>1000</v>
      </c>
      <c r="D5788" s="59">
        <v>235.9</v>
      </c>
      <c r="E5788" s="59"/>
    </row>
    <row r="5789" spans="3:5" x14ac:dyDescent="0.15">
      <c r="C5789" s="255" t="s">
        <v>1001</v>
      </c>
      <c r="D5789" s="59">
        <v>91.1</v>
      </c>
      <c r="E5789" s="59"/>
    </row>
    <row r="5790" spans="3:5" x14ac:dyDescent="0.15">
      <c r="C5790" s="255" t="s">
        <v>1002</v>
      </c>
      <c r="D5790" s="59">
        <v>21.1</v>
      </c>
      <c r="E5790" s="59"/>
    </row>
    <row r="5791" spans="3:5" x14ac:dyDescent="0.15">
      <c r="C5791" s="255" t="s">
        <v>1003</v>
      </c>
      <c r="D5791" s="59">
        <v>37.5</v>
      </c>
      <c r="E5791" s="59"/>
    </row>
    <row r="5792" spans="3:5" x14ac:dyDescent="0.15">
      <c r="C5792" s="255" t="s">
        <v>1004</v>
      </c>
      <c r="D5792" s="59">
        <v>22.7</v>
      </c>
      <c r="E5792" s="59"/>
    </row>
    <row r="5793" spans="3:5" x14ac:dyDescent="0.15">
      <c r="C5793" s="255" t="s">
        <v>1005</v>
      </c>
      <c r="D5793" s="59">
        <v>0</v>
      </c>
      <c r="E5793" s="59"/>
    </row>
    <row r="5794" spans="3:5" x14ac:dyDescent="0.15">
      <c r="C5794" s="255" t="s">
        <v>1006</v>
      </c>
      <c r="D5794" s="59">
        <v>729.7</v>
      </c>
      <c r="E5794" s="59"/>
    </row>
    <row r="5795" spans="3:5" x14ac:dyDescent="0.15">
      <c r="C5795" s="255" t="s">
        <v>1007</v>
      </c>
      <c r="D5795" s="59">
        <v>113.6</v>
      </c>
      <c r="E5795" s="59"/>
    </row>
    <row r="5796" spans="3:5" x14ac:dyDescent="0.15">
      <c r="C5796" s="255" t="s">
        <v>1008</v>
      </c>
      <c r="D5796" s="59">
        <v>0</v>
      </c>
      <c r="E5796" s="59"/>
    </row>
    <row r="5797" spans="3:5" x14ac:dyDescent="0.15">
      <c r="C5797" s="255" t="s">
        <v>1009</v>
      </c>
      <c r="D5797" s="59">
        <v>4.4000000000000004</v>
      </c>
      <c r="E5797" s="59"/>
    </row>
    <row r="5798" spans="3:5" x14ac:dyDescent="0.15">
      <c r="C5798" s="255" t="s">
        <v>1010</v>
      </c>
      <c r="D5798" s="59">
        <v>109.2</v>
      </c>
      <c r="E5798" s="59"/>
    </row>
    <row r="5799" spans="3:5" x14ac:dyDescent="0.15">
      <c r="C5799" s="255" t="s">
        <v>1011</v>
      </c>
      <c r="D5799" s="59">
        <v>0</v>
      </c>
      <c r="E5799" s="59"/>
    </row>
    <row r="5800" spans="3:5" x14ac:dyDescent="0.15">
      <c r="C5800" s="255" t="s">
        <v>1012</v>
      </c>
      <c r="D5800" s="59">
        <v>8741.7999999999993</v>
      </c>
      <c r="E5800" s="59"/>
    </row>
    <row r="5801" spans="3:5" x14ac:dyDescent="0.15">
      <c r="C5801" s="255" t="s">
        <v>1013</v>
      </c>
      <c r="D5801" s="59">
        <v>3453.9</v>
      </c>
      <c r="E5801" s="59"/>
    </row>
    <row r="5802" spans="3:5" x14ac:dyDescent="0.15">
      <c r="C5802" s="255" t="s">
        <v>1014</v>
      </c>
      <c r="D5802" s="59">
        <v>2924.8</v>
      </c>
      <c r="E5802" s="59"/>
    </row>
    <row r="5803" spans="3:5" x14ac:dyDescent="0.15">
      <c r="C5803" s="255" t="s">
        <v>1015</v>
      </c>
      <c r="D5803" s="59">
        <v>546.20000000000005</v>
      </c>
      <c r="E5803" s="59"/>
    </row>
    <row r="5804" spans="3:5" x14ac:dyDescent="0.15">
      <c r="C5804" s="255" t="s">
        <v>1016</v>
      </c>
      <c r="D5804" s="59">
        <v>900.2</v>
      </c>
      <c r="E5804" s="59"/>
    </row>
    <row r="5805" spans="3:5" x14ac:dyDescent="0.15">
      <c r="C5805" s="255" t="s">
        <v>1017</v>
      </c>
      <c r="D5805" s="59">
        <v>916.7</v>
      </c>
      <c r="E5805" s="59"/>
    </row>
    <row r="5806" spans="3:5" x14ac:dyDescent="0.15">
      <c r="C5806" s="255" t="s">
        <v>1018</v>
      </c>
      <c r="D5806" s="59">
        <v>0</v>
      </c>
      <c r="E5806" s="59"/>
    </row>
    <row r="5807" spans="3:5" x14ac:dyDescent="0.15">
      <c r="C5807" s="255" t="s">
        <v>1019</v>
      </c>
      <c r="D5807" s="59">
        <v>8056.5</v>
      </c>
      <c r="E5807" s="59"/>
    </row>
    <row r="5808" spans="3:5" x14ac:dyDescent="0.15">
      <c r="C5808" s="255" t="s">
        <v>1020</v>
      </c>
      <c r="D5808" s="59">
        <v>204.8</v>
      </c>
      <c r="E5808" s="59"/>
    </row>
    <row r="5809" spans="3:5" x14ac:dyDescent="0.15">
      <c r="C5809" s="255" t="s">
        <v>1021</v>
      </c>
      <c r="D5809" s="59">
        <v>686</v>
      </c>
      <c r="E5809" s="59"/>
    </row>
    <row r="5810" spans="3:5" x14ac:dyDescent="0.15">
      <c r="C5810" s="255" t="s">
        <v>1022</v>
      </c>
      <c r="D5810" s="59">
        <v>30</v>
      </c>
      <c r="E5810" s="59"/>
    </row>
    <row r="5811" spans="3:5" x14ac:dyDescent="0.15">
      <c r="C5811" s="255" t="s">
        <v>1023</v>
      </c>
      <c r="D5811" s="59">
        <v>49.1</v>
      </c>
      <c r="E5811" s="59"/>
    </row>
    <row r="5812" spans="3:5" x14ac:dyDescent="0.15">
      <c r="C5812" s="255" t="s">
        <v>1024</v>
      </c>
      <c r="D5812" s="59">
        <v>0</v>
      </c>
      <c r="E5812" s="59"/>
    </row>
    <row r="5813" spans="3:5" x14ac:dyDescent="0.15">
      <c r="C5813" s="255" t="s">
        <v>1025</v>
      </c>
      <c r="D5813" s="59">
        <v>129.9</v>
      </c>
      <c r="E5813" s="59"/>
    </row>
    <row r="5814" spans="3:5" x14ac:dyDescent="0.15">
      <c r="C5814" s="255" t="s">
        <v>1026</v>
      </c>
      <c r="D5814" s="59">
        <v>1129.8</v>
      </c>
      <c r="E5814" s="59"/>
    </row>
    <row r="5815" spans="3:5" x14ac:dyDescent="0.15">
      <c r="C5815" s="255" t="s">
        <v>1027</v>
      </c>
      <c r="D5815" s="59">
        <v>0</v>
      </c>
      <c r="E5815" s="59"/>
    </row>
    <row r="5816" spans="3:5" x14ac:dyDescent="0.15">
      <c r="C5816" s="255" t="s">
        <v>1028</v>
      </c>
      <c r="D5816" s="59">
        <v>31.7</v>
      </c>
      <c r="E5816" s="59"/>
    </row>
    <row r="5817" spans="3:5" x14ac:dyDescent="0.15">
      <c r="C5817" s="255" t="s">
        <v>1029</v>
      </c>
      <c r="D5817" s="59">
        <v>100.2</v>
      </c>
      <c r="E5817" s="59"/>
    </row>
    <row r="5818" spans="3:5" x14ac:dyDescent="0.15">
      <c r="C5818" s="255" t="s">
        <v>1030</v>
      </c>
      <c r="D5818" s="59">
        <v>0</v>
      </c>
      <c r="E5818" s="59"/>
    </row>
    <row r="5819" spans="3:5" x14ac:dyDescent="0.15">
      <c r="C5819" s="255" t="s">
        <v>1031</v>
      </c>
      <c r="D5819" s="59">
        <v>283.89999999999998</v>
      </c>
      <c r="E5819" s="59"/>
    </row>
    <row r="5820" spans="3:5" x14ac:dyDescent="0.15">
      <c r="C5820" s="255" t="s">
        <v>1032</v>
      </c>
      <c r="D5820" s="59">
        <v>0.1</v>
      </c>
      <c r="E5820" s="59"/>
    </row>
    <row r="5821" spans="3:5" x14ac:dyDescent="0.15">
      <c r="C5821" s="255" t="s">
        <v>1033</v>
      </c>
      <c r="D5821" s="59">
        <v>9.5</v>
      </c>
      <c r="E5821" s="59"/>
    </row>
    <row r="5822" spans="3:5" x14ac:dyDescent="0.15">
      <c r="C5822" s="255" t="s">
        <v>1034</v>
      </c>
      <c r="D5822" s="59">
        <v>23.4</v>
      </c>
      <c r="E5822" s="59"/>
    </row>
    <row r="5823" spans="3:5" x14ac:dyDescent="0.15">
      <c r="C5823" s="255" t="s">
        <v>1035</v>
      </c>
      <c r="D5823" s="59">
        <v>252.9</v>
      </c>
      <c r="E5823" s="59"/>
    </row>
    <row r="5824" spans="3:5" x14ac:dyDescent="0.15">
      <c r="C5824" s="255" t="s">
        <v>1036</v>
      </c>
      <c r="D5824" s="59">
        <v>0</v>
      </c>
      <c r="E5824" s="59"/>
    </row>
    <row r="5825" spans="2:5" x14ac:dyDescent="0.15">
      <c r="C5825" s="255" t="s">
        <v>1037</v>
      </c>
      <c r="D5825" s="59">
        <v>98.8</v>
      </c>
      <c r="E5825" s="59"/>
    </row>
    <row r="5826" spans="2:5" x14ac:dyDescent="0.15">
      <c r="C5826" s="255" t="s">
        <v>1038</v>
      </c>
      <c r="D5826" s="59">
        <v>1406.2</v>
      </c>
      <c r="E5826" s="59"/>
    </row>
    <row r="5827" spans="2:5" x14ac:dyDescent="0.15">
      <c r="C5827" s="255" t="s">
        <v>1039</v>
      </c>
      <c r="D5827" s="59">
        <v>313.8</v>
      </c>
      <c r="E5827" s="59"/>
    </row>
    <row r="5828" spans="2:5" x14ac:dyDescent="0.15">
      <c r="C5828" s="255" t="s">
        <v>1040</v>
      </c>
      <c r="D5828" s="59">
        <v>1176.5999999999999</v>
      </c>
      <c r="E5828" s="59"/>
    </row>
    <row r="5829" spans="2:5" x14ac:dyDescent="0.15">
      <c r="C5829" s="255" t="s">
        <v>1041</v>
      </c>
      <c r="D5829" s="59">
        <v>179.3</v>
      </c>
      <c r="E5829" s="59"/>
    </row>
    <row r="5830" spans="2:5" x14ac:dyDescent="0.15">
      <c r="C5830" s="255" t="s">
        <v>1042</v>
      </c>
      <c r="D5830" s="59">
        <v>967.1</v>
      </c>
      <c r="E5830" s="59"/>
    </row>
    <row r="5831" spans="2:5" x14ac:dyDescent="0.15">
      <c r="C5831" s="255" t="s">
        <v>1043</v>
      </c>
      <c r="D5831" s="59">
        <v>82.8</v>
      </c>
      <c r="E5831" s="59"/>
    </row>
    <row r="5832" spans="2:5" x14ac:dyDescent="0.15">
      <c r="C5832" s="255" t="s">
        <v>1044</v>
      </c>
      <c r="D5832" s="59">
        <v>405.7</v>
      </c>
      <c r="E5832" s="59"/>
    </row>
    <row r="5833" spans="2:5" x14ac:dyDescent="0.15">
      <c r="C5833" s="255" t="s">
        <v>1045</v>
      </c>
      <c r="D5833" s="59">
        <v>17.7</v>
      </c>
      <c r="E5833" s="59"/>
    </row>
    <row r="5834" spans="2:5" x14ac:dyDescent="0.15">
      <c r="C5834" s="255" t="s">
        <v>1046</v>
      </c>
      <c r="D5834" s="59">
        <v>0</v>
      </c>
      <c r="E5834" s="59"/>
    </row>
    <row r="5835" spans="2:5" x14ac:dyDescent="0.15">
      <c r="C5835" s="255" t="s">
        <v>1047</v>
      </c>
      <c r="D5835" s="59">
        <v>433.5</v>
      </c>
      <c r="E5835" s="59"/>
    </row>
    <row r="5836" spans="2:5" x14ac:dyDescent="0.15">
      <c r="C5836" s="255" t="s">
        <v>1048</v>
      </c>
      <c r="D5836" s="59">
        <v>43.7</v>
      </c>
      <c r="E5836" s="59"/>
    </row>
    <row r="5837" spans="2:5" x14ac:dyDescent="0.15">
      <c r="B5837" s="255" t="s">
        <v>1063</v>
      </c>
      <c r="C5837" s="255" t="s">
        <v>743</v>
      </c>
      <c r="D5837" s="59">
        <v>333</v>
      </c>
      <c r="E5837" s="59"/>
    </row>
    <row r="5838" spans="2:5" x14ac:dyDescent="0.15">
      <c r="C5838" s="255" t="s">
        <v>744</v>
      </c>
      <c r="D5838" s="59">
        <v>613.20000000000005</v>
      </c>
      <c r="E5838" s="59"/>
    </row>
    <row r="5839" spans="2:5" x14ac:dyDescent="0.15">
      <c r="C5839" s="255" t="s">
        <v>745</v>
      </c>
      <c r="D5839" s="59">
        <v>780.4</v>
      </c>
      <c r="E5839" s="59"/>
    </row>
    <row r="5840" spans="2:5" x14ac:dyDescent="0.15">
      <c r="C5840" s="255" t="s">
        <v>746</v>
      </c>
      <c r="D5840" s="59">
        <v>1.3</v>
      </c>
      <c r="E5840" s="59"/>
    </row>
    <row r="5841" spans="3:5" x14ac:dyDescent="0.15">
      <c r="C5841" s="255" t="s">
        <v>747</v>
      </c>
      <c r="D5841" s="59">
        <v>1.2</v>
      </c>
      <c r="E5841" s="59"/>
    </row>
    <row r="5842" spans="3:5" x14ac:dyDescent="0.15">
      <c r="C5842" s="255" t="s">
        <v>748</v>
      </c>
      <c r="D5842" s="59">
        <v>0.1</v>
      </c>
      <c r="E5842" s="59"/>
    </row>
    <row r="5843" spans="3:5" x14ac:dyDescent="0.15">
      <c r="C5843" s="255" t="s">
        <v>749</v>
      </c>
      <c r="D5843" s="59">
        <v>0.2</v>
      </c>
      <c r="E5843" s="59"/>
    </row>
    <row r="5844" spans="3:5" x14ac:dyDescent="0.15">
      <c r="C5844" s="255" t="s">
        <v>750</v>
      </c>
      <c r="D5844" s="59">
        <v>0.6</v>
      </c>
      <c r="E5844" s="59"/>
    </row>
    <row r="5845" spans="3:5" x14ac:dyDescent="0.15">
      <c r="C5845" s="255" t="s">
        <v>751</v>
      </c>
      <c r="D5845" s="59">
        <v>60</v>
      </c>
      <c r="E5845" s="59"/>
    </row>
    <row r="5846" spans="3:5" x14ac:dyDescent="0.15">
      <c r="C5846" s="255" t="s">
        <v>752</v>
      </c>
      <c r="D5846" s="59">
        <v>1.1000000000000001</v>
      </c>
      <c r="E5846" s="59"/>
    </row>
    <row r="5847" spans="3:5" x14ac:dyDescent="0.15">
      <c r="C5847" s="255" t="s">
        <v>753</v>
      </c>
      <c r="D5847" s="59">
        <v>84.1</v>
      </c>
      <c r="E5847" s="59"/>
    </row>
    <row r="5848" spans="3:5" x14ac:dyDescent="0.15">
      <c r="C5848" s="255" t="s">
        <v>754</v>
      </c>
      <c r="D5848" s="59">
        <v>1958.5</v>
      </c>
      <c r="E5848" s="59"/>
    </row>
    <row r="5849" spans="3:5" x14ac:dyDescent="0.15">
      <c r="C5849" s="255" t="s">
        <v>192</v>
      </c>
      <c r="D5849" s="59">
        <v>182316.79999999999</v>
      </c>
      <c r="E5849" s="59"/>
    </row>
    <row r="5850" spans="3:5" x14ac:dyDescent="0.15">
      <c r="C5850" s="255" t="s">
        <v>755</v>
      </c>
      <c r="D5850" s="59">
        <v>21534.799999999999</v>
      </c>
      <c r="E5850" s="59"/>
    </row>
    <row r="5851" spans="3:5" x14ac:dyDescent="0.15">
      <c r="C5851" s="255" t="s">
        <v>756</v>
      </c>
      <c r="D5851" s="59">
        <v>81.7</v>
      </c>
      <c r="E5851" s="59"/>
    </row>
    <row r="5852" spans="3:5" x14ac:dyDescent="0.15">
      <c r="C5852" s="255" t="s">
        <v>757</v>
      </c>
      <c r="D5852" s="59">
        <v>64.8</v>
      </c>
      <c r="E5852" s="59"/>
    </row>
    <row r="5853" spans="3:5" x14ac:dyDescent="0.15">
      <c r="C5853" s="255" t="s">
        <v>758</v>
      </c>
      <c r="D5853" s="59">
        <v>1310.2</v>
      </c>
      <c r="E5853" s="59"/>
    </row>
    <row r="5854" spans="3:5" x14ac:dyDescent="0.15">
      <c r="C5854" s="255" t="s">
        <v>759</v>
      </c>
      <c r="D5854" s="59">
        <v>869.3</v>
      </c>
      <c r="E5854" s="59"/>
    </row>
    <row r="5855" spans="3:5" x14ac:dyDescent="0.15">
      <c r="C5855" s="255" t="s">
        <v>760</v>
      </c>
      <c r="D5855" s="59">
        <v>114.1</v>
      </c>
      <c r="E5855" s="59"/>
    </row>
    <row r="5856" spans="3:5" x14ac:dyDescent="0.15">
      <c r="C5856" s="255" t="s">
        <v>761</v>
      </c>
      <c r="D5856" s="59">
        <v>167</v>
      </c>
      <c r="E5856" s="59"/>
    </row>
    <row r="5857" spans="3:5" x14ac:dyDescent="0.15">
      <c r="C5857" s="255" t="s">
        <v>762</v>
      </c>
      <c r="D5857" s="59">
        <v>181.9</v>
      </c>
      <c r="E5857" s="59"/>
    </row>
    <row r="5858" spans="3:5" x14ac:dyDescent="0.15">
      <c r="C5858" s="255" t="s">
        <v>763</v>
      </c>
      <c r="D5858" s="59">
        <v>92.6</v>
      </c>
      <c r="E5858" s="59"/>
    </row>
    <row r="5859" spans="3:5" x14ac:dyDescent="0.15">
      <c r="C5859" s="255" t="s">
        <v>764</v>
      </c>
      <c r="D5859" s="59">
        <v>1066.2</v>
      </c>
      <c r="E5859" s="59"/>
    </row>
    <row r="5860" spans="3:5" x14ac:dyDescent="0.15">
      <c r="C5860" s="255" t="s">
        <v>765</v>
      </c>
      <c r="D5860" s="59">
        <v>590</v>
      </c>
      <c r="E5860" s="59"/>
    </row>
    <row r="5861" spans="3:5" x14ac:dyDescent="0.15">
      <c r="C5861" s="255" t="s">
        <v>766</v>
      </c>
      <c r="D5861" s="59">
        <v>111.4</v>
      </c>
      <c r="E5861" s="59"/>
    </row>
    <row r="5862" spans="3:5" x14ac:dyDescent="0.15">
      <c r="C5862" s="255" t="s">
        <v>767</v>
      </c>
      <c r="D5862" s="59">
        <v>701.4</v>
      </c>
      <c r="E5862" s="59"/>
    </row>
    <row r="5863" spans="3:5" x14ac:dyDescent="0.15">
      <c r="C5863" s="255" t="s">
        <v>768</v>
      </c>
      <c r="D5863" s="59">
        <v>2.5</v>
      </c>
      <c r="E5863" s="59"/>
    </row>
    <row r="5864" spans="3:5" x14ac:dyDescent="0.15">
      <c r="C5864" s="255" t="s">
        <v>769</v>
      </c>
      <c r="D5864" s="59">
        <v>17.3</v>
      </c>
      <c r="E5864" s="59"/>
    </row>
    <row r="5865" spans="3:5" x14ac:dyDescent="0.15">
      <c r="C5865" s="255" t="s">
        <v>770</v>
      </c>
      <c r="D5865" s="59">
        <v>821.7</v>
      </c>
      <c r="E5865" s="59"/>
    </row>
    <row r="5866" spans="3:5" x14ac:dyDescent="0.15">
      <c r="C5866" s="255" t="s">
        <v>771</v>
      </c>
      <c r="D5866" s="59">
        <v>1029.9000000000001</v>
      </c>
      <c r="E5866" s="59"/>
    </row>
    <row r="5867" spans="3:5" x14ac:dyDescent="0.15">
      <c r="C5867" s="255" t="s">
        <v>772</v>
      </c>
      <c r="D5867" s="59">
        <v>310.7</v>
      </c>
      <c r="E5867" s="59"/>
    </row>
    <row r="5868" spans="3:5" x14ac:dyDescent="0.15">
      <c r="C5868" s="255" t="s">
        <v>773</v>
      </c>
      <c r="D5868" s="59">
        <v>76.5</v>
      </c>
      <c r="E5868" s="59"/>
    </row>
    <row r="5869" spans="3:5" x14ac:dyDescent="0.15">
      <c r="C5869" s="255" t="s">
        <v>774</v>
      </c>
      <c r="D5869" s="59">
        <v>22.8</v>
      </c>
      <c r="E5869" s="59"/>
    </row>
    <row r="5870" spans="3:5" x14ac:dyDescent="0.15">
      <c r="C5870" s="255" t="s">
        <v>775</v>
      </c>
      <c r="D5870" s="59">
        <v>62.6</v>
      </c>
      <c r="E5870" s="59"/>
    </row>
    <row r="5871" spans="3:5" x14ac:dyDescent="0.15">
      <c r="C5871" s="255" t="s">
        <v>776</v>
      </c>
      <c r="D5871" s="59">
        <v>180</v>
      </c>
      <c r="E5871" s="59"/>
    </row>
    <row r="5872" spans="3:5" x14ac:dyDescent="0.15">
      <c r="C5872" s="255" t="s">
        <v>777</v>
      </c>
      <c r="D5872" s="59">
        <v>465.7</v>
      </c>
      <c r="E5872" s="59"/>
    </row>
    <row r="5873" spans="3:5" x14ac:dyDescent="0.15">
      <c r="C5873" s="255" t="s">
        <v>778</v>
      </c>
      <c r="D5873" s="59">
        <v>316.5</v>
      </c>
      <c r="E5873" s="59"/>
    </row>
    <row r="5874" spans="3:5" x14ac:dyDescent="0.15">
      <c r="C5874" s="255" t="s">
        <v>779</v>
      </c>
      <c r="D5874" s="59">
        <v>270.89999999999998</v>
      </c>
      <c r="E5874" s="59"/>
    </row>
    <row r="5875" spans="3:5" x14ac:dyDescent="0.15">
      <c r="C5875" s="255" t="s">
        <v>780</v>
      </c>
      <c r="D5875" s="59">
        <v>3.5</v>
      </c>
      <c r="E5875" s="59"/>
    </row>
    <row r="5876" spans="3:5" x14ac:dyDescent="0.15">
      <c r="C5876" s="255" t="s">
        <v>781</v>
      </c>
      <c r="D5876" s="59">
        <v>434.8</v>
      </c>
      <c r="E5876" s="59"/>
    </row>
    <row r="5877" spans="3:5" x14ac:dyDescent="0.15">
      <c r="C5877" s="255" t="s">
        <v>782</v>
      </c>
      <c r="D5877" s="59">
        <v>1106.7</v>
      </c>
      <c r="E5877" s="59"/>
    </row>
    <row r="5878" spans="3:5" x14ac:dyDescent="0.15">
      <c r="C5878" s="255" t="s">
        <v>783</v>
      </c>
      <c r="D5878" s="59">
        <v>527.9</v>
      </c>
      <c r="E5878" s="59"/>
    </row>
    <row r="5879" spans="3:5" x14ac:dyDescent="0.15">
      <c r="C5879" s="255" t="s">
        <v>784</v>
      </c>
      <c r="D5879" s="59">
        <v>418.7</v>
      </c>
      <c r="E5879" s="59"/>
    </row>
    <row r="5880" spans="3:5" x14ac:dyDescent="0.15">
      <c r="C5880" s="255" t="s">
        <v>785</v>
      </c>
      <c r="D5880" s="59">
        <v>455.3</v>
      </c>
      <c r="E5880" s="59"/>
    </row>
    <row r="5881" spans="3:5" x14ac:dyDescent="0.15">
      <c r="C5881" s="255" t="s">
        <v>786</v>
      </c>
      <c r="D5881" s="59">
        <v>135</v>
      </c>
      <c r="E5881" s="59"/>
    </row>
    <row r="5882" spans="3:5" x14ac:dyDescent="0.15">
      <c r="C5882" s="255" t="s">
        <v>787</v>
      </c>
      <c r="D5882" s="59">
        <v>51.2</v>
      </c>
      <c r="E5882" s="59"/>
    </row>
    <row r="5883" spans="3:5" x14ac:dyDescent="0.15">
      <c r="C5883" s="255" t="s">
        <v>788</v>
      </c>
      <c r="D5883" s="59">
        <v>74.8</v>
      </c>
      <c r="E5883" s="59"/>
    </row>
    <row r="5884" spans="3:5" x14ac:dyDescent="0.15">
      <c r="C5884" s="255" t="s">
        <v>789</v>
      </c>
      <c r="D5884" s="59">
        <v>18.2</v>
      </c>
      <c r="E5884" s="59"/>
    </row>
    <row r="5885" spans="3:5" x14ac:dyDescent="0.15">
      <c r="C5885" s="255" t="s">
        <v>790</v>
      </c>
      <c r="D5885" s="59">
        <v>1373.1</v>
      </c>
      <c r="E5885" s="59"/>
    </row>
    <row r="5886" spans="3:5" x14ac:dyDescent="0.15">
      <c r="C5886" s="255" t="s">
        <v>791</v>
      </c>
      <c r="D5886" s="59">
        <v>26.3</v>
      </c>
      <c r="E5886" s="59"/>
    </row>
    <row r="5887" spans="3:5" x14ac:dyDescent="0.15">
      <c r="C5887" s="255" t="s">
        <v>792</v>
      </c>
      <c r="D5887" s="59">
        <v>443.5</v>
      </c>
      <c r="E5887" s="59"/>
    </row>
    <row r="5888" spans="3:5" x14ac:dyDescent="0.15">
      <c r="C5888" s="255" t="s">
        <v>793</v>
      </c>
      <c r="D5888" s="59">
        <v>57.7</v>
      </c>
      <c r="E5888" s="59"/>
    </row>
    <row r="5889" spans="3:5" x14ac:dyDescent="0.15">
      <c r="C5889" s="255" t="s">
        <v>794</v>
      </c>
      <c r="D5889" s="59">
        <v>1280.0999999999999</v>
      </c>
      <c r="E5889" s="59"/>
    </row>
    <row r="5890" spans="3:5" x14ac:dyDescent="0.15">
      <c r="C5890" s="255" t="s">
        <v>795</v>
      </c>
      <c r="D5890" s="59">
        <v>155.4</v>
      </c>
      <c r="E5890" s="59"/>
    </row>
    <row r="5891" spans="3:5" x14ac:dyDescent="0.15">
      <c r="C5891" s="255" t="s">
        <v>796</v>
      </c>
      <c r="D5891" s="59">
        <v>324.60000000000002</v>
      </c>
      <c r="E5891" s="59"/>
    </row>
    <row r="5892" spans="3:5" x14ac:dyDescent="0.15">
      <c r="C5892" s="255" t="s">
        <v>797</v>
      </c>
      <c r="D5892" s="59">
        <v>388</v>
      </c>
      <c r="E5892" s="59"/>
    </row>
    <row r="5893" spans="3:5" x14ac:dyDescent="0.15">
      <c r="C5893" s="255" t="s">
        <v>798</v>
      </c>
      <c r="D5893" s="59">
        <v>171.3</v>
      </c>
      <c r="E5893" s="59"/>
    </row>
    <row r="5894" spans="3:5" x14ac:dyDescent="0.15">
      <c r="C5894" s="255" t="s">
        <v>799</v>
      </c>
      <c r="D5894" s="59">
        <v>41.7</v>
      </c>
      <c r="E5894" s="59"/>
    </row>
    <row r="5895" spans="3:5" x14ac:dyDescent="0.15">
      <c r="C5895" s="255" t="s">
        <v>800</v>
      </c>
      <c r="D5895" s="59">
        <v>82.7</v>
      </c>
      <c r="E5895" s="59"/>
    </row>
    <row r="5896" spans="3:5" x14ac:dyDescent="0.15">
      <c r="C5896" s="255" t="s">
        <v>801</v>
      </c>
      <c r="D5896" s="59">
        <v>192.1</v>
      </c>
      <c r="E5896" s="59"/>
    </row>
    <row r="5897" spans="3:5" x14ac:dyDescent="0.15">
      <c r="C5897" s="255" t="s">
        <v>802</v>
      </c>
      <c r="D5897" s="59">
        <v>726.9</v>
      </c>
      <c r="E5897" s="59"/>
    </row>
    <row r="5898" spans="3:5" x14ac:dyDescent="0.15">
      <c r="C5898" s="255" t="s">
        <v>803</v>
      </c>
      <c r="D5898" s="59">
        <v>644.79999999999995</v>
      </c>
      <c r="E5898" s="59"/>
    </row>
    <row r="5899" spans="3:5" x14ac:dyDescent="0.15">
      <c r="C5899" s="255" t="s">
        <v>804</v>
      </c>
      <c r="D5899" s="59">
        <v>389.3</v>
      </c>
      <c r="E5899" s="59"/>
    </row>
    <row r="5900" spans="3:5" x14ac:dyDescent="0.15">
      <c r="C5900" s="255" t="s">
        <v>805</v>
      </c>
      <c r="D5900" s="59">
        <v>11.1</v>
      </c>
      <c r="E5900" s="59"/>
    </row>
    <row r="5901" spans="3:5" x14ac:dyDescent="0.15">
      <c r="C5901" s="255" t="s">
        <v>806</v>
      </c>
      <c r="D5901" s="59">
        <v>403.6</v>
      </c>
      <c r="E5901" s="59"/>
    </row>
    <row r="5902" spans="3:5" x14ac:dyDescent="0.15">
      <c r="C5902" s="255" t="s">
        <v>807</v>
      </c>
      <c r="D5902" s="59">
        <v>163.4</v>
      </c>
      <c r="E5902" s="59"/>
    </row>
    <row r="5903" spans="3:5" x14ac:dyDescent="0.15">
      <c r="C5903" s="255" t="s">
        <v>808</v>
      </c>
      <c r="D5903" s="59">
        <v>3.8</v>
      </c>
      <c r="E5903" s="59"/>
    </row>
    <row r="5904" spans="3:5" x14ac:dyDescent="0.15">
      <c r="C5904" s="255" t="s">
        <v>809</v>
      </c>
      <c r="D5904" s="59">
        <v>326.2</v>
      </c>
      <c r="E5904" s="59"/>
    </row>
    <row r="5905" spans="3:5" x14ac:dyDescent="0.15">
      <c r="C5905" s="255" t="s">
        <v>810</v>
      </c>
      <c r="D5905" s="59">
        <v>185.1</v>
      </c>
      <c r="E5905" s="59"/>
    </row>
    <row r="5906" spans="3:5" x14ac:dyDescent="0.15">
      <c r="C5906" s="255" t="s">
        <v>811</v>
      </c>
      <c r="D5906" s="59">
        <v>677.7</v>
      </c>
      <c r="E5906" s="59"/>
    </row>
    <row r="5907" spans="3:5" x14ac:dyDescent="0.15">
      <c r="C5907" s="255" t="s">
        <v>812</v>
      </c>
      <c r="D5907" s="59">
        <v>104.9</v>
      </c>
      <c r="E5907" s="59"/>
    </row>
    <row r="5908" spans="3:5" x14ac:dyDescent="0.15">
      <c r="C5908" s="255" t="s">
        <v>813</v>
      </c>
      <c r="D5908" s="59">
        <v>18.899999999999999</v>
      </c>
      <c r="E5908" s="59"/>
    </row>
    <row r="5909" spans="3:5" x14ac:dyDescent="0.15">
      <c r="C5909" s="255" t="s">
        <v>814</v>
      </c>
      <c r="D5909" s="59">
        <v>86.9</v>
      </c>
      <c r="E5909" s="59"/>
    </row>
    <row r="5910" spans="3:5" x14ac:dyDescent="0.15">
      <c r="C5910" s="255" t="s">
        <v>815</v>
      </c>
      <c r="D5910" s="59">
        <v>728.8</v>
      </c>
      <c r="E5910" s="59"/>
    </row>
    <row r="5911" spans="3:5" x14ac:dyDescent="0.15">
      <c r="C5911" s="255" t="s">
        <v>816</v>
      </c>
      <c r="D5911" s="59">
        <v>373.1</v>
      </c>
      <c r="E5911" s="59"/>
    </row>
    <row r="5912" spans="3:5" x14ac:dyDescent="0.15">
      <c r="C5912" s="255" t="s">
        <v>817</v>
      </c>
      <c r="D5912" s="59">
        <v>4961.1000000000004</v>
      </c>
      <c r="E5912" s="59"/>
    </row>
    <row r="5913" spans="3:5" x14ac:dyDescent="0.15">
      <c r="C5913" s="255" t="s">
        <v>818</v>
      </c>
      <c r="D5913" s="59">
        <v>383</v>
      </c>
      <c r="E5913" s="59"/>
    </row>
    <row r="5914" spans="3:5" x14ac:dyDescent="0.15">
      <c r="C5914" s="255" t="s">
        <v>819</v>
      </c>
      <c r="D5914" s="59">
        <v>10.1</v>
      </c>
      <c r="E5914" s="59"/>
    </row>
    <row r="5915" spans="3:5" x14ac:dyDescent="0.15">
      <c r="C5915" s="255" t="s">
        <v>820</v>
      </c>
      <c r="D5915" s="59">
        <v>1177</v>
      </c>
      <c r="E5915" s="59"/>
    </row>
    <row r="5916" spans="3:5" x14ac:dyDescent="0.15">
      <c r="C5916" s="255" t="s">
        <v>821</v>
      </c>
      <c r="D5916" s="59">
        <v>28.5</v>
      </c>
      <c r="E5916" s="59"/>
    </row>
    <row r="5917" spans="3:5" x14ac:dyDescent="0.15">
      <c r="C5917" s="255" t="s">
        <v>822</v>
      </c>
      <c r="D5917" s="59">
        <v>105.5</v>
      </c>
      <c r="E5917" s="59"/>
    </row>
    <row r="5918" spans="3:5" x14ac:dyDescent="0.15">
      <c r="C5918" s="255" t="s">
        <v>823</v>
      </c>
      <c r="D5918" s="59">
        <v>0.5</v>
      </c>
      <c r="E5918" s="59"/>
    </row>
    <row r="5919" spans="3:5" x14ac:dyDescent="0.15">
      <c r="C5919" s="255" t="s">
        <v>824</v>
      </c>
      <c r="D5919" s="59">
        <v>425.8</v>
      </c>
      <c r="E5919" s="59"/>
    </row>
    <row r="5920" spans="3:5" x14ac:dyDescent="0.15">
      <c r="C5920" s="255" t="s">
        <v>825</v>
      </c>
      <c r="D5920" s="59">
        <v>411.4</v>
      </c>
      <c r="E5920" s="59"/>
    </row>
    <row r="5921" spans="3:5" x14ac:dyDescent="0.15">
      <c r="C5921" s="255" t="s">
        <v>826</v>
      </c>
      <c r="D5921" s="59">
        <v>0.9</v>
      </c>
      <c r="E5921" s="59"/>
    </row>
    <row r="5922" spans="3:5" x14ac:dyDescent="0.15">
      <c r="C5922" s="255" t="s">
        <v>827</v>
      </c>
      <c r="D5922" s="59">
        <v>3.7</v>
      </c>
      <c r="E5922" s="59"/>
    </row>
    <row r="5923" spans="3:5" x14ac:dyDescent="0.15">
      <c r="C5923" s="255" t="s">
        <v>828</v>
      </c>
      <c r="D5923" s="59">
        <v>1836.4</v>
      </c>
      <c r="E5923" s="59"/>
    </row>
    <row r="5924" spans="3:5" x14ac:dyDescent="0.15">
      <c r="C5924" s="255" t="s">
        <v>829</v>
      </c>
      <c r="D5924" s="59">
        <v>0.8</v>
      </c>
      <c r="E5924" s="59"/>
    </row>
    <row r="5925" spans="3:5" x14ac:dyDescent="0.15">
      <c r="C5925" s="255" t="s">
        <v>830</v>
      </c>
      <c r="D5925" s="59">
        <v>577.5</v>
      </c>
      <c r="E5925" s="59"/>
    </row>
    <row r="5926" spans="3:5" x14ac:dyDescent="0.15">
      <c r="C5926" s="255" t="s">
        <v>831</v>
      </c>
      <c r="D5926" s="59">
        <v>0</v>
      </c>
      <c r="E5926" s="59"/>
    </row>
    <row r="5927" spans="3:5" x14ac:dyDescent="0.15">
      <c r="C5927" s="255" t="s">
        <v>832</v>
      </c>
      <c r="D5927" s="59">
        <v>4665.1000000000004</v>
      </c>
      <c r="E5927" s="59"/>
    </row>
    <row r="5928" spans="3:5" x14ac:dyDescent="0.15">
      <c r="C5928" s="255" t="s">
        <v>833</v>
      </c>
      <c r="D5928" s="59">
        <v>46</v>
      </c>
      <c r="E5928" s="59"/>
    </row>
    <row r="5929" spans="3:5" x14ac:dyDescent="0.15">
      <c r="C5929" s="255" t="s">
        <v>834</v>
      </c>
      <c r="D5929" s="59">
        <v>1014.1</v>
      </c>
      <c r="E5929" s="59"/>
    </row>
    <row r="5930" spans="3:5" x14ac:dyDescent="0.15">
      <c r="C5930" s="255" t="s">
        <v>835</v>
      </c>
      <c r="D5930" s="59">
        <v>1825.1</v>
      </c>
      <c r="E5930" s="59"/>
    </row>
    <row r="5931" spans="3:5" x14ac:dyDescent="0.15">
      <c r="C5931" s="255" t="s">
        <v>836</v>
      </c>
      <c r="D5931" s="59">
        <v>369.4</v>
      </c>
      <c r="E5931" s="59"/>
    </row>
    <row r="5932" spans="3:5" x14ac:dyDescent="0.15">
      <c r="C5932" s="255" t="s">
        <v>837</v>
      </c>
      <c r="D5932" s="59">
        <v>197</v>
      </c>
      <c r="E5932" s="59"/>
    </row>
    <row r="5933" spans="3:5" x14ac:dyDescent="0.15">
      <c r="C5933" s="255" t="s">
        <v>838</v>
      </c>
      <c r="D5933" s="59">
        <v>240.9</v>
      </c>
      <c r="E5933" s="59"/>
    </row>
    <row r="5934" spans="3:5" x14ac:dyDescent="0.15">
      <c r="C5934" s="255" t="s">
        <v>839</v>
      </c>
      <c r="D5934" s="59">
        <v>80.400000000000006</v>
      </c>
      <c r="E5934" s="59"/>
    </row>
    <row r="5935" spans="3:5" x14ac:dyDescent="0.15">
      <c r="C5935" s="255" t="s">
        <v>840</v>
      </c>
      <c r="D5935" s="59">
        <v>14.8</v>
      </c>
      <c r="E5935" s="59"/>
    </row>
    <row r="5936" spans="3:5" x14ac:dyDescent="0.15">
      <c r="C5936" s="255" t="s">
        <v>841</v>
      </c>
      <c r="D5936" s="59">
        <v>154.19999999999999</v>
      </c>
      <c r="E5936" s="59"/>
    </row>
    <row r="5937" spans="3:5" x14ac:dyDescent="0.15">
      <c r="C5937" s="255" t="s">
        <v>842</v>
      </c>
      <c r="D5937" s="59">
        <v>672.7</v>
      </c>
      <c r="E5937" s="59"/>
    </row>
    <row r="5938" spans="3:5" x14ac:dyDescent="0.15">
      <c r="C5938" s="255" t="s">
        <v>843</v>
      </c>
      <c r="D5938" s="59">
        <v>49</v>
      </c>
      <c r="E5938" s="59"/>
    </row>
    <row r="5939" spans="3:5" x14ac:dyDescent="0.15">
      <c r="C5939" s="255" t="s">
        <v>844</v>
      </c>
      <c r="D5939" s="59">
        <v>1.5</v>
      </c>
      <c r="E5939" s="59"/>
    </row>
    <row r="5940" spans="3:5" x14ac:dyDescent="0.15">
      <c r="C5940" s="255" t="s">
        <v>845</v>
      </c>
      <c r="D5940" s="59">
        <v>76018.5</v>
      </c>
      <c r="E5940" s="59"/>
    </row>
    <row r="5941" spans="3:5" x14ac:dyDescent="0.15">
      <c r="C5941" s="255" t="s">
        <v>846</v>
      </c>
      <c r="D5941" s="59">
        <v>42486.7</v>
      </c>
      <c r="E5941" s="59"/>
    </row>
    <row r="5942" spans="3:5" x14ac:dyDescent="0.15">
      <c r="C5942" s="255" t="s">
        <v>847</v>
      </c>
      <c r="D5942" s="59">
        <v>32.700000000000003</v>
      </c>
      <c r="E5942" s="59"/>
    </row>
    <row r="5943" spans="3:5" x14ac:dyDescent="0.15">
      <c r="C5943" s="255" t="s">
        <v>848</v>
      </c>
      <c r="D5943" s="59">
        <v>8132.5</v>
      </c>
      <c r="E5943" s="59"/>
    </row>
    <row r="5944" spans="3:5" x14ac:dyDescent="0.15">
      <c r="C5944" s="255" t="s">
        <v>849</v>
      </c>
      <c r="D5944" s="59">
        <v>603.29999999999995</v>
      </c>
      <c r="E5944" s="59"/>
    </row>
    <row r="5945" spans="3:5" x14ac:dyDescent="0.15">
      <c r="C5945" s="255" t="s">
        <v>850</v>
      </c>
      <c r="D5945" s="59">
        <v>178.5</v>
      </c>
      <c r="E5945" s="59"/>
    </row>
    <row r="5946" spans="3:5" x14ac:dyDescent="0.15">
      <c r="C5946" s="255" t="s">
        <v>851</v>
      </c>
      <c r="D5946" s="59">
        <v>0</v>
      </c>
      <c r="E5946" s="59"/>
    </row>
    <row r="5947" spans="3:5" x14ac:dyDescent="0.15">
      <c r="C5947" s="255" t="s">
        <v>852</v>
      </c>
      <c r="D5947" s="59">
        <v>0</v>
      </c>
      <c r="E5947" s="59"/>
    </row>
    <row r="5948" spans="3:5" x14ac:dyDescent="0.15">
      <c r="C5948" s="255" t="s">
        <v>853</v>
      </c>
      <c r="D5948" s="59">
        <v>20.7</v>
      </c>
      <c r="E5948" s="59"/>
    </row>
    <row r="5949" spans="3:5" x14ac:dyDescent="0.15">
      <c r="C5949" s="255" t="s">
        <v>854</v>
      </c>
      <c r="D5949" s="59">
        <v>0</v>
      </c>
      <c r="E5949" s="59"/>
    </row>
    <row r="5950" spans="3:5" x14ac:dyDescent="0.15">
      <c r="C5950" s="255" t="s">
        <v>855</v>
      </c>
      <c r="D5950" s="59">
        <v>29.6</v>
      </c>
      <c r="E5950" s="59"/>
    </row>
    <row r="5951" spans="3:5" x14ac:dyDescent="0.15">
      <c r="C5951" s="255" t="s">
        <v>856</v>
      </c>
      <c r="D5951" s="59">
        <v>456.5</v>
      </c>
      <c r="E5951" s="59"/>
    </row>
    <row r="5952" spans="3:5" x14ac:dyDescent="0.15">
      <c r="C5952" s="255" t="s">
        <v>857</v>
      </c>
      <c r="D5952" s="59">
        <v>1829.7</v>
      </c>
      <c r="E5952" s="59"/>
    </row>
    <row r="5953" spans="3:5" x14ac:dyDescent="0.15">
      <c r="C5953" s="255" t="s">
        <v>858</v>
      </c>
      <c r="D5953" s="59">
        <v>2101.1999999999998</v>
      </c>
      <c r="E5953" s="59"/>
    </row>
    <row r="5954" spans="3:5" x14ac:dyDescent="0.15">
      <c r="C5954" s="255" t="s">
        <v>859</v>
      </c>
      <c r="D5954" s="59">
        <v>1213.4000000000001</v>
      </c>
      <c r="E5954" s="59"/>
    </row>
    <row r="5955" spans="3:5" x14ac:dyDescent="0.15">
      <c r="C5955" s="255" t="s">
        <v>860</v>
      </c>
      <c r="D5955" s="59">
        <v>45.1</v>
      </c>
      <c r="E5955" s="59"/>
    </row>
    <row r="5956" spans="3:5" x14ac:dyDescent="0.15">
      <c r="C5956" s="255" t="s">
        <v>861</v>
      </c>
      <c r="D5956" s="59">
        <v>546.1</v>
      </c>
      <c r="E5956" s="59"/>
    </row>
    <row r="5957" spans="3:5" x14ac:dyDescent="0.15">
      <c r="C5957" s="255" t="s">
        <v>862</v>
      </c>
      <c r="D5957" s="59">
        <v>5708.6</v>
      </c>
      <c r="E5957" s="59"/>
    </row>
    <row r="5958" spans="3:5" x14ac:dyDescent="0.15">
      <c r="C5958" s="255" t="s">
        <v>863</v>
      </c>
      <c r="D5958" s="59">
        <v>494.5</v>
      </c>
      <c r="E5958" s="59"/>
    </row>
    <row r="5959" spans="3:5" x14ac:dyDescent="0.15">
      <c r="C5959" s="255" t="s">
        <v>864</v>
      </c>
      <c r="D5959" s="59">
        <v>18.100000000000001</v>
      </c>
      <c r="E5959" s="59"/>
    </row>
    <row r="5960" spans="3:5" x14ac:dyDescent="0.15">
      <c r="C5960" s="255" t="s">
        <v>865</v>
      </c>
      <c r="D5960" s="59">
        <v>656.7</v>
      </c>
      <c r="E5960" s="59"/>
    </row>
    <row r="5961" spans="3:5" x14ac:dyDescent="0.15">
      <c r="C5961" s="255" t="s">
        <v>866</v>
      </c>
      <c r="D5961" s="59">
        <v>0</v>
      </c>
      <c r="E5961" s="59"/>
    </row>
    <row r="5962" spans="3:5" x14ac:dyDescent="0.15">
      <c r="C5962" s="255" t="s">
        <v>867</v>
      </c>
      <c r="D5962" s="59">
        <v>374.6</v>
      </c>
      <c r="E5962" s="59"/>
    </row>
    <row r="5963" spans="3:5" x14ac:dyDescent="0.15">
      <c r="C5963" s="255" t="s">
        <v>868</v>
      </c>
      <c r="D5963" s="59">
        <v>11090.2</v>
      </c>
      <c r="E5963" s="59"/>
    </row>
    <row r="5964" spans="3:5" x14ac:dyDescent="0.15">
      <c r="C5964" s="255" t="s">
        <v>869</v>
      </c>
      <c r="D5964" s="59">
        <v>8716.9</v>
      </c>
      <c r="E5964" s="59"/>
    </row>
    <row r="5965" spans="3:5" x14ac:dyDescent="0.15">
      <c r="C5965" s="255" t="s">
        <v>870</v>
      </c>
      <c r="D5965" s="59">
        <v>2813.6</v>
      </c>
      <c r="E5965" s="59"/>
    </row>
    <row r="5966" spans="3:5" x14ac:dyDescent="0.15">
      <c r="C5966" s="255" t="s">
        <v>871</v>
      </c>
      <c r="D5966" s="59">
        <v>128.80000000000001</v>
      </c>
      <c r="E5966" s="59"/>
    </row>
    <row r="5967" spans="3:5" x14ac:dyDescent="0.15">
      <c r="C5967" s="255" t="s">
        <v>872</v>
      </c>
      <c r="D5967" s="59">
        <v>87.2</v>
      </c>
      <c r="E5967" s="59"/>
    </row>
    <row r="5968" spans="3:5" x14ac:dyDescent="0.15">
      <c r="C5968" s="255" t="s">
        <v>873</v>
      </c>
      <c r="D5968" s="59">
        <v>444</v>
      </c>
      <c r="E5968" s="59"/>
    </row>
    <row r="5969" spans="3:5" x14ac:dyDescent="0.15">
      <c r="C5969" s="255" t="s">
        <v>874</v>
      </c>
      <c r="D5969" s="59">
        <v>487.4</v>
      </c>
      <c r="E5969" s="59"/>
    </row>
    <row r="5970" spans="3:5" x14ac:dyDescent="0.15">
      <c r="C5970" s="255" t="s">
        <v>875</v>
      </c>
      <c r="D5970" s="59">
        <v>5.7</v>
      </c>
      <c r="E5970" s="59"/>
    </row>
    <row r="5971" spans="3:5" x14ac:dyDescent="0.15">
      <c r="C5971" s="255" t="s">
        <v>876</v>
      </c>
      <c r="D5971" s="59">
        <v>1.8</v>
      </c>
      <c r="E5971" s="59"/>
    </row>
    <row r="5972" spans="3:5" x14ac:dyDescent="0.15">
      <c r="C5972" s="255" t="s">
        <v>877</v>
      </c>
      <c r="D5972" s="59">
        <v>31.5</v>
      </c>
      <c r="E5972" s="59"/>
    </row>
    <row r="5973" spans="3:5" x14ac:dyDescent="0.15">
      <c r="C5973" s="255" t="s">
        <v>878</v>
      </c>
      <c r="D5973" s="59">
        <v>1</v>
      </c>
      <c r="E5973" s="59"/>
    </row>
    <row r="5974" spans="3:5" x14ac:dyDescent="0.15">
      <c r="C5974" s="255" t="s">
        <v>879</v>
      </c>
      <c r="D5974" s="59">
        <v>829.1</v>
      </c>
      <c r="E5974" s="59"/>
    </row>
    <row r="5975" spans="3:5" x14ac:dyDescent="0.15">
      <c r="C5975" s="255" t="s">
        <v>880</v>
      </c>
      <c r="D5975" s="59">
        <v>19.399999999999999</v>
      </c>
      <c r="E5975" s="59"/>
    </row>
    <row r="5976" spans="3:5" x14ac:dyDescent="0.15">
      <c r="C5976" s="255" t="s">
        <v>881</v>
      </c>
      <c r="D5976" s="59">
        <v>0</v>
      </c>
      <c r="E5976" s="59"/>
    </row>
    <row r="5977" spans="3:5" x14ac:dyDescent="0.15">
      <c r="C5977" s="255" t="s">
        <v>882</v>
      </c>
      <c r="D5977" s="59">
        <v>106.9</v>
      </c>
      <c r="E5977" s="59"/>
    </row>
    <row r="5978" spans="3:5" x14ac:dyDescent="0.15">
      <c r="C5978" s="255" t="s">
        <v>883</v>
      </c>
      <c r="D5978" s="59">
        <v>237.8</v>
      </c>
      <c r="E5978" s="59"/>
    </row>
    <row r="5979" spans="3:5" x14ac:dyDescent="0.15">
      <c r="C5979" s="255" t="s">
        <v>884</v>
      </c>
      <c r="D5979" s="59">
        <v>286.2</v>
      </c>
      <c r="E5979" s="59"/>
    </row>
    <row r="5980" spans="3:5" x14ac:dyDescent="0.15">
      <c r="C5980" s="255" t="s">
        <v>885</v>
      </c>
      <c r="D5980" s="59">
        <v>80.7</v>
      </c>
      <c r="E5980" s="59"/>
    </row>
    <row r="5981" spans="3:5" x14ac:dyDescent="0.15">
      <c r="C5981" s="255" t="s">
        <v>886</v>
      </c>
      <c r="D5981" s="59">
        <v>0.4</v>
      </c>
      <c r="E5981" s="59"/>
    </row>
    <row r="5982" spans="3:5" x14ac:dyDescent="0.15">
      <c r="C5982" s="255" t="s">
        <v>887</v>
      </c>
      <c r="D5982" s="59">
        <v>0.1</v>
      </c>
      <c r="E5982" s="59"/>
    </row>
    <row r="5983" spans="3:5" x14ac:dyDescent="0.15">
      <c r="C5983" s="255" t="s">
        <v>888</v>
      </c>
      <c r="D5983" s="59">
        <v>0.5</v>
      </c>
      <c r="E5983" s="59"/>
    </row>
    <row r="5984" spans="3:5" x14ac:dyDescent="0.15">
      <c r="C5984" s="255" t="s">
        <v>889</v>
      </c>
      <c r="D5984" s="59">
        <v>109.7</v>
      </c>
      <c r="E5984" s="59"/>
    </row>
    <row r="5985" spans="3:5" x14ac:dyDescent="0.15">
      <c r="C5985" s="255" t="s">
        <v>890</v>
      </c>
      <c r="D5985" s="59">
        <v>39.1</v>
      </c>
      <c r="E5985" s="59"/>
    </row>
    <row r="5986" spans="3:5" x14ac:dyDescent="0.15">
      <c r="C5986" s="255" t="s">
        <v>891</v>
      </c>
      <c r="D5986" s="59">
        <v>6.3</v>
      </c>
      <c r="E5986" s="59"/>
    </row>
    <row r="5987" spans="3:5" x14ac:dyDescent="0.15">
      <c r="C5987" s="255" t="s">
        <v>892</v>
      </c>
      <c r="D5987" s="59">
        <v>16.100000000000001</v>
      </c>
      <c r="E5987" s="59"/>
    </row>
    <row r="5988" spans="3:5" x14ac:dyDescent="0.15">
      <c r="C5988" s="255" t="s">
        <v>893</v>
      </c>
      <c r="D5988" s="59">
        <v>188.5</v>
      </c>
      <c r="E5988" s="59"/>
    </row>
    <row r="5989" spans="3:5" x14ac:dyDescent="0.15">
      <c r="C5989" s="255" t="s">
        <v>894</v>
      </c>
      <c r="D5989" s="59">
        <v>0</v>
      </c>
      <c r="E5989" s="59"/>
    </row>
    <row r="5990" spans="3:5" x14ac:dyDescent="0.15">
      <c r="C5990" s="255" t="s">
        <v>895</v>
      </c>
      <c r="D5990" s="59">
        <v>139.80000000000001</v>
      </c>
      <c r="E5990" s="59"/>
    </row>
    <row r="5991" spans="3:5" x14ac:dyDescent="0.15">
      <c r="C5991" s="255" t="s">
        <v>896</v>
      </c>
      <c r="D5991" s="59">
        <v>22.8</v>
      </c>
      <c r="E5991" s="59"/>
    </row>
    <row r="5992" spans="3:5" x14ac:dyDescent="0.15">
      <c r="C5992" s="255" t="s">
        <v>897</v>
      </c>
      <c r="D5992" s="59">
        <v>406.8</v>
      </c>
      <c r="E5992" s="59"/>
    </row>
    <row r="5993" spans="3:5" x14ac:dyDescent="0.15">
      <c r="C5993" s="255" t="s">
        <v>898</v>
      </c>
      <c r="D5993" s="59">
        <v>163.30000000000001</v>
      </c>
      <c r="E5993" s="59"/>
    </row>
    <row r="5994" spans="3:5" x14ac:dyDescent="0.15">
      <c r="C5994" s="255" t="s">
        <v>899</v>
      </c>
      <c r="D5994" s="59">
        <v>6.2</v>
      </c>
      <c r="E5994" s="59"/>
    </row>
    <row r="5995" spans="3:5" x14ac:dyDescent="0.15">
      <c r="C5995" s="255" t="s">
        <v>900</v>
      </c>
      <c r="D5995" s="59">
        <v>110.6</v>
      </c>
      <c r="E5995" s="59"/>
    </row>
    <row r="5996" spans="3:5" x14ac:dyDescent="0.15">
      <c r="C5996" s="255" t="s">
        <v>901</v>
      </c>
      <c r="D5996" s="59">
        <v>444.5</v>
      </c>
      <c r="E5996" s="59"/>
    </row>
    <row r="5997" spans="3:5" x14ac:dyDescent="0.15">
      <c r="C5997" s="255" t="s">
        <v>902</v>
      </c>
      <c r="D5997" s="59">
        <v>12.6</v>
      </c>
      <c r="E5997" s="59"/>
    </row>
    <row r="5998" spans="3:5" x14ac:dyDescent="0.15">
      <c r="C5998" s="255" t="s">
        <v>903</v>
      </c>
      <c r="D5998" s="59">
        <v>520.9</v>
      </c>
      <c r="E5998" s="59"/>
    </row>
    <row r="5999" spans="3:5" x14ac:dyDescent="0.15">
      <c r="C5999" s="255" t="s">
        <v>904</v>
      </c>
      <c r="D5999" s="59">
        <v>605.29999999999995</v>
      </c>
      <c r="E5999" s="59"/>
    </row>
    <row r="6000" spans="3:5" x14ac:dyDescent="0.15">
      <c r="C6000" s="255" t="s">
        <v>905</v>
      </c>
      <c r="D6000" s="59">
        <v>97.2</v>
      </c>
      <c r="E6000" s="59"/>
    </row>
    <row r="6001" spans="3:5" x14ac:dyDescent="0.15">
      <c r="C6001" s="255" t="s">
        <v>906</v>
      </c>
      <c r="D6001" s="59">
        <v>8.5</v>
      </c>
      <c r="E6001" s="59"/>
    </row>
    <row r="6002" spans="3:5" x14ac:dyDescent="0.15">
      <c r="C6002" s="255" t="s">
        <v>907</v>
      </c>
      <c r="D6002" s="59">
        <v>256.5</v>
      </c>
      <c r="E6002" s="59"/>
    </row>
    <row r="6003" spans="3:5" x14ac:dyDescent="0.15">
      <c r="C6003" s="255" t="s">
        <v>908</v>
      </c>
      <c r="D6003" s="59">
        <v>7312.3</v>
      </c>
      <c r="E6003" s="59"/>
    </row>
    <row r="6004" spans="3:5" x14ac:dyDescent="0.15">
      <c r="C6004" s="255" t="s">
        <v>909</v>
      </c>
      <c r="D6004" s="59">
        <v>1769.2</v>
      </c>
      <c r="E6004" s="59"/>
    </row>
    <row r="6005" spans="3:5" x14ac:dyDescent="0.15">
      <c r="C6005" s="255" t="s">
        <v>910</v>
      </c>
      <c r="D6005" s="59">
        <v>3.2</v>
      </c>
      <c r="E6005" s="59"/>
    </row>
    <row r="6006" spans="3:5" x14ac:dyDescent="0.15">
      <c r="C6006" s="255" t="s">
        <v>911</v>
      </c>
      <c r="D6006" s="59">
        <v>224.2</v>
      </c>
      <c r="E6006" s="59"/>
    </row>
    <row r="6007" spans="3:5" x14ac:dyDescent="0.15">
      <c r="C6007" s="255" t="s">
        <v>912</v>
      </c>
      <c r="D6007" s="59">
        <v>1916</v>
      </c>
      <c r="E6007" s="59"/>
    </row>
    <row r="6008" spans="3:5" x14ac:dyDescent="0.15">
      <c r="C6008" s="255" t="s">
        <v>913</v>
      </c>
      <c r="D6008" s="59">
        <v>0</v>
      </c>
      <c r="E6008" s="59"/>
    </row>
    <row r="6009" spans="3:5" x14ac:dyDescent="0.15">
      <c r="C6009" s="255" t="s">
        <v>914</v>
      </c>
      <c r="D6009" s="59">
        <v>2.2000000000000002</v>
      </c>
      <c r="E6009" s="59"/>
    </row>
    <row r="6010" spans="3:5" x14ac:dyDescent="0.15">
      <c r="C6010" s="255" t="s">
        <v>915</v>
      </c>
      <c r="D6010" s="59">
        <v>0</v>
      </c>
      <c r="E6010" s="59"/>
    </row>
    <row r="6011" spans="3:5" x14ac:dyDescent="0.15">
      <c r="C6011" s="255" t="s">
        <v>916</v>
      </c>
      <c r="D6011" s="59">
        <v>149.6</v>
      </c>
      <c r="E6011" s="59"/>
    </row>
    <row r="6012" spans="3:5" x14ac:dyDescent="0.15">
      <c r="C6012" s="255" t="s">
        <v>917</v>
      </c>
      <c r="D6012" s="59">
        <v>328.1</v>
      </c>
      <c r="E6012" s="59"/>
    </row>
    <row r="6013" spans="3:5" x14ac:dyDescent="0.15">
      <c r="C6013" s="255" t="s">
        <v>918</v>
      </c>
      <c r="D6013" s="59">
        <v>2021.3</v>
      </c>
      <c r="E6013" s="59"/>
    </row>
    <row r="6014" spans="3:5" x14ac:dyDescent="0.15">
      <c r="C6014" s="255" t="s">
        <v>919</v>
      </c>
      <c r="D6014" s="59">
        <v>0</v>
      </c>
      <c r="E6014" s="59"/>
    </row>
    <row r="6015" spans="3:5" x14ac:dyDescent="0.15">
      <c r="C6015" s="255" t="s">
        <v>920</v>
      </c>
      <c r="D6015" s="59">
        <v>898.5</v>
      </c>
      <c r="E6015" s="59"/>
    </row>
    <row r="6016" spans="3:5" x14ac:dyDescent="0.15">
      <c r="C6016" s="255" t="s">
        <v>921</v>
      </c>
      <c r="D6016" s="59">
        <v>0</v>
      </c>
      <c r="E6016" s="59"/>
    </row>
    <row r="6017" spans="3:5" x14ac:dyDescent="0.15">
      <c r="C6017" s="255" t="s">
        <v>922</v>
      </c>
      <c r="D6017" s="59">
        <v>14248.9</v>
      </c>
      <c r="E6017" s="59"/>
    </row>
    <row r="6018" spans="3:5" x14ac:dyDescent="0.15">
      <c r="C6018" s="255" t="s">
        <v>923</v>
      </c>
      <c r="D6018" s="59">
        <v>2697.7</v>
      </c>
      <c r="E6018" s="59"/>
    </row>
    <row r="6019" spans="3:5" x14ac:dyDescent="0.15">
      <c r="C6019" s="255" t="s">
        <v>924</v>
      </c>
      <c r="D6019" s="59">
        <v>779.8</v>
      </c>
      <c r="E6019" s="59"/>
    </row>
    <row r="6020" spans="3:5" x14ac:dyDescent="0.15">
      <c r="C6020" s="255" t="s">
        <v>925</v>
      </c>
      <c r="D6020" s="59">
        <v>344.2</v>
      </c>
      <c r="E6020" s="59"/>
    </row>
    <row r="6021" spans="3:5" x14ac:dyDescent="0.15">
      <c r="C6021" s="255" t="s">
        <v>926</v>
      </c>
      <c r="D6021" s="59">
        <v>456.8</v>
      </c>
      <c r="E6021" s="59"/>
    </row>
    <row r="6022" spans="3:5" x14ac:dyDescent="0.15">
      <c r="C6022" s="255" t="s">
        <v>927</v>
      </c>
      <c r="D6022" s="59">
        <v>97.8</v>
      </c>
      <c r="E6022" s="59"/>
    </row>
    <row r="6023" spans="3:5" x14ac:dyDescent="0.15">
      <c r="C6023" s="255" t="s">
        <v>928</v>
      </c>
      <c r="D6023" s="59">
        <v>663.1</v>
      </c>
      <c r="E6023" s="59"/>
    </row>
    <row r="6024" spans="3:5" x14ac:dyDescent="0.15">
      <c r="C6024" s="255" t="s">
        <v>929</v>
      </c>
      <c r="D6024" s="59">
        <v>135.6</v>
      </c>
      <c r="E6024" s="59"/>
    </row>
    <row r="6025" spans="3:5" x14ac:dyDescent="0.15">
      <c r="C6025" s="255" t="s">
        <v>930</v>
      </c>
      <c r="D6025" s="59">
        <v>403.7</v>
      </c>
      <c r="E6025" s="59"/>
    </row>
    <row r="6026" spans="3:5" x14ac:dyDescent="0.15">
      <c r="C6026" s="255" t="s">
        <v>931</v>
      </c>
      <c r="D6026" s="59">
        <v>2556.4</v>
      </c>
      <c r="E6026" s="59"/>
    </row>
    <row r="6027" spans="3:5" x14ac:dyDescent="0.15">
      <c r="C6027" s="255" t="s">
        <v>932</v>
      </c>
      <c r="D6027" s="59">
        <v>0</v>
      </c>
      <c r="E6027" s="59"/>
    </row>
    <row r="6028" spans="3:5" x14ac:dyDescent="0.15">
      <c r="C6028" s="255" t="s">
        <v>933</v>
      </c>
      <c r="D6028" s="59">
        <v>1.9</v>
      </c>
      <c r="E6028" s="59"/>
    </row>
    <row r="6029" spans="3:5" x14ac:dyDescent="0.15">
      <c r="C6029" s="255" t="s">
        <v>934</v>
      </c>
      <c r="D6029" s="59">
        <v>1724.9</v>
      </c>
      <c r="E6029" s="59"/>
    </row>
    <row r="6030" spans="3:5" x14ac:dyDescent="0.15">
      <c r="C6030" s="255" t="s">
        <v>935</v>
      </c>
      <c r="D6030" s="59">
        <v>262.89999999999998</v>
      </c>
      <c r="E6030" s="59"/>
    </row>
    <row r="6031" spans="3:5" x14ac:dyDescent="0.15">
      <c r="C6031" s="255" t="s">
        <v>936</v>
      </c>
      <c r="D6031" s="59">
        <v>1188.0999999999999</v>
      </c>
      <c r="E6031" s="59"/>
    </row>
    <row r="6032" spans="3:5" x14ac:dyDescent="0.15">
      <c r="C6032" s="255" t="s">
        <v>937</v>
      </c>
      <c r="D6032" s="59">
        <v>188.4</v>
      </c>
      <c r="E6032" s="59"/>
    </row>
    <row r="6033" spans="3:5" x14ac:dyDescent="0.15">
      <c r="C6033" s="255" t="s">
        <v>938</v>
      </c>
      <c r="D6033" s="59">
        <v>260.3</v>
      </c>
      <c r="E6033" s="59"/>
    </row>
    <row r="6034" spans="3:5" x14ac:dyDescent="0.15">
      <c r="C6034" s="255" t="s">
        <v>939</v>
      </c>
      <c r="D6034" s="59">
        <v>0</v>
      </c>
      <c r="E6034" s="59"/>
    </row>
    <row r="6035" spans="3:5" x14ac:dyDescent="0.15">
      <c r="C6035" s="255" t="s">
        <v>940</v>
      </c>
      <c r="D6035" s="59">
        <v>128.4</v>
      </c>
      <c r="E6035" s="59"/>
    </row>
    <row r="6036" spans="3:5" x14ac:dyDescent="0.15">
      <c r="C6036" s="255" t="s">
        <v>941</v>
      </c>
      <c r="D6036" s="59">
        <v>333.8</v>
      </c>
      <c r="E6036" s="59"/>
    </row>
    <row r="6037" spans="3:5" x14ac:dyDescent="0.15">
      <c r="C6037" s="255" t="s">
        <v>942</v>
      </c>
      <c r="D6037" s="59">
        <v>0</v>
      </c>
      <c r="E6037" s="59"/>
    </row>
    <row r="6038" spans="3:5" x14ac:dyDescent="0.15">
      <c r="C6038" s="255" t="s">
        <v>943</v>
      </c>
      <c r="D6038" s="59">
        <v>411.4</v>
      </c>
      <c r="E6038" s="59"/>
    </row>
    <row r="6039" spans="3:5" x14ac:dyDescent="0.15">
      <c r="C6039" s="255" t="s">
        <v>944</v>
      </c>
      <c r="D6039" s="59">
        <v>144.6</v>
      </c>
      <c r="E6039" s="59"/>
    </row>
    <row r="6040" spans="3:5" x14ac:dyDescent="0.15">
      <c r="C6040" s="255" t="s">
        <v>945</v>
      </c>
      <c r="D6040" s="59">
        <v>1407.4</v>
      </c>
      <c r="E6040" s="59"/>
    </row>
    <row r="6041" spans="3:5" x14ac:dyDescent="0.15">
      <c r="C6041" s="255" t="s">
        <v>946</v>
      </c>
      <c r="D6041" s="59">
        <v>32.4</v>
      </c>
      <c r="E6041" s="59"/>
    </row>
    <row r="6042" spans="3:5" x14ac:dyDescent="0.15">
      <c r="C6042" s="255" t="s">
        <v>947</v>
      </c>
      <c r="D6042" s="59">
        <v>29.6</v>
      </c>
      <c r="E6042" s="59"/>
    </row>
    <row r="6043" spans="3:5" x14ac:dyDescent="0.15">
      <c r="C6043" s="255" t="s">
        <v>948</v>
      </c>
      <c r="D6043" s="59">
        <v>6105.9</v>
      </c>
      <c r="E6043" s="59"/>
    </row>
    <row r="6044" spans="3:5" x14ac:dyDescent="0.15">
      <c r="C6044" s="255" t="s">
        <v>949</v>
      </c>
      <c r="D6044" s="59">
        <v>99.9</v>
      </c>
      <c r="E6044" s="59"/>
    </row>
    <row r="6045" spans="3:5" x14ac:dyDescent="0.15">
      <c r="C6045" s="255" t="s">
        <v>950</v>
      </c>
      <c r="D6045" s="59">
        <v>0</v>
      </c>
      <c r="E6045" s="59"/>
    </row>
    <row r="6046" spans="3:5" x14ac:dyDescent="0.15">
      <c r="C6046" s="255" t="s">
        <v>951</v>
      </c>
      <c r="D6046" s="59">
        <v>908.2</v>
      </c>
      <c r="E6046" s="59"/>
    </row>
    <row r="6047" spans="3:5" x14ac:dyDescent="0.15">
      <c r="C6047" s="255" t="s">
        <v>952</v>
      </c>
      <c r="D6047" s="59">
        <v>0</v>
      </c>
      <c r="E6047" s="59"/>
    </row>
    <row r="6048" spans="3:5" x14ac:dyDescent="0.15">
      <c r="C6048" s="255" t="s">
        <v>953</v>
      </c>
      <c r="D6048" s="59">
        <v>400.7</v>
      </c>
      <c r="E6048" s="59"/>
    </row>
    <row r="6049" spans="3:5" x14ac:dyDescent="0.15">
      <c r="C6049" s="255" t="s">
        <v>954</v>
      </c>
      <c r="D6049" s="59">
        <v>1790.8</v>
      </c>
      <c r="E6049" s="59"/>
    </row>
    <row r="6050" spans="3:5" x14ac:dyDescent="0.15">
      <c r="C6050" s="255" t="s">
        <v>955</v>
      </c>
      <c r="D6050" s="59">
        <v>1283.8</v>
      </c>
      <c r="E6050" s="59"/>
    </row>
    <row r="6051" spans="3:5" x14ac:dyDescent="0.15">
      <c r="C6051" s="255" t="s">
        <v>956</v>
      </c>
      <c r="D6051" s="59">
        <v>1622.5</v>
      </c>
      <c r="E6051" s="59"/>
    </row>
    <row r="6052" spans="3:5" x14ac:dyDescent="0.15">
      <c r="C6052" s="255" t="s">
        <v>957</v>
      </c>
      <c r="D6052" s="59">
        <v>17601.7</v>
      </c>
      <c r="E6052" s="59"/>
    </row>
    <row r="6053" spans="3:5" x14ac:dyDescent="0.15">
      <c r="C6053" s="255" t="s">
        <v>958</v>
      </c>
      <c r="D6053" s="59">
        <v>194.4</v>
      </c>
      <c r="E6053" s="59"/>
    </row>
    <row r="6054" spans="3:5" x14ac:dyDescent="0.15">
      <c r="C6054" s="255" t="s">
        <v>959</v>
      </c>
      <c r="D6054" s="59">
        <v>884.1</v>
      </c>
      <c r="E6054" s="59"/>
    </row>
    <row r="6055" spans="3:5" x14ac:dyDescent="0.15">
      <c r="C6055" s="255" t="s">
        <v>960</v>
      </c>
      <c r="D6055" s="59">
        <v>238.5</v>
      </c>
      <c r="E6055" s="59"/>
    </row>
    <row r="6056" spans="3:5" x14ac:dyDescent="0.15">
      <c r="C6056" s="255" t="s">
        <v>961</v>
      </c>
      <c r="D6056" s="59">
        <v>0.7</v>
      </c>
      <c r="E6056" s="59"/>
    </row>
    <row r="6057" spans="3:5" x14ac:dyDescent="0.15">
      <c r="C6057" s="255" t="s">
        <v>962</v>
      </c>
      <c r="D6057" s="59">
        <v>0</v>
      </c>
      <c r="E6057" s="59"/>
    </row>
    <row r="6058" spans="3:5" x14ac:dyDescent="0.15">
      <c r="C6058" s="255" t="s">
        <v>963</v>
      </c>
      <c r="D6058" s="59">
        <v>961.3</v>
      </c>
      <c r="E6058" s="59"/>
    </row>
    <row r="6059" spans="3:5" x14ac:dyDescent="0.15">
      <c r="C6059" s="255" t="s">
        <v>964</v>
      </c>
      <c r="D6059" s="59">
        <v>484.8</v>
      </c>
      <c r="E6059" s="59"/>
    </row>
    <row r="6060" spans="3:5" x14ac:dyDescent="0.15">
      <c r="C6060" s="255" t="s">
        <v>965</v>
      </c>
      <c r="D6060" s="59">
        <v>94.5</v>
      </c>
      <c r="E6060" s="59"/>
    </row>
    <row r="6061" spans="3:5" x14ac:dyDescent="0.15">
      <c r="C6061" s="255" t="s">
        <v>966</v>
      </c>
      <c r="D6061" s="59">
        <v>0</v>
      </c>
      <c r="E6061" s="59"/>
    </row>
    <row r="6062" spans="3:5" x14ac:dyDescent="0.15">
      <c r="C6062" s="255" t="s">
        <v>967</v>
      </c>
      <c r="D6062" s="59">
        <v>37.200000000000003</v>
      </c>
      <c r="E6062" s="59"/>
    </row>
    <row r="6063" spans="3:5" x14ac:dyDescent="0.15">
      <c r="C6063" s="255" t="s">
        <v>968</v>
      </c>
      <c r="D6063" s="59">
        <v>0</v>
      </c>
      <c r="E6063" s="59"/>
    </row>
    <row r="6064" spans="3:5" x14ac:dyDescent="0.15">
      <c r="C6064" s="255" t="s">
        <v>969</v>
      </c>
      <c r="D6064" s="59">
        <v>19</v>
      </c>
      <c r="E6064" s="59"/>
    </row>
    <row r="6065" spans="3:5" x14ac:dyDescent="0.15">
      <c r="C6065" s="255" t="s">
        <v>970</v>
      </c>
      <c r="D6065" s="59">
        <v>358.6</v>
      </c>
      <c r="E6065" s="59"/>
    </row>
    <row r="6066" spans="3:5" x14ac:dyDescent="0.15">
      <c r="C6066" s="255" t="s">
        <v>971</v>
      </c>
      <c r="D6066" s="59">
        <v>13.3</v>
      </c>
      <c r="E6066" s="59"/>
    </row>
    <row r="6067" spans="3:5" x14ac:dyDescent="0.15">
      <c r="C6067" s="255" t="s">
        <v>972</v>
      </c>
      <c r="D6067" s="59">
        <v>-126.9</v>
      </c>
      <c r="E6067" s="59"/>
    </row>
    <row r="6068" spans="3:5" x14ac:dyDescent="0.15">
      <c r="C6068" s="255" t="s">
        <v>973</v>
      </c>
      <c r="D6068" s="59">
        <v>0</v>
      </c>
      <c r="E6068" s="59"/>
    </row>
    <row r="6069" spans="3:5" x14ac:dyDescent="0.15">
      <c r="C6069" s="255" t="s">
        <v>974</v>
      </c>
      <c r="D6069" s="59">
        <v>0</v>
      </c>
      <c r="E6069" s="59"/>
    </row>
    <row r="6070" spans="3:5" x14ac:dyDescent="0.15">
      <c r="C6070" s="255" t="s">
        <v>975</v>
      </c>
      <c r="D6070" s="59">
        <v>0</v>
      </c>
      <c r="E6070" s="59"/>
    </row>
    <row r="6071" spans="3:5" x14ac:dyDescent="0.15">
      <c r="C6071" s="255" t="s">
        <v>976</v>
      </c>
      <c r="D6071" s="59">
        <v>13.4</v>
      </c>
      <c r="E6071" s="59"/>
    </row>
    <row r="6072" spans="3:5" x14ac:dyDescent="0.15">
      <c r="C6072" s="255" t="s">
        <v>977</v>
      </c>
      <c r="D6072" s="59">
        <v>165.3</v>
      </c>
      <c r="E6072" s="59"/>
    </row>
    <row r="6073" spans="3:5" x14ac:dyDescent="0.15">
      <c r="C6073" s="255" t="s">
        <v>978</v>
      </c>
      <c r="D6073" s="59">
        <v>548</v>
      </c>
      <c r="E6073" s="59"/>
    </row>
    <row r="6074" spans="3:5" x14ac:dyDescent="0.15">
      <c r="C6074" s="255" t="s">
        <v>979</v>
      </c>
      <c r="D6074" s="59">
        <v>13.9</v>
      </c>
      <c r="E6074" s="59"/>
    </row>
    <row r="6075" spans="3:5" x14ac:dyDescent="0.15">
      <c r="C6075" s="255" t="s">
        <v>980</v>
      </c>
      <c r="D6075" s="59">
        <v>54.5</v>
      </c>
      <c r="E6075" s="59"/>
    </row>
    <row r="6076" spans="3:5" x14ac:dyDescent="0.15">
      <c r="C6076" s="255" t="s">
        <v>981</v>
      </c>
      <c r="D6076" s="59">
        <v>0</v>
      </c>
      <c r="E6076" s="59"/>
    </row>
    <row r="6077" spans="3:5" x14ac:dyDescent="0.15">
      <c r="C6077" s="255" t="s">
        <v>982</v>
      </c>
      <c r="D6077" s="59">
        <v>185.9</v>
      </c>
      <c r="E6077" s="59"/>
    </row>
    <row r="6078" spans="3:5" x14ac:dyDescent="0.15">
      <c r="C6078" s="255" t="s">
        <v>983</v>
      </c>
      <c r="D6078" s="59">
        <v>1213.9000000000001</v>
      </c>
      <c r="E6078" s="59"/>
    </row>
    <row r="6079" spans="3:5" x14ac:dyDescent="0.15">
      <c r="C6079" s="255" t="s">
        <v>984</v>
      </c>
      <c r="D6079" s="59">
        <v>38.6</v>
      </c>
      <c r="E6079" s="59"/>
    </row>
    <row r="6080" spans="3:5" x14ac:dyDescent="0.15">
      <c r="C6080" s="255" t="s">
        <v>985</v>
      </c>
      <c r="D6080" s="59">
        <v>450.8</v>
      </c>
      <c r="E6080" s="59"/>
    </row>
    <row r="6081" spans="3:5" x14ac:dyDescent="0.15">
      <c r="C6081" s="255" t="s">
        <v>986</v>
      </c>
      <c r="D6081" s="59">
        <v>298.8</v>
      </c>
      <c r="E6081" s="59"/>
    </row>
    <row r="6082" spans="3:5" x14ac:dyDescent="0.15">
      <c r="C6082" s="255" t="s">
        <v>987</v>
      </c>
      <c r="D6082" s="59">
        <v>89.4</v>
      </c>
      <c r="E6082" s="59"/>
    </row>
    <row r="6083" spans="3:5" x14ac:dyDescent="0.15">
      <c r="C6083" s="255" t="s">
        <v>988</v>
      </c>
      <c r="D6083" s="59">
        <v>601.6</v>
      </c>
      <c r="E6083" s="59"/>
    </row>
    <row r="6084" spans="3:5" x14ac:dyDescent="0.15">
      <c r="C6084" s="255" t="s">
        <v>989</v>
      </c>
      <c r="D6084" s="59">
        <v>476.1</v>
      </c>
      <c r="E6084" s="59"/>
    </row>
    <row r="6085" spans="3:5" x14ac:dyDescent="0.15">
      <c r="C6085" s="255" t="s">
        <v>990</v>
      </c>
      <c r="D6085" s="59">
        <v>79</v>
      </c>
      <c r="E6085" s="59"/>
    </row>
    <row r="6086" spans="3:5" x14ac:dyDescent="0.15">
      <c r="C6086" s="255" t="s">
        <v>991</v>
      </c>
      <c r="D6086" s="59">
        <v>5320.2</v>
      </c>
      <c r="E6086" s="59"/>
    </row>
    <row r="6087" spans="3:5" x14ac:dyDescent="0.15">
      <c r="C6087" s="255" t="s">
        <v>992</v>
      </c>
      <c r="D6087" s="59">
        <v>10.5</v>
      </c>
      <c r="E6087" s="59"/>
    </row>
    <row r="6088" spans="3:5" x14ac:dyDescent="0.15">
      <c r="C6088" s="255" t="s">
        <v>993</v>
      </c>
      <c r="D6088" s="59">
        <v>60</v>
      </c>
      <c r="E6088" s="59"/>
    </row>
    <row r="6089" spans="3:5" x14ac:dyDescent="0.15">
      <c r="C6089" s="255" t="s">
        <v>994</v>
      </c>
      <c r="D6089" s="59">
        <v>0</v>
      </c>
      <c r="E6089" s="59"/>
    </row>
    <row r="6090" spans="3:5" x14ac:dyDescent="0.15">
      <c r="C6090" s="255" t="s">
        <v>995</v>
      </c>
      <c r="D6090" s="59">
        <v>741.9</v>
      </c>
      <c r="E6090" s="59"/>
    </row>
    <row r="6091" spans="3:5" x14ac:dyDescent="0.15">
      <c r="C6091" s="255" t="s">
        <v>996</v>
      </c>
      <c r="D6091" s="59">
        <v>273.7</v>
      </c>
      <c r="E6091" s="59"/>
    </row>
    <row r="6092" spans="3:5" x14ac:dyDescent="0.15">
      <c r="C6092" s="255" t="s">
        <v>997</v>
      </c>
      <c r="D6092" s="59">
        <v>312</v>
      </c>
      <c r="E6092" s="59"/>
    </row>
    <row r="6093" spans="3:5" x14ac:dyDescent="0.15">
      <c r="C6093" s="255" t="s">
        <v>998</v>
      </c>
      <c r="D6093" s="59">
        <v>48.8</v>
      </c>
      <c r="E6093" s="59"/>
    </row>
    <row r="6094" spans="3:5" x14ac:dyDescent="0.15">
      <c r="C6094" s="255" t="s">
        <v>999</v>
      </c>
      <c r="D6094" s="59">
        <v>17.600000000000001</v>
      </c>
      <c r="E6094" s="59"/>
    </row>
    <row r="6095" spans="3:5" x14ac:dyDescent="0.15">
      <c r="C6095" s="255" t="s">
        <v>1000</v>
      </c>
      <c r="D6095" s="59">
        <v>751.2</v>
      </c>
      <c r="E6095" s="59"/>
    </row>
    <row r="6096" spans="3:5" x14ac:dyDescent="0.15">
      <c r="C6096" s="255" t="s">
        <v>1001</v>
      </c>
      <c r="D6096" s="59">
        <v>512.20000000000005</v>
      </c>
      <c r="E6096" s="59"/>
    </row>
    <row r="6097" spans="3:5" x14ac:dyDescent="0.15">
      <c r="C6097" s="255" t="s">
        <v>1002</v>
      </c>
      <c r="D6097" s="59">
        <v>54.2</v>
      </c>
      <c r="E6097" s="59"/>
    </row>
    <row r="6098" spans="3:5" x14ac:dyDescent="0.15">
      <c r="C6098" s="255" t="s">
        <v>1003</v>
      </c>
      <c r="D6098" s="59">
        <v>86.1</v>
      </c>
      <c r="E6098" s="59"/>
    </row>
    <row r="6099" spans="3:5" x14ac:dyDescent="0.15">
      <c r="C6099" s="255" t="s">
        <v>1004</v>
      </c>
      <c r="D6099" s="59">
        <v>58.6</v>
      </c>
      <c r="E6099" s="59"/>
    </row>
    <row r="6100" spans="3:5" x14ac:dyDescent="0.15">
      <c r="C6100" s="255" t="s">
        <v>1005</v>
      </c>
      <c r="D6100" s="59">
        <v>145.4</v>
      </c>
      <c r="E6100" s="59"/>
    </row>
    <row r="6101" spans="3:5" x14ac:dyDescent="0.15">
      <c r="C6101" s="255" t="s">
        <v>1006</v>
      </c>
      <c r="D6101" s="59">
        <v>1820.4</v>
      </c>
      <c r="E6101" s="59"/>
    </row>
    <row r="6102" spans="3:5" x14ac:dyDescent="0.15">
      <c r="C6102" s="255" t="s">
        <v>1007</v>
      </c>
      <c r="D6102" s="59">
        <v>1451.5</v>
      </c>
      <c r="E6102" s="59"/>
    </row>
    <row r="6103" spans="3:5" x14ac:dyDescent="0.15">
      <c r="C6103" s="255" t="s">
        <v>1008</v>
      </c>
      <c r="D6103" s="59">
        <v>66</v>
      </c>
      <c r="E6103" s="59"/>
    </row>
    <row r="6104" spans="3:5" x14ac:dyDescent="0.15">
      <c r="C6104" s="255" t="s">
        <v>1009</v>
      </c>
      <c r="D6104" s="59">
        <v>3.8</v>
      </c>
      <c r="E6104" s="59"/>
    </row>
    <row r="6105" spans="3:5" x14ac:dyDescent="0.15">
      <c r="C6105" s="255" t="s">
        <v>1010</v>
      </c>
      <c r="D6105" s="59">
        <v>314.2</v>
      </c>
      <c r="E6105" s="59"/>
    </row>
    <row r="6106" spans="3:5" x14ac:dyDescent="0.15">
      <c r="C6106" s="255" t="s">
        <v>1011</v>
      </c>
      <c r="D6106" s="59">
        <v>1067.5999999999999</v>
      </c>
      <c r="E6106" s="59"/>
    </row>
    <row r="6107" spans="3:5" x14ac:dyDescent="0.15">
      <c r="C6107" s="255" t="s">
        <v>1012</v>
      </c>
      <c r="D6107" s="59">
        <v>7001.1</v>
      </c>
      <c r="E6107" s="59"/>
    </row>
    <row r="6108" spans="3:5" x14ac:dyDescent="0.15">
      <c r="C6108" s="255" t="s">
        <v>1013</v>
      </c>
      <c r="D6108" s="59">
        <v>4028.4</v>
      </c>
      <c r="E6108" s="59"/>
    </row>
    <row r="6109" spans="3:5" x14ac:dyDescent="0.15">
      <c r="C6109" s="255" t="s">
        <v>1014</v>
      </c>
      <c r="D6109" s="59">
        <v>1544.9</v>
      </c>
      <c r="E6109" s="59"/>
    </row>
    <row r="6110" spans="3:5" x14ac:dyDescent="0.15">
      <c r="C6110" s="255" t="s">
        <v>1015</v>
      </c>
      <c r="D6110" s="59">
        <v>349.9</v>
      </c>
      <c r="E6110" s="59"/>
    </row>
    <row r="6111" spans="3:5" x14ac:dyDescent="0.15">
      <c r="C6111" s="255" t="s">
        <v>1016</v>
      </c>
      <c r="D6111" s="59">
        <v>570.70000000000005</v>
      </c>
      <c r="E6111" s="59"/>
    </row>
    <row r="6112" spans="3:5" x14ac:dyDescent="0.15">
      <c r="C6112" s="255" t="s">
        <v>1017</v>
      </c>
      <c r="D6112" s="59">
        <v>507</v>
      </c>
      <c r="E6112" s="59"/>
    </row>
    <row r="6113" spans="3:5" x14ac:dyDescent="0.15">
      <c r="C6113" s="255" t="s">
        <v>1018</v>
      </c>
      <c r="D6113" s="59">
        <v>0</v>
      </c>
      <c r="E6113" s="59"/>
    </row>
    <row r="6114" spans="3:5" x14ac:dyDescent="0.15">
      <c r="C6114" s="255" t="s">
        <v>1019</v>
      </c>
      <c r="D6114" s="59">
        <v>12699</v>
      </c>
      <c r="E6114" s="59"/>
    </row>
    <row r="6115" spans="3:5" x14ac:dyDescent="0.15">
      <c r="C6115" s="255" t="s">
        <v>1020</v>
      </c>
      <c r="D6115" s="59">
        <v>214.1</v>
      </c>
      <c r="E6115" s="59"/>
    </row>
    <row r="6116" spans="3:5" x14ac:dyDescent="0.15">
      <c r="C6116" s="255" t="s">
        <v>1021</v>
      </c>
      <c r="D6116" s="59">
        <v>918.7</v>
      </c>
      <c r="E6116" s="59"/>
    </row>
    <row r="6117" spans="3:5" x14ac:dyDescent="0.15">
      <c r="C6117" s="255" t="s">
        <v>1022</v>
      </c>
      <c r="D6117" s="59">
        <v>278.10000000000002</v>
      </c>
      <c r="E6117" s="59"/>
    </row>
    <row r="6118" spans="3:5" x14ac:dyDescent="0.15">
      <c r="C6118" s="255" t="s">
        <v>1023</v>
      </c>
      <c r="D6118" s="59">
        <v>66.900000000000006</v>
      </c>
      <c r="E6118" s="59"/>
    </row>
    <row r="6119" spans="3:5" x14ac:dyDescent="0.15">
      <c r="C6119" s="255" t="s">
        <v>1024</v>
      </c>
      <c r="D6119" s="59">
        <v>6.4</v>
      </c>
      <c r="E6119" s="59"/>
    </row>
    <row r="6120" spans="3:5" x14ac:dyDescent="0.15">
      <c r="C6120" s="255" t="s">
        <v>1025</v>
      </c>
      <c r="D6120" s="59">
        <v>117.9</v>
      </c>
      <c r="E6120" s="59"/>
    </row>
    <row r="6121" spans="3:5" x14ac:dyDescent="0.15">
      <c r="C6121" s="255" t="s">
        <v>1026</v>
      </c>
      <c r="D6121" s="59">
        <v>1790.1</v>
      </c>
      <c r="E6121" s="59"/>
    </row>
    <row r="6122" spans="3:5" x14ac:dyDescent="0.15">
      <c r="C6122" s="255" t="s">
        <v>1027</v>
      </c>
      <c r="D6122" s="59">
        <v>0</v>
      </c>
      <c r="E6122" s="59"/>
    </row>
    <row r="6123" spans="3:5" x14ac:dyDescent="0.15">
      <c r="C6123" s="255" t="s">
        <v>1028</v>
      </c>
      <c r="D6123" s="59">
        <v>391.4</v>
      </c>
      <c r="E6123" s="59"/>
    </row>
    <row r="6124" spans="3:5" x14ac:dyDescent="0.15">
      <c r="C6124" s="255" t="s">
        <v>1029</v>
      </c>
      <c r="D6124" s="59">
        <v>136.19999999999999</v>
      </c>
      <c r="E6124" s="59"/>
    </row>
    <row r="6125" spans="3:5" x14ac:dyDescent="0.15">
      <c r="C6125" s="255" t="s">
        <v>1030</v>
      </c>
      <c r="D6125" s="59">
        <v>6.6</v>
      </c>
      <c r="E6125" s="59"/>
    </row>
    <row r="6126" spans="3:5" x14ac:dyDescent="0.15">
      <c r="C6126" s="255" t="s">
        <v>1031</v>
      </c>
      <c r="D6126" s="59">
        <v>240.1</v>
      </c>
      <c r="E6126" s="59"/>
    </row>
    <row r="6127" spans="3:5" x14ac:dyDescent="0.15">
      <c r="C6127" s="255" t="s">
        <v>1032</v>
      </c>
      <c r="D6127" s="59">
        <v>0.2</v>
      </c>
      <c r="E6127" s="59"/>
    </row>
    <row r="6128" spans="3:5" x14ac:dyDescent="0.15">
      <c r="C6128" s="255" t="s">
        <v>1033</v>
      </c>
      <c r="D6128" s="59">
        <v>6.3</v>
      </c>
      <c r="E6128" s="59"/>
    </row>
    <row r="6129" spans="2:5" x14ac:dyDescent="0.15">
      <c r="C6129" s="255" t="s">
        <v>1034</v>
      </c>
      <c r="D6129" s="59">
        <v>44.2</v>
      </c>
      <c r="E6129" s="59"/>
    </row>
    <row r="6130" spans="2:5" x14ac:dyDescent="0.15">
      <c r="C6130" s="255" t="s">
        <v>1035</v>
      </c>
      <c r="D6130" s="59">
        <v>164.9</v>
      </c>
      <c r="E6130" s="59"/>
    </row>
    <row r="6131" spans="2:5" x14ac:dyDescent="0.15">
      <c r="C6131" s="255" t="s">
        <v>1036</v>
      </c>
      <c r="D6131" s="59">
        <v>1154.5</v>
      </c>
      <c r="E6131" s="59"/>
    </row>
    <row r="6132" spans="2:5" x14ac:dyDescent="0.15">
      <c r="C6132" s="255" t="s">
        <v>1037</v>
      </c>
      <c r="D6132" s="59">
        <v>97.9</v>
      </c>
      <c r="E6132" s="59"/>
    </row>
    <row r="6133" spans="2:5" x14ac:dyDescent="0.15">
      <c r="C6133" s="255" t="s">
        <v>1038</v>
      </c>
      <c r="D6133" s="59">
        <v>2389.6999999999998</v>
      </c>
      <c r="E6133" s="59"/>
    </row>
    <row r="6134" spans="2:5" x14ac:dyDescent="0.15">
      <c r="C6134" s="255" t="s">
        <v>1039</v>
      </c>
      <c r="D6134" s="59">
        <v>668.5</v>
      </c>
      <c r="E6134" s="59"/>
    </row>
    <row r="6135" spans="2:5" x14ac:dyDescent="0.15">
      <c r="C6135" s="255" t="s">
        <v>1040</v>
      </c>
      <c r="D6135" s="59">
        <v>1990.6</v>
      </c>
      <c r="E6135" s="59"/>
    </row>
    <row r="6136" spans="2:5" x14ac:dyDescent="0.15">
      <c r="C6136" s="255" t="s">
        <v>1041</v>
      </c>
      <c r="D6136" s="59">
        <v>171.3</v>
      </c>
      <c r="E6136" s="59"/>
    </row>
    <row r="6137" spans="2:5" x14ac:dyDescent="0.15">
      <c r="C6137" s="255" t="s">
        <v>1042</v>
      </c>
      <c r="D6137" s="59">
        <v>970.5</v>
      </c>
      <c r="E6137" s="59"/>
    </row>
    <row r="6138" spans="2:5" x14ac:dyDescent="0.15">
      <c r="C6138" s="255" t="s">
        <v>1043</v>
      </c>
      <c r="D6138" s="59">
        <v>260.5</v>
      </c>
      <c r="E6138" s="59"/>
    </row>
    <row r="6139" spans="2:5" x14ac:dyDescent="0.15">
      <c r="C6139" s="255" t="s">
        <v>1044</v>
      </c>
      <c r="D6139" s="59">
        <v>28.5</v>
      </c>
      <c r="E6139" s="59"/>
    </row>
    <row r="6140" spans="2:5" x14ac:dyDescent="0.15">
      <c r="C6140" s="255" t="s">
        <v>1045</v>
      </c>
      <c r="D6140" s="59">
        <v>10.5</v>
      </c>
      <c r="E6140" s="59"/>
    </row>
    <row r="6141" spans="2:5" x14ac:dyDescent="0.15">
      <c r="C6141" s="255" t="s">
        <v>1046</v>
      </c>
      <c r="D6141" s="59">
        <v>11.4</v>
      </c>
      <c r="E6141" s="59"/>
    </row>
    <row r="6142" spans="2:5" x14ac:dyDescent="0.15">
      <c r="C6142" s="255" t="s">
        <v>1047</v>
      </c>
      <c r="D6142" s="59">
        <v>544.20000000000005</v>
      </c>
      <c r="E6142" s="59"/>
    </row>
    <row r="6143" spans="2:5" x14ac:dyDescent="0.15">
      <c r="C6143" s="255" t="s">
        <v>1048</v>
      </c>
      <c r="D6143" s="59">
        <v>19.100000000000001</v>
      </c>
      <c r="E6143" s="59"/>
    </row>
    <row r="6144" spans="2:5" x14ac:dyDescent="0.15">
      <c r="B6144" s="255" t="s">
        <v>1064</v>
      </c>
      <c r="C6144" s="255" t="s">
        <v>743</v>
      </c>
      <c r="D6144" s="59">
        <v>575</v>
      </c>
      <c r="E6144" s="59"/>
    </row>
    <row r="6145" spans="3:5" x14ac:dyDescent="0.15">
      <c r="C6145" s="255" t="s">
        <v>744</v>
      </c>
      <c r="D6145" s="59">
        <v>669.6</v>
      </c>
      <c r="E6145" s="59"/>
    </row>
    <row r="6146" spans="3:5" x14ac:dyDescent="0.15">
      <c r="C6146" s="255" t="s">
        <v>745</v>
      </c>
      <c r="D6146" s="59">
        <v>1182.3</v>
      </c>
      <c r="E6146" s="59"/>
    </row>
    <row r="6147" spans="3:5" x14ac:dyDescent="0.15">
      <c r="C6147" s="255" t="s">
        <v>746</v>
      </c>
      <c r="D6147" s="59">
        <v>1.8</v>
      </c>
      <c r="E6147" s="59"/>
    </row>
    <row r="6148" spans="3:5" x14ac:dyDescent="0.15">
      <c r="C6148" s="255" t="s">
        <v>747</v>
      </c>
      <c r="D6148" s="59">
        <v>1.5</v>
      </c>
      <c r="E6148" s="59"/>
    </row>
    <row r="6149" spans="3:5" x14ac:dyDescent="0.15">
      <c r="C6149" s="255" t="s">
        <v>748</v>
      </c>
      <c r="D6149" s="59">
        <v>0.3</v>
      </c>
      <c r="E6149" s="59"/>
    </row>
    <row r="6150" spans="3:5" x14ac:dyDescent="0.15">
      <c r="C6150" s="255" t="s">
        <v>749</v>
      </c>
      <c r="D6150" s="59">
        <v>0.4</v>
      </c>
      <c r="E6150" s="59"/>
    </row>
    <row r="6151" spans="3:5" x14ac:dyDescent="0.15">
      <c r="C6151" s="255" t="s">
        <v>750</v>
      </c>
      <c r="D6151" s="59">
        <v>0.5</v>
      </c>
      <c r="E6151" s="59"/>
    </row>
    <row r="6152" spans="3:5" x14ac:dyDescent="0.15">
      <c r="C6152" s="255" t="s">
        <v>751</v>
      </c>
      <c r="D6152" s="59">
        <v>55.2</v>
      </c>
      <c r="E6152" s="59"/>
    </row>
    <row r="6153" spans="3:5" x14ac:dyDescent="0.15">
      <c r="C6153" s="255" t="s">
        <v>752</v>
      </c>
      <c r="D6153" s="59">
        <v>1.3</v>
      </c>
      <c r="E6153" s="59"/>
    </row>
    <row r="6154" spans="3:5" x14ac:dyDescent="0.15">
      <c r="C6154" s="255" t="s">
        <v>753</v>
      </c>
      <c r="D6154" s="59">
        <v>100.4</v>
      </c>
      <c r="E6154" s="59"/>
    </row>
    <row r="6155" spans="3:5" x14ac:dyDescent="0.15">
      <c r="C6155" s="255" t="s">
        <v>754</v>
      </c>
      <c r="D6155" s="59">
        <v>1955.2</v>
      </c>
      <c r="E6155" s="59"/>
    </row>
    <row r="6156" spans="3:5" x14ac:dyDescent="0.15">
      <c r="C6156" s="255" t="s">
        <v>192</v>
      </c>
      <c r="D6156" s="59">
        <v>242358.3</v>
      </c>
      <c r="E6156" s="59"/>
    </row>
    <row r="6157" spans="3:5" x14ac:dyDescent="0.15">
      <c r="C6157" s="255" t="s">
        <v>755</v>
      </c>
      <c r="D6157" s="59">
        <v>29673.3</v>
      </c>
      <c r="E6157" s="59"/>
    </row>
    <row r="6158" spans="3:5" x14ac:dyDescent="0.15">
      <c r="C6158" s="255" t="s">
        <v>756</v>
      </c>
      <c r="D6158" s="59">
        <v>162.19999999999999</v>
      </c>
      <c r="E6158" s="59"/>
    </row>
    <row r="6159" spans="3:5" x14ac:dyDescent="0.15">
      <c r="C6159" s="255" t="s">
        <v>757</v>
      </c>
      <c r="D6159" s="59">
        <v>103.9</v>
      </c>
      <c r="E6159" s="59"/>
    </row>
    <row r="6160" spans="3:5" x14ac:dyDescent="0.15">
      <c r="C6160" s="255" t="s">
        <v>758</v>
      </c>
      <c r="D6160" s="59">
        <v>1821.1</v>
      </c>
      <c r="E6160" s="59"/>
    </row>
    <row r="6161" spans="3:5" x14ac:dyDescent="0.15">
      <c r="C6161" s="255" t="s">
        <v>759</v>
      </c>
      <c r="D6161" s="59">
        <v>1158.8</v>
      </c>
      <c r="E6161" s="59"/>
    </row>
    <row r="6162" spans="3:5" x14ac:dyDescent="0.15">
      <c r="C6162" s="255" t="s">
        <v>760</v>
      </c>
      <c r="D6162" s="59">
        <v>180.6</v>
      </c>
      <c r="E6162" s="59"/>
    </row>
    <row r="6163" spans="3:5" x14ac:dyDescent="0.15">
      <c r="C6163" s="255" t="s">
        <v>761</v>
      </c>
      <c r="D6163" s="59">
        <v>268.10000000000002</v>
      </c>
      <c r="E6163" s="59"/>
    </row>
    <row r="6164" spans="3:5" x14ac:dyDescent="0.15">
      <c r="C6164" s="255" t="s">
        <v>762</v>
      </c>
      <c r="D6164" s="59">
        <v>282.7</v>
      </c>
      <c r="E6164" s="59"/>
    </row>
    <row r="6165" spans="3:5" x14ac:dyDescent="0.15">
      <c r="C6165" s="255" t="s">
        <v>763</v>
      </c>
      <c r="D6165" s="59">
        <v>134.80000000000001</v>
      </c>
      <c r="E6165" s="59"/>
    </row>
    <row r="6166" spans="3:5" x14ac:dyDescent="0.15">
      <c r="C6166" s="255" t="s">
        <v>764</v>
      </c>
      <c r="D6166" s="59">
        <v>1701.8</v>
      </c>
      <c r="E6166" s="59"/>
    </row>
    <row r="6167" spans="3:5" x14ac:dyDescent="0.15">
      <c r="C6167" s="255" t="s">
        <v>765</v>
      </c>
      <c r="D6167" s="59">
        <v>988.7</v>
      </c>
      <c r="E6167" s="59"/>
    </row>
    <row r="6168" spans="3:5" x14ac:dyDescent="0.15">
      <c r="C6168" s="255" t="s">
        <v>766</v>
      </c>
      <c r="D6168" s="59">
        <v>93.3</v>
      </c>
      <c r="E6168" s="59"/>
    </row>
    <row r="6169" spans="3:5" x14ac:dyDescent="0.15">
      <c r="C6169" s="255" t="s">
        <v>767</v>
      </c>
      <c r="D6169" s="59">
        <v>888.5</v>
      </c>
      <c r="E6169" s="59"/>
    </row>
    <row r="6170" spans="3:5" x14ac:dyDescent="0.15">
      <c r="C6170" s="255" t="s">
        <v>768</v>
      </c>
      <c r="D6170" s="59">
        <v>59.4</v>
      </c>
      <c r="E6170" s="59"/>
    </row>
    <row r="6171" spans="3:5" x14ac:dyDescent="0.15">
      <c r="C6171" s="255" t="s">
        <v>769</v>
      </c>
      <c r="D6171" s="59">
        <v>22.9</v>
      </c>
      <c r="E6171" s="59"/>
    </row>
    <row r="6172" spans="3:5" x14ac:dyDescent="0.15">
      <c r="C6172" s="255" t="s">
        <v>770</v>
      </c>
      <c r="D6172" s="59">
        <v>1197</v>
      </c>
      <c r="E6172" s="59"/>
    </row>
    <row r="6173" spans="3:5" x14ac:dyDescent="0.15">
      <c r="C6173" s="255" t="s">
        <v>771</v>
      </c>
      <c r="D6173" s="59">
        <v>1390.6</v>
      </c>
      <c r="E6173" s="59"/>
    </row>
    <row r="6174" spans="3:5" x14ac:dyDescent="0.15">
      <c r="C6174" s="255" t="s">
        <v>772</v>
      </c>
      <c r="D6174" s="59">
        <v>430.3</v>
      </c>
      <c r="E6174" s="59"/>
    </row>
    <row r="6175" spans="3:5" x14ac:dyDescent="0.15">
      <c r="C6175" s="255" t="s">
        <v>773</v>
      </c>
      <c r="D6175" s="59">
        <v>90.3</v>
      </c>
      <c r="E6175" s="59"/>
    </row>
    <row r="6176" spans="3:5" x14ac:dyDescent="0.15">
      <c r="C6176" s="255" t="s">
        <v>774</v>
      </c>
      <c r="D6176" s="59">
        <v>66.599999999999994</v>
      </c>
      <c r="E6176" s="59"/>
    </row>
    <row r="6177" spans="3:5" x14ac:dyDescent="0.15">
      <c r="C6177" s="255" t="s">
        <v>775</v>
      </c>
      <c r="D6177" s="59">
        <v>88.8</v>
      </c>
      <c r="E6177" s="59"/>
    </row>
    <row r="6178" spans="3:5" x14ac:dyDescent="0.15">
      <c r="C6178" s="255" t="s">
        <v>776</v>
      </c>
      <c r="D6178" s="59">
        <v>216.8</v>
      </c>
      <c r="E6178" s="59"/>
    </row>
    <row r="6179" spans="3:5" x14ac:dyDescent="0.15">
      <c r="C6179" s="255" t="s">
        <v>777</v>
      </c>
      <c r="D6179" s="59">
        <v>711.1</v>
      </c>
      <c r="E6179" s="59"/>
    </row>
    <row r="6180" spans="3:5" x14ac:dyDescent="0.15">
      <c r="C6180" s="255" t="s">
        <v>778</v>
      </c>
      <c r="D6180" s="59">
        <v>373.9</v>
      </c>
      <c r="E6180" s="59"/>
    </row>
    <row r="6181" spans="3:5" x14ac:dyDescent="0.15">
      <c r="C6181" s="255" t="s">
        <v>779</v>
      </c>
      <c r="D6181" s="59">
        <v>383.3</v>
      </c>
      <c r="E6181" s="59"/>
    </row>
    <row r="6182" spans="3:5" x14ac:dyDescent="0.15">
      <c r="C6182" s="255" t="s">
        <v>780</v>
      </c>
      <c r="D6182" s="59">
        <v>7.8</v>
      </c>
      <c r="E6182" s="59"/>
    </row>
    <row r="6183" spans="3:5" x14ac:dyDescent="0.15">
      <c r="C6183" s="255" t="s">
        <v>781</v>
      </c>
      <c r="D6183" s="59">
        <v>639.29999999999995</v>
      </c>
      <c r="E6183" s="59"/>
    </row>
    <row r="6184" spans="3:5" x14ac:dyDescent="0.15">
      <c r="C6184" s="255" t="s">
        <v>782</v>
      </c>
      <c r="D6184" s="59">
        <v>1567.6</v>
      </c>
      <c r="E6184" s="59"/>
    </row>
    <row r="6185" spans="3:5" x14ac:dyDescent="0.15">
      <c r="C6185" s="255" t="s">
        <v>783</v>
      </c>
      <c r="D6185" s="59">
        <v>627.20000000000005</v>
      </c>
      <c r="E6185" s="59"/>
    </row>
    <row r="6186" spans="3:5" x14ac:dyDescent="0.15">
      <c r="C6186" s="255" t="s">
        <v>784</v>
      </c>
      <c r="D6186" s="59">
        <v>529.29999999999995</v>
      </c>
      <c r="E6186" s="59"/>
    </row>
    <row r="6187" spans="3:5" x14ac:dyDescent="0.15">
      <c r="C6187" s="255" t="s">
        <v>785</v>
      </c>
      <c r="D6187" s="59">
        <v>486.1</v>
      </c>
      <c r="E6187" s="59"/>
    </row>
    <row r="6188" spans="3:5" x14ac:dyDescent="0.15">
      <c r="C6188" s="255" t="s">
        <v>786</v>
      </c>
      <c r="D6188" s="59">
        <v>134.4</v>
      </c>
      <c r="E6188" s="59"/>
    </row>
    <row r="6189" spans="3:5" x14ac:dyDescent="0.15">
      <c r="C6189" s="255" t="s">
        <v>787</v>
      </c>
      <c r="D6189" s="59">
        <v>79</v>
      </c>
      <c r="E6189" s="59"/>
    </row>
    <row r="6190" spans="3:5" x14ac:dyDescent="0.15">
      <c r="C6190" s="255" t="s">
        <v>788</v>
      </c>
      <c r="D6190" s="59">
        <v>95.7</v>
      </c>
      <c r="E6190" s="59"/>
    </row>
    <row r="6191" spans="3:5" x14ac:dyDescent="0.15">
      <c r="C6191" s="255" t="s">
        <v>789</v>
      </c>
      <c r="D6191" s="59">
        <v>6.6</v>
      </c>
      <c r="E6191" s="59"/>
    </row>
    <row r="6192" spans="3:5" x14ac:dyDescent="0.15">
      <c r="C6192" s="255" t="s">
        <v>790</v>
      </c>
      <c r="D6192" s="59">
        <v>1839.7</v>
      </c>
      <c r="E6192" s="59"/>
    </row>
    <row r="6193" spans="3:5" x14ac:dyDescent="0.15">
      <c r="C6193" s="255" t="s">
        <v>791</v>
      </c>
      <c r="D6193" s="59">
        <v>52.3</v>
      </c>
      <c r="E6193" s="59"/>
    </row>
    <row r="6194" spans="3:5" x14ac:dyDescent="0.15">
      <c r="C6194" s="255" t="s">
        <v>792</v>
      </c>
      <c r="D6194" s="59">
        <v>607.20000000000005</v>
      </c>
      <c r="E6194" s="59"/>
    </row>
    <row r="6195" spans="3:5" x14ac:dyDescent="0.15">
      <c r="C6195" s="255" t="s">
        <v>793</v>
      </c>
      <c r="D6195" s="59">
        <v>129.9</v>
      </c>
      <c r="E6195" s="59"/>
    </row>
    <row r="6196" spans="3:5" x14ac:dyDescent="0.15">
      <c r="C6196" s="255" t="s">
        <v>794</v>
      </c>
      <c r="D6196" s="59">
        <v>1841.3</v>
      </c>
      <c r="E6196" s="59"/>
    </row>
    <row r="6197" spans="3:5" x14ac:dyDescent="0.15">
      <c r="C6197" s="255" t="s">
        <v>795</v>
      </c>
      <c r="D6197" s="59">
        <v>238.4</v>
      </c>
      <c r="E6197" s="59"/>
    </row>
    <row r="6198" spans="3:5" x14ac:dyDescent="0.15">
      <c r="C6198" s="255" t="s">
        <v>796</v>
      </c>
      <c r="D6198" s="59">
        <v>515.79999999999995</v>
      </c>
      <c r="E6198" s="59"/>
    </row>
    <row r="6199" spans="3:5" x14ac:dyDescent="0.15">
      <c r="C6199" s="255" t="s">
        <v>797</v>
      </c>
      <c r="D6199" s="59">
        <v>523.5</v>
      </c>
      <c r="E6199" s="59"/>
    </row>
    <row r="6200" spans="3:5" x14ac:dyDescent="0.15">
      <c r="C6200" s="255" t="s">
        <v>798</v>
      </c>
      <c r="D6200" s="59">
        <v>215.1</v>
      </c>
      <c r="E6200" s="59"/>
    </row>
    <row r="6201" spans="3:5" x14ac:dyDescent="0.15">
      <c r="C6201" s="255" t="s">
        <v>799</v>
      </c>
      <c r="D6201" s="59">
        <v>70.900000000000006</v>
      </c>
      <c r="E6201" s="59"/>
    </row>
    <row r="6202" spans="3:5" x14ac:dyDescent="0.15">
      <c r="C6202" s="255" t="s">
        <v>800</v>
      </c>
      <c r="D6202" s="59">
        <v>122.7</v>
      </c>
      <c r="E6202" s="59"/>
    </row>
    <row r="6203" spans="3:5" x14ac:dyDescent="0.15">
      <c r="C6203" s="255" t="s">
        <v>801</v>
      </c>
      <c r="D6203" s="59">
        <v>196.7</v>
      </c>
      <c r="E6203" s="59"/>
    </row>
    <row r="6204" spans="3:5" x14ac:dyDescent="0.15">
      <c r="C6204" s="255" t="s">
        <v>802</v>
      </c>
      <c r="D6204" s="59">
        <v>781.6</v>
      </c>
      <c r="E6204" s="59"/>
    </row>
    <row r="6205" spans="3:5" x14ac:dyDescent="0.15">
      <c r="C6205" s="255" t="s">
        <v>803</v>
      </c>
      <c r="D6205" s="59">
        <v>1040.5999999999999</v>
      </c>
      <c r="E6205" s="59"/>
    </row>
    <row r="6206" spans="3:5" x14ac:dyDescent="0.15">
      <c r="C6206" s="255" t="s">
        <v>804</v>
      </c>
      <c r="D6206" s="59">
        <v>595.20000000000005</v>
      </c>
      <c r="E6206" s="59"/>
    </row>
    <row r="6207" spans="3:5" x14ac:dyDescent="0.15">
      <c r="C6207" s="255" t="s">
        <v>805</v>
      </c>
      <c r="D6207" s="59">
        <v>7.3</v>
      </c>
      <c r="E6207" s="59"/>
    </row>
    <row r="6208" spans="3:5" x14ac:dyDescent="0.15">
      <c r="C6208" s="255" t="s">
        <v>806</v>
      </c>
      <c r="D6208" s="59">
        <v>638.4</v>
      </c>
      <c r="E6208" s="59"/>
    </row>
    <row r="6209" spans="3:5" x14ac:dyDescent="0.15">
      <c r="C6209" s="255" t="s">
        <v>807</v>
      </c>
      <c r="D6209" s="59">
        <v>319.3</v>
      </c>
      <c r="E6209" s="59"/>
    </row>
    <row r="6210" spans="3:5" x14ac:dyDescent="0.15">
      <c r="C6210" s="255" t="s">
        <v>808</v>
      </c>
      <c r="D6210" s="59">
        <v>66</v>
      </c>
      <c r="E6210" s="59"/>
    </row>
    <row r="6211" spans="3:5" x14ac:dyDescent="0.15">
      <c r="C6211" s="255" t="s">
        <v>809</v>
      </c>
      <c r="D6211" s="59">
        <v>194.2</v>
      </c>
      <c r="E6211" s="59"/>
    </row>
    <row r="6212" spans="3:5" x14ac:dyDescent="0.15">
      <c r="C6212" s="255" t="s">
        <v>810</v>
      </c>
      <c r="D6212" s="59">
        <v>189.3</v>
      </c>
      <c r="E6212" s="59"/>
    </row>
    <row r="6213" spans="3:5" x14ac:dyDescent="0.15">
      <c r="C6213" s="255" t="s">
        <v>811</v>
      </c>
      <c r="D6213" s="59">
        <v>866</v>
      </c>
      <c r="E6213" s="59"/>
    </row>
    <row r="6214" spans="3:5" x14ac:dyDescent="0.15">
      <c r="C6214" s="255" t="s">
        <v>812</v>
      </c>
      <c r="D6214" s="59">
        <v>121.7</v>
      </c>
      <c r="E6214" s="59"/>
    </row>
    <row r="6215" spans="3:5" x14ac:dyDescent="0.15">
      <c r="C6215" s="255" t="s">
        <v>813</v>
      </c>
      <c r="D6215" s="59">
        <v>37.4</v>
      </c>
      <c r="E6215" s="59"/>
    </row>
    <row r="6216" spans="3:5" x14ac:dyDescent="0.15">
      <c r="C6216" s="255" t="s">
        <v>814</v>
      </c>
      <c r="D6216" s="59">
        <v>144.19999999999999</v>
      </c>
      <c r="E6216" s="59"/>
    </row>
    <row r="6217" spans="3:5" x14ac:dyDescent="0.15">
      <c r="C6217" s="255" t="s">
        <v>815</v>
      </c>
      <c r="D6217" s="59">
        <v>857.8</v>
      </c>
      <c r="E6217" s="59"/>
    </row>
    <row r="6218" spans="3:5" x14ac:dyDescent="0.15">
      <c r="C6218" s="255" t="s">
        <v>816</v>
      </c>
      <c r="D6218" s="59">
        <v>472.7</v>
      </c>
      <c r="E6218" s="59"/>
    </row>
    <row r="6219" spans="3:5" x14ac:dyDescent="0.15">
      <c r="C6219" s="255" t="s">
        <v>817</v>
      </c>
      <c r="D6219" s="59">
        <v>5935.7</v>
      </c>
      <c r="E6219" s="59"/>
    </row>
    <row r="6220" spans="3:5" x14ac:dyDescent="0.15">
      <c r="C6220" s="255" t="s">
        <v>818</v>
      </c>
      <c r="D6220" s="59">
        <v>608.1</v>
      </c>
      <c r="E6220" s="59"/>
    </row>
    <row r="6221" spans="3:5" x14ac:dyDescent="0.15">
      <c r="C6221" s="255" t="s">
        <v>819</v>
      </c>
      <c r="D6221" s="59">
        <v>14.3</v>
      </c>
      <c r="E6221" s="59"/>
    </row>
    <row r="6222" spans="3:5" x14ac:dyDescent="0.15">
      <c r="C6222" s="255" t="s">
        <v>820</v>
      </c>
      <c r="D6222" s="59">
        <v>2069.8000000000002</v>
      </c>
      <c r="E6222" s="59"/>
    </row>
    <row r="6223" spans="3:5" x14ac:dyDescent="0.15">
      <c r="C6223" s="255" t="s">
        <v>821</v>
      </c>
      <c r="D6223" s="59">
        <v>19.399999999999999</v>
      </c>
      <c r="E6223" s="59"/>
    </row>
    <row r="6224" spans="3:5" x14ac:dyDescent="0.15">
      <c r="C6224" s="255" t="s">
        <v>822</v>
      </c>
      <c r="D6224" s="59">
        <v>67.400000000000006</v>
      </c>
      <c r="E6224" s="59"/>
    </row>
    <row r="6225" spans="3:5" x14ac:dyDescent="0.15">
      <c r="C6225" s="255" t="s">
        <v>823</v>
      </c>
      <c r="D6225" s="59">
        <v>3.6</v>
      </c>
      <c r="E6225" s="59"/>
    </row>
    <row r="6226" spans="3:5" x14ac:dyDescent="0.15">
      <c r="C6226" s="255" t="s">
        <v>824</v>
      </c>
      <c r="D6226" s="59">
        <v>452.4</v>
      </c>
      <c r="E6226" s="59"/>
    </row>
    <row r="6227" spans="3:5" x14ac:dyDescent="0.15">
      <c r="C6227" s="255" t="s">
        <v>825</v>
      </c>
      <c r="D6227" s="59">
        <v>354.7</v>
      </c>
      <c r="E6227" s="59"/>
    </row>
    <row r="6228" spans="3:5" x14ac:dyDescent="0.15">
      <c r="C6228" s="255" t="s">
        <v>826</v>
      </c>
      <c r="D6228" s="59">
        <v>2.7</v>
      </c>
      <c r="E6228" s="59"/>
    </row>
    <row r="6229" spans="3:5" x14ac:dyDescent="0.15">
      <c r="C6229" s="255" t="s">
        <v>827</v>
      </c>
      <c r="D6229" s="59">
        <v>5.9</v>
      </c>
      <c r="E6229" s="59"/>
    </row>
    <row r="6230" spans="3:5" x14ac:dyDescent="0.15">
      <c r="C6230" s="255" t="s">
        <v>828</v>
      </c>
      <c r="D6230" s="59">
        <v>1840.1</v>
      </c>
      <c r="E6230" s="59"/>
    </row>
    <row r="6231" spans="3:5" x14ac:dyDescent="0.15">
      <c r="C6231" s="255" t="s">
        <v>829</v>
      </c>
      <c r="D6231" s="59">
        <v>19.8</v>
      </c>
      <c r="E6231" s="59"/>
    </row>
    <row r="6232" spans="3:5" x14ac:dyDescent="0.15">
      <c r="C6232" s="255" t="s">
        <v>830</v>
      </c>
      <c r="D6232" s="59">
        <v>477.5</v>
      </c>
      <c r="E6232" s="59"/>
    </row>
    <row r="6233" spans="3:5" x14ac:dyDescent="0.15">
      <c r="C6233" s="255" t="s">
        <v>831</v>
      </c>
      <c r="D6233" s="59">
        <v>0</v>
      </c>
      <c r="E6233" s="59"/>
    </row>
    <row r="6234" spans="3:5" x14ac:dyDescent="0.15">
      <c r="C6234" s="255" t="s">
        <v>832</v>
      </c>
      <c r="D6234" s="59">
        <v>8315.2999999999993</v>
      </c>
      <c r="E6234" s="59"/>
    </row>
    <row r="6235" spans="3:5" x14ac:dyDescent="0.15">
      <c r="C6235" s="255" t="s">
        <v>833</v>
      </c>
      <c r="D6235" s="59">
        <v>14.6</v>
      </c>
      <c r="E6235" s="59"/>
    </row>
    <row r="6236" spans="3:5" x14ac:dyDescent="0.15">
      <c r="C6236" s="255" t="s">
        <v>834</v>
      </c>
      <c r="D6236" s="59">
        <v>1875.9</v>
      </c>
      <c r="E6236" s="59"/>
    </row>
    <row r="6237" spans="3:5" x14ac:dyDescent="0.15">
      <c r="C6237" s="255" t="s">
        <v>835</v>
      </c>
      <c r="D6237" s="59">
        <v>3664.9</v>
      </c>
      <c r="E6237" s="59"/>
    </row>
    <row r="6238" spans="3:5" x14ac:dyDescent="0.15">
      <c r="C6238" s="255" t="s">
        <v>836</v>
      </c>
      <c r="D6238" s="59">
        <v>729.4</v>
      </c>
      <c r="E6238" s="59"/>
    </row>
    <row r="6239" spans="3:5" x14ac:dyDescent="0.15">
      <c r="C6239" s="255" t="s">
        <v>837</v>
      </c>
      <c r="D6239" s="59">
        <v>253</v>
      </c>
      <c r="E6239" s="59"/>
    </row>
    <row r="6240" spans="3:5" x14ac:dyDescent="0.15">
      <c r="C6240" s="255" t="s">
        <v>838</v>
      </c>
      <c r="D6240" s="59">
        <v>112.8</v>
      </c>
      <c r="E6240" s="59"/>
    </row>
    <row r="6241" spans="3:5" x14ac:dyDescent="0.15">
      <c r="C6241" s="255" t="s">
        <v>839</v>
      </c>
      <c r="D6241" s="59">
        <v>45.3</v>
      </c>
      <c r="E6241" s="59"/>
    </row>
    <row r="6242" spans="3:5" x14ac:dyDescent="0.15">
      <c r="C6242" s="255" t="s">
        <v>840</v>
      </c>
      <c r="D6242" s="59">
        <v>15.3</v>
      </c>
      <c r="E6242" s="59"/>
    </row>
    <row r="6243" spans="3:5" x14ac:dyDescent="0.15">
      <c r="C6243" s="255" t="s">
        <v>841</v>
      </c>
      <c r="D6243" s="59">
        <v>649.6</v>
      </c>
      <c r="E6243" s="59"/>
    </row>
    <row r="6244" spans="3:5" x14ac:dyDescent="0.15">
      <c r="C6244" s="255" t="s">
        <v>842</v>
      </c>
      <c r="D6244" s="59">
        <v>746.7</v>
      </c>
      <c r="E6244" s="59"/>
    </row>
    <row r="6245" spans="3:5" x14ac:dyDescent="0.15">
      <c r="C6245" s="255" t="s">
        <v>843</v>
      </c>
      <c r="D6245" s="59">
        <v>187.9</v>
      </c>
      <c r="E6245" s="59"/>
    </row>
    <row r="6246" spans="3:5" x14ac:dyDescent="0.15">
      <c r="C6246" s="255" t="s">
        <v>844</v>
      </c>
      <c r="D6246" s="59">
        <v>19.8</v>
      </c>
      <c r="E6246" s="59"/>
    </row>
    <row r="6247" spans="3:5" x14ac:dyDescent="0.15">
      <c r="C6247" s="255" t="s">
        <v>845</v>
      </c>
      <c r="D6247" s="59">
        <v>83850.7</v>
      </c>
      <c r="E6247" s="59"/>
    </row>
    <row r="6248" spans="3:5" x14ac:dyDescent="0.15">
      <c r="C6248" s="255" t="s">
        <v>846</v>
      </c>
      <c r="D6248" s="59">
        <v>31495.5</v>
      </c>
      <c r="E6248" s="59"/>
    </row>
    <row r="6249" spans="3:5" x14ac:dyDescent="0.15">
      <c r="C6249" s="255" t="s">
        <v>847</v>
      </c>
      <c r="D6249" s="59">
        <v>45.7</v>
      </c>
      <c r="E6249" s="59"/>
    </row>
    <row r="6250" spans="3:5" x14ac:dyDescent="0.15">
      <c r="C6250" s="255" t="s">
        <v>848</v>
      </c>
      <c r="D6250" s="59">
        <v>21547.7</v>
      </c>
      <c r="E6250" s="59"/>
    </row>
    <row r="6251" spans="3:5" x14ac:dyDescent="0.15">
      <c r="C6251" s="255" t="s">
        <v>849</v>
      </c>
      <c r="D6251" s="59">
        <v>1232.8</v>
      </c>
      <c r="E6251" s="59"/>
    </row>
    <row r="6252" spans="3:5" x14ac:dyDescent="0.15">
      <c r="C6252" s="255" t="s">
        <v>850</v>
      </c>
      <c r="D6252" s="59">
        <v>1408.7</v>
      </c>
      <c r="E6252" s="59"/>
    </row>
    <row r="6253" spans="3:5" x14ac:dyDescent="0.15">
      <c r="C6253" s="255" t="s">
        <v>851</v>
      </c>
      <c r="D6253" s="59">
        <v>0</v>
      </c>
      <c r="E6253" s="59"/>
    </row>
    <row r="6254" spans="3:5" x14ac:dyDescent="0.15">
      <c r="C6254" s="255" t="s">
        <v>852</v>
      </c>
      <c r="D6254" s="59">
        <v>0</v>
      </c>
      <c r="E6254" s="59"/>
    </row>
    <row r="6255" spans="3:5" x14ac:dyDescent="0.15">
      <c r="C6255" s="255" t="s">
        <v>853</v>
      </c>
      <c r="D6255" s="59">
        <v>178.8</v>
      </c>
      <c r="E6255" s="59"/>
    </row>
    <row r="6256" spans="3:5" x14ac:dyDescent="0.15">
      <c r="C6256" s="255" t="s">
        <v>854</v>
      </c>
      <c r="D6256" s="59">
        <v>0</v>
      </c>
      <c r="E6256" s="59"/>
    </row>
    <row r="6257" spans="3:5" x14ac:dyDescent="0.15">
      <c r="C6257" s="255" t="s">
        <v>855</v>
      </c>
      <c r="D6257" s="59">
        <v>475.4</v>
      </c>
      <c r="E6257" s="59"/>
    </row>
    <row r="6258" spans="3:5" x14ac:dyDescent="0.15">
      <c r="C6258" s="255" t="s">
        <v>856</v>
      </c>
      <c r="D6258" s="59">
        <v>1131.7</v>
      </c>
      <c r="E6258" s="59"/>
    </row>
    <row r="6259" spans="3:5" x14ac:dyDescent="0.15">
      <c r="C6259" s="255" t="s">
        <v>857</v>
      </c>
      <c r="D6259" s="59">
        <v>2095.9</v>
      </c>
      <c r="E6259" s="59"/>
    </row>
    <row r="6260" spans="3:5" x14ac:dyDescent="0.15">
      <c r="C6260" s="255" t="s">
        <v>858</v>
      </c>
      <c r="D6260" s="59">
        <v>2344.1</v>
      </c>
      <c r="E6260" s="59"/>
    </row>
    <row r="6261" spans="3:5" x14ac:dyDescent="0.15">
      <c r="C6261" s="255" t="s">
        <v>859</v>
      </c>
      <c r="D6261" s="59">
        <v>1940.9</v>
      </c>
      <c r="E6261" s="59"/>
    </row>
    <row r="6262" spans="3:5" x14ac:dyDescent="0.15">
      <c r="C6262" s="255" t="s">
        <v>860</v>
      </c>
      <c r="D6262" s="59">
        <v>128</v>
      </c>
      <c r="E6262" s="59"/>
    </row>
    <row r="6263" spans="3:5" x14ac:dyDescent="0.15">
      <c r="C6263" s="255" t="s">
        <v>861</v>
      </c>
      <c r="D6263" s="59">
        <v>1188.3</v>
      </c>
      <c r="E6263" s="59"/>
    </row>
    <row r="6264" spans="3:5" x14ac:dyDescent="0.15">
      <c r="C6264" s="255" t="s">
        <v>862</v>
      </c>
      <c r="D6264" s="59">
        <v>6303.1</v>
      </c>
      <c r="E6264" s="59"/>
    </row>
    <row r="6265" spans="3:5" x14ac:dyDescent="0.15">
      <c r="C6265" s="255" t="s">
        <v>863</v>
      </c>
      <c r="D6265" s="59">
        <v>1363.6</v>
      </c>
      <c r="E6265" s="59"/>
    </row>
    <row r="6266" spans="3:5" x14ac:dyDescent="0.15">
      <c r="C6266" s="255" t="s">
        <v>864</v>
      </c>
      <c r="D6266" s="59">
        <v>198</v>
      </c>
      <c r="E6266" s="59"/>
    </row>
    <row r="6267" spans="3:5" x14ac:dyDescent="0.15">
      <c r="C6267" s="255" t="s">
        <v>865</v>
      </c>
      <c r="D6267" s="59">
        <v>794.1</v>
      </c>
      <c r="E6267" s="59"/>
    </row>
    <row r="6268" spans="3:5" x14ac:dyDescent="0.15">
      <c r="C6268" s="255" t="s">
        <v>866</v>
      </c>
      <c r="D6268" s="59">
        <v>17.399999999999999</v>
      </c>
      <c r="E6268" s="59"/>
    </row>
    <row r="6269" spans="3:5" x14ac:dyDescent="0.15">
      <c r="C6269" s="255" t="s">
        <v>867</v>
      </c>
      <c r="D6269" s="59">
        <v>975</v>
      </c>
      <c r="E6269" s="59"/>
    </row>
    <row r="6270" spans="3:5" x14ac:dyDescent="0.15">
      <c r="C6270" s="255" t="s">
        <v>868</v>
      </c>
      <c r="D6270" s="59">
        <v>8986</v>
      </c>
      <c r="E6270" s="59"/>
    </row>
    <row r="6271" spans="3:5" x14ac:dyDescent="0.15">
      <c r="C6271" s="255" t="s">
        <v>869</v>
      </c>
      <c r="D6271" s="59">
        <v>11275.6</v>
      </c>
      <c r="E6271" s="59"/>
    </row>
    <row r="6272" spans="3:5" x14ac:dyDescent="0.15">
      <c r="C6272" s="255" t="s">
        <v>870</v>
      </c>
      <c r="D6272" s="59">
        <v>2283.9</v>
      </c>
      <c r="E6272" s="59"/>
    </row>
    <row r="6273" spans="3:5" x14ac:dyDescent="0.15">
      <c r="C6273" s="255" t="s">
        <v>871</v>
      </c>
      <c r="D6273" s="59">
        <v>466.2</v>
      </c>
      <c r="E6273" s="59"/>
    </row>
    <row r="6274" spans="3:5" x14ac:dyDescent="0.15">
      <c r="C6274" s="255" t="s">
        <v>872</v>
      </c>
      <c r="D6274" s="59">
        <v>271.89999999999998</v>
      </c>
      <c r="E6274" s="59"/>
    </row>
    <row r="6275" spans="3:5" x14ac:dyDescent="0.15">
      <c r="C6275" s="255" t="s">
        <v>873</v>
      </c>
      <c r="D6275" s="59">
        <v>610.5</v>
      </c>
      <c r="E6275" s="59"/>
    </row>
    <row r="6276" spans="3:5" x14ac:dyDescent="0.15">
      <c r="C6276" s="255" t="s">
        <v>874</v>
      </c>
      <c r="D6276" s="59">
        <v>152.6</v>
      </c>
      <c r="E6276" s="59"/>
    </row>
    <row r="6277" spans="3:5" x14ac:dyDescent="0.15">
      <c r="C6277" s="255" t="s">
        <v>875</v>
      </c>
      <c r="D6277" s="59">
        <v>32.6</v>
      </c>
      <c r="E6277" s="59"/>
    </row>
    <row r="6278" spans="3:5" x14ac:dyDescent="0.15">
      <c r="C6278" s="255" t="s">
        <v>876</v>
      </c>
      <c r="D6278" s="59">
        <v>2.4</v>
      </c>
      <c r="E6278" s="59"/>
    </row>
    <row r="6279" spans="3:5" x14ac:dyDescent="0.15">
      <c r="C6279" s="255" t="s">
        <v>877</v>
      </c>
      <c r="D6279" s="59">
        <v>2.8</v>
      </c>
      <c r="E6279" s="59"/>
    </row>
    <row r="6280" spans="3:5" x14ac:dyDescent="0.15">
      <c r="C6280" s="255" t="s">
        <v>878</v>
      </c>
      <c r="D6280" s="59">
        <v>425.2</v>
      </c>
      <c r="E6280" s="59"/>
    </row>
    <row r="6281" spans="3:5" x14ac:dyDescent="0.15">
      <c r="C6281" s="255" t="s">
        <v>879</v>
      </c>
      <c r="D6281" s="59">
        <v>405.9</v>
      </c>
      <c r="E6281" s="59"/>
    </row>
    <row r="6282" spans="3:5" x14ac:dyDescent="0.15">
      <c r="C6282" s="255" t="s">
        <v>880</v>
      </c>
      <c r="D6282" s="59">
        <v>80.599999999999994</v>
      </c>
      <c r="E6282" s="59"/>
    </row>
    <row r="6283" spans="3:5" x14ac:dyDescent="0.15">
      <c r="C6283" s="255" t="s">
        <v>881</v>
      </c>
      <c r="D6283" s="59">
        <v>0</v>
      </c>
      <c r="E6283" s="59"/>
    </row>
    <row r="6284" spans="3:5" x14ac:dyDescent="0.15">
      <c r="C6284" s="255" t="s">
        <v>882</v>
      </c>
      <c r="D6284" s="59">
        <v>142.80000000000001</v>
      </c>
      <c r="E6284" s="59"/>
    </row>
    <row r="6285" spans="3:5" x14ac:dyDescent="0.15">
      <c r="C6285" s="255" t="s">
        <v>883</v>
      </c>
      <c r="D6285" s="59">
        <v>267.39999999999998</v>
      </c>
      <c r="E6285" s="59"/>
    </row>
    <row r="6286" spans="3:5" x14ac:dyDescent="0.15">
      <c r="C6286" s="255" t="s">
        <v>884</v>
      </c>
      <c r="D6286" s="59">
        <v>563.1</v>
      </c>
      <c r="E6286" s="59"/>
    </row>
    <row r="6287" spans="3:5" x14ac:dyDescent="0.15">
      <c r="C6287" s="255" t="s">
        <v>885</v>
      </c>
      <c r="D6287" s="59">
        <v>209</v>
      </c>
      <c r="E6287" s="59"/>
    </row>
    <row r="6288" spans="3:5" x14ac:dyDescent="0.15">
      <c r="C6288" s="255" t="s">
        <v>886</v>
      </c>
      <c r="D6288" s="59">
        <v>166.4</v>
      </c>
      <c r="E6288" s="59"/>
    </row>
    <row r="6289" spans="3:5" x14ac:dyDescent="0.15">
      <c r="C6289" s="255" t="s">
        <v>887</v>
      </c>
      <c r="D6289" s="59">
        <v>504.6</v>
      </c>
      <c r="E6289" s="59"/>
    </row>
    <row r="6290" spans="3:5" x14ac:dyDescent="0.15">
      <c r="C6290" s="255" t="s">
        <v>888</v>
      </c>
      <c r="D6290" s="59">
        <v>99.6</v>
      </c>
      <c r="E6290" s="59"/>
    </row>
    <row r="6291" spans="3:5" x14ac:dyDescent="0.15">
      <c r="C6291" s="255" t="s">
        <v>889</v>
      </c>
      <c r="D6291" s="59">
        <v>272.3</v>
      </c>
      <c r="E6291" s="59"/>
    </row>
    <row r="6292" spans="3:5" x14ac:dyDescent="0.15">
      <c r="C6292" s="255" t="s">
        <v>890</v>
      </c>
      <c r="D6292" s="59">
        <v>84.8</v>
      </c>
      <c r="E6292" s="59"/>
    </row>
    <row r="6293" spans="3:5" x14ac:dyDescent="0.15">
      <c r="C6293" s="255" t="s">
        <v>891</v>
      </c>
      <c r="D6293" s="59">
        <v>17.7</v>
      </c>
      <c r="E6293" s="59"/>
    </row>
    <row r="6294" spans="3:5" x14ac:dyDescent="0.15">
      <c r="C6294" s="255" t="s">
        <v>892</v>
      </c>
      <c r="D6294" s="59">
        <v>12.2</v>
      </c>
      <c r="E6294" s="59"/>
    </row>
    <row r="6295" spans="3:5" x14ac:dyDescent="0.15">
      <c r="C6295" s="255" t="s">
        <v>893</v>
      </c>
      <c r="D6295" s="59">
        <v>112.9</v>
      </c>
      <c r="E6295" s="59"/>
    </row>
    <row r="6296" spans="3:5" x14ac:dyDescent="0.15">
      <c r="C6296" s="255" t="s">
        <v>894</v>
      </c>
      <c r="D6296" s="59">
        <v>0</v>
      </c>
      <c r="E6296" s="59"/>
    </row>
    <row r="6297" spans="3:5" x14ac:dyDescent="0.15">
      <c r="C6297" s="255" t="s">
        <v>895</v>
      </c>
      <c r="D6297" s="59">
        <v>322.2</v>
      </c>
      <c r="E6297" s="59"/>
    </row>
    <row r="6298" spans="3:5" x14ac:dyDescent="0.15">
      <c r="C6298" s="255" t="s">
        <v>896</v>
      </c>
      <c r="D6298" s="59">
        <v>47.9</v>
      </c>
      <c r="E6298" s="59"/>
    </row>
    <row r="6299" spans="3:5" x14ac:dyDescent="0.15">
      <c r="C6299" s="255" t="s">
        <v>897</v>
      </c>
      <c r="D6299" s="59">
        <v>638.20000000000005</v>
      </c>
      <c r="E6299" s="59"/>
    </row>
    <row r="6300" spans="3:5" x14ac:dyDescent="0.15">
      <c r="C6300" s="255" t="s">
        <v>898</v>
      </c>
      <c r="D6300" s="59">
        <v>169.6</v>
      </c>
      <c r="E6300" s="59"/>
    </row>
    <row r="6301" spans="3:5" x14ac:dyDescent="0.15">
      <c r="C6301" s="255" t="s">
        <v>899</v>
      </c>
      <c r="D6301" s="59">
        <v>6.7</v>
      </c>
      <c r="E6301" s="59"/>
    </row>
    <row r="6302" spans="3:5" x14ac:dyDescent="0.15">
      <c r="C6302" s="255" t="s">
        <v>900</v>
      </c>
      <c r="D6302" s="59">
        <v>195.9</v>
      </c>
      <c r="E6302" s="59"/>
    </row>
    <row r="6303" spans="3:5" x14ac:dyDescent="0.15">
      <c r="C6303" s="255" t="s">
        <v>901</v>
      </c>
      <c r="D6303" s="59">
        <v>467.4</v>
      </c>
      <c r="E6303" s="59"/>
    </row>
    <row r="6304" spans="3:5" x14ac:dyDescent="0.15">
      <c r="C6304" s="255" t="s">
        <v>902</v>
      </c>
      <c r="D6304" s="59">
        <v>4.7</v>
      </c>
      <c r="E6304" s="59"/>
    </row>
    <row r="6305" spans="3:5" x14ac:dyDescent="0.15">
      <c r="C6305" s="255" t="s">
        <v>903</v>
      </c>
      <c r="D6305" s="59">
        <v>669.4</v>
      </c>
      <c r="E6305" s="59"/>
    </row>
    <row r="6306" spans="3:5" x14ac:dyDescent="0.15">
      <c r="C6306" s="255" t="s">
        <v>904</v>
      </c>
      <c r="D6306" s="59">
        <v>860.8</v>
      </c>
      <c r="E6306" s="59"/>
    </row>
    <row r="6307" spans="3:5" x14ac:dyDescent="0.15">
      <c r="C6307" s="255" t="s">
        <v>905</v>
      </c>
      <c r="D6307" s="59">
        <v>216.4</v>
      </c>
      <c r="E6307" s="59"/>
    </row>
    <row r="6308" spans="3:5" x14ac:dyDescent="0.15">
      <c r="C6308" s="255" t="s">
        <v>906</v>
      </c>
      <c r="D6308" s="59">
        <v>80.8</v>
      </c>
      <c r="E6308" s="59"/>
    </row>
    <row r="6309" spans="3:5" x14ac:dyDescent="0.15">
      <c r="C6309" s="255" t="s">
        <v>907</v>
      </c>
      <c r="D6309" s="59">
        <v>408.3</v>
      </c>
      <c r="E6309" s="59"/>
    </row>
    <row r="6310" spans="3:5" x14ac:dyDescent="0.15">
      <c r="C6310" s="255" t="s">
        <v>908</v>
      </c>
      <c r="D6310" s="59">
        <v>7134.9</v>
      </c>
      <c r="E6310" s="59"/>
    </row>
    <row r="6311" spans="3:5" x14ac:dyDescent="0.15">
      <c r="C6311" s="255" t="s">
        <v>909</v>
      </c>
      <c r="D6311" s="59">
        <v>2564.4</v>
      </c>
      <c r="E6311" s="59"/>
    </row>
    <row r="6312" spans="3:5" x14ac:dyDescent="0.15">
      <c r="C6312" s="255" t="s">
        <v>910</v>
      </c>
      <c r="D6312" s="59">
        <v>10.3</v>
      </c>
      <c r="E6312" s="59"/>
    </row>
    <row r="6313" spans="3:5" x14ac:dyDescent="0.15">
      <c r="C6313" s="255" t="s">
        <v>911</v>
      </c>
      <c r="D6313" s="59">
        <v>205.3</v>
      </c>
      <c r="E6313" s="59"/>
    </row>
    <row r="6314" spans="3:5" x14ac:dyDescent="0.15">
      <c r="C6314" s="255" t="s">
        <v>912</v>
      </c>
      <c r="D6314" s="59">
        <v>641</v>
      </c>
      <c r="E6314" s="59"/>
    </row>
    <row r="6315" spans="3:5" x14ac:dyDescent="0.15">
      <c r="C6315" s="255" t="s">
        <v>913</v>
      </c>
      <c r="D6315" s="59">
        <v>0</v>
      </c>
      <c r="E6315" s="59"/>
    </row>
    <row r="6316" spans="3:5" x14ac:dyDescent="0.15">
      <c r="C6316" s="255" t="s">
        <v>914</v>
      </c>
      <c r="D6316" s="59">
        <v>3.4</v>
      </c>
      <c r="E6316" s="59"/>
    </row>
    <row r="6317" spans="3:5" x14ac:dyDescent="0.15">
      <c r="C6317" s="255" t="s">
        <v>915</v>
      </c>
      <c r="D6317" s="59">
        <v>68.8</v>
      </c>
      <c r="E6317" s="59"/>
    </row>
    <row r="6318" spans="3:5" x14ac:dyDescent="0.15">
      <c r="C6318" s="255" t="s">
        <v>916</v>
      </c>
      <c r="D6318" s="59">
        <v>133.9</v>
      </c>
      <c r="E6318" s="59"/>
    </row>
    <row r="6319" spans="3:5" x14ac:dyDescent="0.15">
      <c r="C6319" s="255" t="s">
        <v>917</v>
      </c>
      <c r="D6319" s="59">
        <v>6.7</v>
      </c>
      <c r="E6319" s="59"/>
    </row>
    <row r="6320" spans="3:5" x14ac:dyDescent="0.15">
      <c r="C6320" s="255" t="s">
        <v>918</v>
      </c>
      <c r="D6320" s="59">
        <v>2466</v>
      </c>
      <c r="E6320" s="59"/>
    </row>
    <row r="6321" spans="3:5" x14ac:dyDescent="0.15">
      <c r="C6321" s="255" t="s">
        <v>919</v>
      </c>
      <c r="D6321" s="59">
        <v>2.5</v>
      </c>
      <c r="E6321" s="59"/>
    </row>
    <row r="6322" spans="3:5" x14ac:dyDescent="0.15">
      <c r="C6322" s="255" t="s">
        <v>920</v>
      </c>
      <c r="D6322" s="59">
        <v>1032.5</v>
      </c>
      <c r="E6322" s="59"/>
    </row>
    <row r="6323" spans="3:5" x14ac:dyDescent="0.15">
      <c r="C6323" s="255" t="s">
        <v>921</v>
      </c>
      <c r="D6323" s="59">
        <v>0</v>
      </c>
      <c r="E6323" s="59"/>
    </row>
    <row r="6324" spans="3:5" x14ac:dyDescent="0.15">
      <c r="C6324" s="255" t="s">
        <v>922</v>
      </c>
      <c r="D6324" s="59">
        <v>31903.7</v>
      </c>
      <c r="E6324" s="59"/>
    </row>
    <row r="6325" spans="3:5" x14ac:dyDescent="0.15">
      <c r="C6325" s="255" t="s">
        <v>923</v>
      </c>
      <c r="D6325" s="59">
        <v>12476.1</v>
      </c>
      <c r="E6325" s="59"/>
    </row>
    <row r="6326" spans="3:5" x14ac:dyDescent="0.15">
      <c r="C6326" s="255" t="s">
        <v>924</v>
      </c>
      <c r="D6326" s="59">
        <v>634.5</v>
      </c>
      <c r="E6326" s="59"/>
    </row>
    <row r="6327" spans="3:5" x14ac:dyDescent="0.15">
      <c r="C6327" s="255" t="s">
        <v>925</v>
      </c>
      <c r="D6327" s="59">
        <v>353.6</v>
      </c>
      <c r="E6327" s="59"/>
    </row>
    <row r="6328" spans="3:5" x14ac:dyDescent="0.15">
      <c r="C6328" s="255" t="s">
        <v>926</v>
      </c>
      <c r="D6328" s="59">
        <v>508.9</v>
      </c>
      <c r="E6328" s="59"/>
    </row>
    <row r="6329" spans="3:5" x14ac:dyDescent="0.15">
      <c r="C6329" s="255" t="s">
        <v>927</v>
      </c>
      <c r="D6329" s="59">
        <v>455.8</v>
      </c>
      <c r="E6329" s="59"/>
    </row>
    <row r="6330" spans="3:5" x14ac:dyDescent="0.15">
      <c r="C6330" s="255" t="s">
        <v>928</v>
      </c>
      <c r="D6330" s="59">
        <v>336.6</v>
      </c>
      <c r="E6330" s="59"/>
    </row>
    <row r="6331" spans="3:5" x14ac:dyDescent="0.15">
      <c r="C6331" s="255" t="s">
        <v>929</v>
      </c>
      <c r="D6331" s="59">
        <v>227.1</v>
      </c>
      <c r="E6331" s="59"/>
    </row>
    <row r="6332" spans="3:5" x14ac:dyDescent="0.15">
      <c r="C6332" s="255" t="s">
        <v>930</v>
      </c>
      <c r="D6332" s="59">
        <v>801.9</v>
      </c>
      <c r="E6332" s="59"/>
    </row>
    <row r="6333" spans="3:5" x14ac:dyDescent="0.15">
      <c r="C6333" s="255" t="s">
        <v>931</v>
      </c>
      <c r="D6333" s="59">
        <v>4809.2</v>
      </c>
      <c r="E6333" s="59"/>
    </row>
    <row r="6334" spans="3:5" x14ac:dyDescent="0.15">
      <c r="C6334" s="255" t="s">
        <v>932</v>
      </c>
      <c r="D6334" s="59">
        <v>0</v>
      </c>
      <c r="E6334" s="59"/>
    </row>
    <row r="6335" spans="3:5" x14ac:dyDescent="0.15">
      <c r="C6335" s="255" t="s">
        <v>933</v>
      </c>
      <c r="D6335" s="59">
        <v>39.9</v>
      </c>
      <c r="E6335" s="59"/>
    </row>
    <row r="6336" spans="3:5" x14ac:dyDescent="0.15">
      <c r="C6336" s="255" t="s">
        <v>934</v>
      </c>
      <c r="D6336" s="59">
        <v>4184</v>
      </c>
      <c r="E6336" s="59"/>
    </row>
    <row r="6337" spans="3:5" x14ac:dyDescent="0.15">
      <c r="C6337" s="255" t="s">
        <v>935</v>
      </c>
      <c r="D6337" s="59">
        <v>482.6</v>
      </c>
      <c r="E6337" s="59"/>
    </row>
    <row r="6338" spans="3:5" x14ac:dyDescent="0.15">
      <c r="C6338" s="255" t="s">
        <v>936</v>
      </c>
      <c r="D6338" s="59">
        <v>2711.2</v>
      </c>
      <c r="E6338" s="59"/>
    </row>
    <row r="6339" spans="3:5" x14ac:dyDescent="0.15">
      <c r="C6339" s="255" t="s">
        <v>937</v>
      </c>
      <c r="D6339" s="59">
        <v>447.7</v>
      </c>
      <c r="E6339" s="59"/>
    </row>
    <row r="6340" spans="3:5" x14ac:dyDescent="0.15">
      <c r="C6340" s="255" t="s">
        <v>938</v>
      </c>
      <c r="D6340" s="59">
        <v>341.9</v>
      </c>
      <c r="E6340" s="59"/>
    </row>
    <row r="6341" spans="3:5" x14ac:dyDescent="0.15">
      <c r="C6341" s="255" t="s">
        <v>939</v>
      </c>
      <c r="D6341" s="59">
        <v>0</v>
      </c>
      <c r="E6341" s="59"/>
    </row>
    <row r="6342" spans="3:5" x14ac:dyDescent="0.15">
      <c r="C6342" s="255" t="s">
        <v>940</v>
      </c>
      <c r="D6342" s="59">
        <v>83.7</v>
      </c>
      <c r="E6342" s="59"/>
    </row>
    <row r="6343" spans="3:5" x14ac:dyDescent="0.15">
      <c r="C6343" s="255" t="s">
        <v>941</v>
      </c>
      <c r="D6343" s="59">
        <v>244.5</v>
      </c>
      <c r="E6343" s="59"/>
    </row>
    <row r="6344" spans="3:5" x14ac:dyDescent="0.15">
      <c r="C6344" s="255" t="s">
        <v>942</v>
      </c>
      <c r="D6344" s="59">
        <v>0</v>
      </c>
      <c r="E6344" s="59"/>
    </row>
    <row r="6345" spans="3:5" x14ac:dyDescent="0.15">
      <c r="C6345" s="255" t="s">
        <v>943</v>
      </c>
      <c r="D6345" s="59">
        <v>991.7</v>
      </c>
      <c r="E6345" s="59"/>
    </row>
    <row r="6346" spans="3:5" x14ac:dyDescent="0.15">
      <c r="C6346" s="255" t="s">
        <v>944</v>
      </c>
      <c r="D6346" s="59">
        <v>262.7</v>
      </c>
      <c r="E6346" s="59"/>
    </row>
    <row r="6347" spans="3:5" x14ac:dyDescent="0.15">
      <c r="C6347" s="255" t="s">
        <v>945</v>
      </c>
      <c r="D6347" s="59">
        <v>1423.6</v>
      </c>
      <c r="E6347" s="59"/>
    </row>
    <row r="6348" spans="3:5" x14ac:dyDescent="0.15">
      <c r="C6348" s="255" t="s">
        <v>946</v>
      </c>
      <c r="D6348" s="59">
        <v>65.599999999999994</v>
      </c>
      <c r="E6348" s="59"/>
    </row>
    <row r="6349" spans="3:5" x14ac:dyDescent="0.15">
      <c r="C6349" s="255" t="s">
        <v>947</v>
      </c>
      <c r="D6349" s="59">
        <v>20.8</v>
      </c>
      <c r="E6349" s="59"/>
    </row>
    <row r="6350" spans="3:5" x14ac:dyDescent="0.15">
      <c r="C6350" s="255" t="s">
        <v>948</v>
      </c>
      <c r="D6350" s="59">
        <v>7407.8</v>
      </c>
      <c r="E6350" s="59"/>
    </row>
    <row r="6351" spans="3:5" x14ac:dyDescent="0.15">
      <c r="C6351" s="255" t="s">
        <v>949</v>
      </c>
      <c r="D6351" s="59">
        <v>147.1</v>
      </c>
      <c r="E6351" s="59"/>
    </row>
    <row r="6352" spans="3:5" x14ac:dyDescent="0.15">
      <c r="C6352" s="255" t="s">
        <v>950</v>
      </c>
      <c r="D6352" s="59">
        <v>0.2</v>
      </c>
      <c r="E6352" s="59"/>
    </row>
    <row r="6353" spans="3:5" x14ac:dyDescent="0.15">
      <c r="C6353" s="255" t="s">
        <v>951</v>
      </c>
      <c r="D6353" s="59">
        <v>997</v>
      </c>
      <c r="E6353" s="59"/>
    </row>
    <row r="6354" spans="3:5" x14ac:dyDescent="0.15">
      <c r="C6354" s="255" t="s">
        <v>952</v>
      </c>
      <c r="D6354" s="59">
        <v>0</v>
      </c>
      <c r="E6354" s="59"/>
    </row>
    <row r="6355" spans="3:5" x14ac:dyDescent="0.15">
      <c r="C6355" s="255" t="s">
        <v>953</v>
      </c>
      <c r="D6355" s="59">
        <v>203.6</v>
      </c>
      <c r="E6355" s="59"/>
    </row>
    <row r="6356" spans="3:5" x14ac:dyDescent="0.15">
      <c r="C6356" s="255" t="s">
        <v>954</v>
      </c>
      <c r="D6356" s="59">
        <v>2177.1</v>
      </c>
      <c r="E6356" s="59"/>
    </row>
    <row r="6357" spans="3:5" x14ac:dyDescent="0.15">
      <c r="C6357" s="255" t="s">
        <v>955</v>
      </c>
      <c r="D6357" s="59">
        <v>1681.2</v>
      </c>
      <c r="E6357" s="59"/>
    </row>
    <row r="6358" spans="3:5" x14ac:dyDescent="0.15">
      <c r="C6358" s="255" t="s">
        <v>956</v>
      </c>
      <c r="D6358" s="59">
        <v>2201.6999999999998</v>
      </c>
      <c r="E6358" s="59"/>
    </row>
    <row r="6359" spans="3:5" x14ac:dyDescent="0.15">
      <c r="C6359" s="255" t="s">
        <v>957</v>
      </c>
      <c r="D6359" s="59">
        <v>24357</v>
      </c>
      <c r="E6359" s="59"/>
    </row>
    <row r="6360" spans="3:5" x14ac:dyDescent="0.15">
      <c r="C6360" s="255" t="s">
        <v>958</v>
      </c>
      <c r="D6360" s="59">
        <v>133</v>
      </c>
      <c r="E6360" s="59"/>
    </row>
    <row r="6361" spans="3:5" x14ac:dyDescent="0.15">
      <c r="C6361" s="255" t="s">
        <v>959</v>
      </c>
      <c r="D6361" s="59">
        <v>676.6</v>
      </c>
      <c r="E6361" s="59"/>
    </row>
    <row r="6362" spans="3:5" x14ac:dyDescent="0.15">
      <c r="C6362" s="255" t="s">
        <v>960</v>
      </c>
      <c r="D6362" s="59">
        <v>36.200000000000003</v>
      </c>
      <c r="E6362" s="59"/>
    </row>
    <row r="6363" spans="3:5" x14ac:dyDescent="0.15">
      <c r="C6363" s="255" t="s">
        <v>961</v>
      </c>
      <c r="D6363" s="59">
        <v>221.2</v>
      </c>
      <c r="E6363" s="59"/>
    </row>
    <row r="6364" spans="3:5" x14ac:dyDescent="0.15">
      <c r="C6364" s="255" t="s">
        <v>962</v>
      </c>
      <c r="D6364" s="59">
        <v>0</v>
      </c>
      <c r="E6364" s="59"/>
    </row>
    <row r="6365" spans="3:5" x14ac:dyDescent="0.15">
      <c r="C6365" s="255" t="s">
        <v>963</v>
      </c>
      <c r="D6365" s="59">
        <v>894.5</v>
      </c>
      <c r="E6365" s="59"/>
    </row>
    <row r="6366" spans="3:5" x14ac:dyDescent="0.15">
      <c r="C6366" s="255" t="s">
        <v>964</v>
      </c>
      <c r="D6366" s="59">
        <v>440.5</v>
      </c>
      <c r="E6366" s="59"/>
    </row>
    <row r="6367" spans="3:5" x14ac:dyDescent="0.15">
      <c r="C6367" s="255" t="s">
        <v>965</v>
      </c>
      <c r="D6367" s="59">
        <v>56.5</v>
      </c>
      <c r="E6367" s="59"/>
    </row>
    <row r="6368" spans="3:5" x14ac:dyDescent="0.15">
      <c r="C6368" s="255" t="s">
        <v>966</v>
      </c>
      <c r="D6368" s="59">
        <v>5.6</v>
      </c>
      <c r="E6368" s="59"/>
    </row>
    <row r="6369" spans="3:5" x14ac:dyDescent="0.15">
      <c r="C6369" s="255" t="s">
        <v>967</v>
      </c>
      <c r="D6369" s="59">
        <v>143.19999999999999</v>
      </c>
      <c r="E6369" s="59"/>
    </row>
    <row r="6370" spans="3:5" x14ac:dyDescent="0.15">
      <c r="C6370" s="255" t="s">
        <v>968</v>
      </c>
      <c r="D6370" s="59">
        <v>3.9</v>
      </c>
      <c r="E6370" s="59"/>
    </row>
    <row r="6371" spans="3:5" x14ac:dyDescent="0.15">
      <c r="C6371" s="255" t="s">
        <v>969</v>
      </c>
      <c r="D6371" s="59">
        <v>35</v>
      </c>
      <c r="E6371" s="59"/>
    </row>
    <row r="6372" spans="3:5" x14ac:dyDescent="0.15">
      <c r="C6372" s="255" t="s">
        <v>970</v>
      </c>
      <c r="D6372" s="59">
        <v>94.3</v>
      </c>
      <c r="E6372" s="59"/>
    </row>
    <row r="6373" spans="3:5" x14ac:dyDescent="0.15">
      <c r="C6373" s="255" t="s">
        <v>971</v>
      </c>
      <c r="D6373" s="59">
        <v>370.9</v>
      </c>
      <c r="E6373" s="59"/>
    </row>
    <row r="6374" spans="3:5" x14ac:dyDescent="0.15">
      <c r="C6374" s="255" t="s">
        <v>972</v>
      </c>
      <c r="D6374" s="59">
        <v>95.3</v>
      </c>
      <c r="E6374" s="59"/>
    </row>
    <row r="6375" spans="3:5" x14ac:dyDescent="0.15">
      <c r="C6375" s="255" t="s">
        <v>973</v>
      </c>
      <c r="D6375" s="59">
        <v>0</v>
      </c>
      <c r="E6375" s="59"/>
    </row>
    <row r="6376" spans="3:5" x14ac:dyDescent="0.15">
      <c r="C6376" s="255" t="s">
        <v>974</v>
      </c>
      <c r="D6376" s="59">
        <v>25.7</v>
      </c>
      <c r="E6376" s="59"/>
    </row>
    <row r="6377" spans="3:5" x14ac:dyDescent="0.15">
      <c r="C6377" s="255" t="s">
        <v>975</v>
      </c>
      <c r="D6377" s="59">
        <v>125.4</v>
      </c>
      <c r="E6377" s="59"/>
    </row>
    <row r="6378" spans="3:5" x14ac:dyDescent="0.15">
      <c r="C6378" s="255" t="s">
        <v>976</v>
      </c>
      <c r="D6378" s="59">
        <v>60.2</v>
      </c>
      <c r="E6378" s="59"/>
    </row>
    <row r="6379" spans="3:5" x14ac:dyDescent="0.15">
      <c r="C6379" s="255" t="s">
        <v>977</v>
      </c>
      <c r="D6379" s="59">
        <v>376.9</v>
      </c>
      <c r="E6379" s="59"/>
    </row>
    <row r="6380" spans="3:5" x14ac:dyDescent="0.15">
      <c r="C6380" s="255" t="s">
        <v>978</v>
      </c>
      <c r="D6380" s="59">
        <v>826.2</v>
      </c>
      <c r="E6380" s="59"/>
    </row>
    <row r="6381" spans="3:5" x14ac:dyDescent="0.15">
      <c r="C6381" s="255" t="s">
        <v>979</v>
      </c>
      <c r="D6381" s="59">
        <v>145.6</v>
      </c>
      <c r="E6381" s="59"/>
    </row>
    <row r="6382" spans="3:5" x14ac:dyDescent="0.15">
      <c r="C6382" s="255" t="s">
        <v>980</v>
      </c>
      <c r="D6382" s="59">
        <v>216.8</v>
      </c>
      <c r="E6382" s="59"/>
    </row>
    <row r="6383" spans="3:5" x14ac:dyDescent="0.15">
      <c r="C6383" s="255" t="s">
        <v>981</v>
      </c>
      <c r="D6383" s="59">
        <v>0</v>
      </c>
      <c r="E6383" s="59"/>
    </row>
    <row r="6384" spans="3:5" x14ac:dyDescent="0.15">
      <c r="C6384" s="255" t="s">
        <v>982</v>
      </c>
      <c r="D6384" s="59">
        <v>314.60000000000002</v>
      </c>
      <c r="E6384" s="59"/>
    </row>
    <row r="6385" spans="3:5" x14ac:dyDescent="0.15">
      <c r="C6385" s="255" t="s">
        <v>983</v>
      </c>
      <c r="D6385" s="59">
        <v>1527.8</v>
      </c>
      <c r="E6385" s="59"/>
    </row>
    <row r="6386" spans="3:5" x14ac:dyDescent="0.15">
      <c r="C6386" s="255" t="s">
        <v>984</v>
      </c>
      <c r="D6386" s="59">
        <v>0</v>
      </c>
      <c r="E6386" s="59"/>
    </row>
    <row r="6387" spans="3:5" x14ac:dyDescent="0.15">
      <c r="C6387" s="255" t="s">
        <v>985</v>
      </c>
      <c r="D6387" s="59">
        <v>979.1</v>
      </c>
      <c r="E6387" s="59"/>
    </row>
    <row r="6388" spans="3:5" x14ac:dyDescent="0.15">
      <c r="C6388" s="255" t="s">
        <v>986</v>
      </c>
      <c r="D6388" s="59">
        <v>705.5</v>
      </c>
      <c r="E6388" s="59"/>
    </row>
    <row r="6389" spans="3:5" x14ac:dyDescent="0.15">
      <c r="C6389" s="255" t="s">
        <v>987</v>
      </c>
      <c r="D6389" s="59">
        <v>434.8</v>
      </c>
      <c r="E6389" s="59"/>
    </row>
    <row r="6390" spans="3:5" x14ac:dyDescent="0.15">
      <c r="C6390" s="255" t="s">
        <v>988</v>
      </c>
      <c r="D6390" s="59">
        <v>1043</v>
      </c>
      <c r="E6390" s="59"/>
    </row>
    <row r="6391" spans="3:5" x14ac:dyDescent="0.15">
      <c r="C6391" s="255" t="s">
        <v>989</v>
      </c>
      <c r="D6391" s="59">
        <v>959.4</v>
      </c>
      <c r="E6391" s="59"/>
    </row>
    <row r="6392" spans="3:5" x14ac:dyDescent="0.15">
      <c r="C6392" s="255" t="s">
        <v>990</v>
      </c>
      <c r="D6392" s="59">
        <v>375.1</v>
      </c>
      <c r="E6392" s="59"/>
    </row>
    <row r="6393" spans="3:5" x14ac:dyDescent="0.15">
      <c r="C6393" s="255" t="s">
        <v>991</v>
      </c>
      <c r="D6393" s="59">
        <v>5054.5</v>
      </c>
      <c r="E6393" s="59"/>
    </row>
    <row r="6394" spans="3:5" x14ac:dyDescent="0.15">
      <c r="C6394" s="255" t="s">
        <v>992</v>
      </c>
      <c r="D6394" s="59">
        <v>7.4</v>
      </c>
      <c r="E6394" s="59"/>
    </row>
    <row r="6395" spans="3:5" x14ac:dyDescent="0.15">
      <c r="C6395" s="255" t="s">
        <v>993</v>
      </c>
      <c r="D6395" s="59">
        <v>103.5</v>
      </c>
      <c r="E6395" s="59"/>
    </row>
    <row r="6396" spans="3:5" x14ac:dyDescent="0.15">
      <c r="C6396" s="255" t="s">
        <v>994</v>
      </c>
      <c r="D6396" s="59">
        <v>0</v>
      </c>
      <c r="E6396" s="59"/>
    </row>
    <row r="6397" spans="3:5" x14ac:dyDescent="0.15">
      <c r="C6397" s="255" t="s">
        <v>995</v>
      </c>
      <c r="D6397" s="59">
        <v>894</v>
      </c>
      <c r="E6397" s="59"/>
    </row>
    <row r="6398" spans="3:5" x14ac:dyDescent="0.15">
      <c r="C6398" s="255" t="s">
        <v>996</v>
      </c>
      <c r="D6398" s="59">
        <v>320.2</v>
      </c>
      <c r="E6398" s="59"/>
    </row>
    <row r="6399" spans="3:5" x14ac:dyDescent="0.15">
      <c r="C6399" s="255" t="s">
        <v>997</v>
      </c>
      <c r="D6399" s="59">
        <v>235.4</v>
      </c>
      <c r="E6399" s="59"/>
    </row>
    <row r="6400" spans="3:5" x14ac:dyDescent="0.15">
      <c r="C6400" s="255" t="s">
        <v>998</v>
      </c>
      <c r="D6400" s="59">
        <v>78.599999999999994</v>
      </c>
      <c r="E6400" s="59"/>
    </row>
    <row r="6401" spans="3:5" x14ac:dyDescent="0.15">
      <c r="C6401" s="255" t="s">
        <v>999</v>
      </c>
      <c r="D6401" s="59">
        <v>5.3</v>
      </c>
      <c r="E6401" s="59"/>
    </row>
    <row r="6402" spans="3:5" x14ac:dyDescent="0.15">
      <c r="C6402" s="255" t="s">
        <v>1000</v>
      </c>
      <c r="D6402" s="59">
        <v>950.8</v>
      </c>
      <c r="E6402" s="59"/>
    </row>
    <row r="6403" spans="3:5" x14ac:dyDescent="0.15">
      <c r="C6403" s="255" t="s">
        <v>1001</v>
      </c>
      <c r="D6403" s="59">
        <v>492.3</v>
      </c>
      <c r="E6403" s="59"/>
    </row>
    <row r="6404" spans="3:5" x14ac:dyDescent="0.15">
      <c r="C6404" s="255" t="s">
        <v>1002</v>
      </c>
      <c r="D6404" s="59">
        <v>149.5</v>
      </c>
      <c r="E6404" s="59"/>
    </row>
    <row r="6405" spans="3:5" x14ac:dyDescent="0.15">
      <c r="C6405" s="255" t="s">
        <v>1003</v>
      </c>
      <c r="D6405" s="59">
        <v>85.7</v>
      </c>
      <c r="E6405" s="59"/>
    </row>
    <row r="6406" spans="3:5" x14ac:dyDescent="0.15">
      <c r="C6406" s="255" t="s">
        <v>1004</v>
      </c>
      <c r="D6406" s="59">
        <v>91.1</v>
      </c>
      <c r="E6406" s="59"/>
    </row>
    <row r="6407" spans="3:5" x14ac:dyDescent="0.15">
      <c r="C6407" s="255" t="s">
        <v>1005</v>
      </c>
      <c r="D6407" s="59">
        <v>51.3</v>
      </c>
      <c r="E6407" s="59"/>
    </row>
    <row r="6408" spans="3:5" x14ac:dyDescent="0.15">
      <c r="C6408" s="255" t="s">
        <v>1006</v>
      </c>
      <c r="D6408" s="59">
        <v>4514.8</v>
      </c>
      <c r="E6408" s="59"/>
    </row>
    <row r="6409" spans="3:5" x14ac:dyDescent="0.15">
      <c r="C6409" s="255" t="s">
        <v>1007</v>
      </c>
      <c r="D6409" s="59">
        <v>853.9</v>
      </c>
      <c r="E6409" s="59"/>
    </row>
    <row r="6410" spans="3:5" x14ac:dyDescent="0.15">
      <c r="C6410" s="255" t="s">
        <v>1008</v>
      </c>
      <c r="D6410" s="59">
        <v>436.5</v>
      </c>
      <c r="E6410" s="59"/>
    </row>
    <row r="6411" spans="3:5" x14ac:dyDescent="0.15">
      <c r="C6411" s="255" t="s">
        <v>1009</v>
      </c>
      <c r="D6411" s="59">
        <v>132.69999999999999</v>
      </c>
      <c r="E6411" s="59"/>
    </row>
    <row r="6412" spans="3:5" x14ac:dyDescent="0.15">
      <c r="C6412" s="255" t="s">
        <v>1010</v>
      </c>
      <c r="D6412" s="59">
        <v>190</v>
      </c>
      <c r="E6412" s="59"/>
    </row>
    <row r="6413" spans="3:5" x14ac:dyDescent="0.15">
      <c r="C6413" s="255" t="s">
        <v>1011</v>
      </c>
      <c r="D6413" s="59">
        <v>94.7</v>
      </c>
      <c r="E6413" s="59"/>
    </row>
    <row r="6414" spans="3:5" x14ac:dyDescent="0.15">
      <c r="C6414" s="255" t="s">
        <v>1012</v>
      </c>
      <c r="D6414" s="59">
        <v>11343.3</v>
      </c>
      <c r="E6414" s="59"/>
    </row>
    <row r="6415" spans="3:5" x14ac:dyDescent="0.15">
      <c r="C6415" s="255" t="s">
        <v>1013</v>
      </c>
      <c r="D6415" s="59">
        <v>6507.4</v>
      </c>
      <c r="E6415" s="59"/>
    </row>
    <row r="6416" spans="3:5" x14ac:dyDescent="0.15">
      <c r="C6416" s="255" t="s">
        <v>1014</v>
      </c>
      <c r="D6416" s="59">
        <v>2018.6</v>
      </c>
      <c r="E6416" s="59"/>
    </row>
    <row r="6417" spans="3:5" x14ac:dyDescent="0.15">
      <c r="C6417" s="255" t="s">
        <v>1015</v>
      </c>
      <c r="D6417" s="59">
        <v>626.6</v>
      </c>
      <c r="E6417" s="59"/>
    </row>
    <row r="6418" spans="3:5" x14ac:dyDescent="0.15">
      <c r="C6418" s="255" t="s">
        <v>1016</v>
      </c>
      <c r="D6418" s="59">
        <v>1276.0999999999999</v>
      </c>
      <c r="E6418" s="59"/>
    </row>
    <row r="6419" spans="3:5" x14ac:dyDescent="0.15">
      <c r="C6419" s="255" t="s">
        <v>1017</v>
      </c>
      <c r="D6419" s="59">
        <v>914.6</v>
      </c>
      <c r="E6419" s="59"/>
    </row>
    <row r="6420" spans="3:5" x14ac:dyDescent="0.15">
      <c r="C6420" s="255" t="s">
        <v>1018</v>
      </c>
      <c r="D6420" s="59">
        <v>0</v>
      </c>
      <c r="E6420" s="59"/>
    </row>
    <row r="6421" spans="3:5" x14ac:dyDescent="0.15">
      <c r="C6421" s="255" t="s">
        <v>1019</v>
      </c>
      <c r="D6421" s="59">
        <v>20307</v>
      </c>
      <c r="E6421" s="59"/>
    </row>
    <row r="6422" spans="3:5" x14ac:dyDescent="0.15">
      <c r="C6422" s="255" t="s">
        <v>1020</v>
      </c>
      <c r="D6422" s="59">
        <v>318</v>
      </c>
      <c r="E6422" s="59"/>
    </row>
    <row r="6423" spans="3:5" x14ac:dyDescent="0.15">
      <c r="C6423" s="255" t="s">
        <v>1021</v>
      </c>
      <c r="D6423" s="59">
        <v>1245.0999999999999</v>
      </c>
      <c r="E6423" s="59"/>
    </row>
    <row r="6424" spans="3:5" x14ac:dyDescent="0.15">
      <c r="C6424" s="255" t="s">
        <v>1022</v>
      </c>
      <c r="D6424" s="59">
        <v>178.1</v>
      </c>
      <c r="E6424" s="59"/>
    </row>
    <row r="6425" spans="3:5" x14ac:dyDescent="0.15">
      <c r="C6425" s="255" t="s">
        <v>1023</v>
      </c>
      <c r="D6425" s="59">
        <v>131.19999999999999</v>
      </c>
      <c r="E6425" s="59"/>
    </row>
    <row r="6426" spans="3:5" x14ac:dyDescent="0.15">
      <c r="C6426" s="255" t="s">
        <v>1024</v>
      </c>
      <c r="D6426" s="59">
        <v>26.6</v>
      </c>
      <c r="E6426" s="59"/>
    </row>
    <row r="6427" spans="3:5" x14ac:dyDescent="0.15">
      <c r="C6427" s="255" t="s">
        <v>1025</v>
      </c>
      <c r="D6427" s="59">
        <v>211.3</v>
      </c>
      <c r="E6427" s="59"/>
    </row>
    <row r="6428" spans="3:5" x14ac:dyDescent="0.15">
      <c r="C6428" s="255" t="s">
        <v>1026</v>
      </c>
      <c r="D6428" s="59">
        <v>2890.3</v>
      </c>
      <c r="E6428" s="59"/>
    </row>
    <row r="6429" spans="3:5" x14ac:dyDescent="0.15">
      <c r="C6429" s="255" t="s">
        <v>1027</v>
      </c>
      <c r="D6429" s="59">
        <v>0</v>
      </c>
      <c r="E6429" s="59"/>
    </row>
    <row r="6430" spans="3:5" x14ac:dyDescent="0.15">
      <c r="C6430" s="255" t="s">
        <v>1028</v>
      </c>
      <c r="D6430" s="59">
        <v>499.2</v>
      </c>
      <c r="E6430" s="59"/>
    </row>
    <row r="6431" spans="3:5" x14ac:dyDescent="0.15">
      <c r="C6431" s="255" t="s">
        <v>1029</v>
      </c>
      <c r="D6431" s="59">
        <v>246.1</v>
      </c>
      <c r="E6431" s="59"/>
    </row>
    <row r="6432" spans="3:5" x14ac:dyDescent="0.15">
      <c r="C6432" s="255" t="s">
        <v>1030</v>
      </c>
      <c r="D6432" s="59">
        <v>132.1</v>
      </c>
      <c r="E6432" s="59"/>
    </row>
    <row r="6433" spans="3:5" x14ac:dyDescent="0.15">
      <c r="C6433" s="255" t="s">
        <v>1031</v>
      </c>
      <c r="D6433" s="59">
        <v>330.4</v>
      </c>
      <c r="E6433" s="59"/>
    </row>
    <row r="6434" spans="3:5" x14ac:dyDescent="0.15">
      <c r="C6434" s="255" t="s">
        <v>1032</v>
      </c>
      <c r="D6434" s="59">
        <v>55.6</v>
      </c>
      <c r="E6434" s="59"/>
    </row>
    <row r="6435" spans="3:5" x14ac:dyDescent="0.15">
      <c r="C6435" s="255" t="s">
        <v>1033</v>
      </c>
      <c r="D6435" s="59">
        <v>0</v>
      </c>
      <c r="E6435" s="59"/>
    </row>
    <row r="6436" spans="3:5" x14ac:dyDescent="0.15">
      <c r="C6436" s="255" t="s">
        <v>1034</v>
      </c>
      <c r="D6436" s="59">
        <v>144</v>
      </c>
      <c r="E6436" s="59"/>
    </row>
    <row r="6437" spans="3:5" x14ac:dyDescent="0.15">
      <c r="C6437" s="255" t="s">
        <v>1035</v>
      </c>
      <c r="D6437" s="59">
        <v>1003.6</v>
      </c>
      <c r="E6437" s="59"/>
    </row>
    <row r="6438" spans="3:5" x14ac:dyDescent="0.15">
      <c r="C6438" s="255" t="s">
        <v>1036</v>
      </c>
      <c r="D6438" s="59">
        <v>118.3</v>
      </c>
      <c r="E6438" s="59"/>
    </row>
    <row r="6439" spans="3:5" x14ac:dyDescent="0.15">
      <c r="C6439" s="255" t="s">
        <v>1037</v>
      </c>
      <c r="D6439" s="59">
        <v>479.7</v>
      </c>
      <c r="E6439" s="59"/>
    </row>
    <row r="6440" spans="3:5" x14ac:dyDescent="0.15">
      <c r="C6440" s="255" t="s">
        <v>1038</v>
      </c>
      <c r="D6440" s="59">
        <v>3943.7</v>
      </c>
      <c r="E6440" s="59"/>
    </row>
    <row r="6441" spans="3:5" x14ac:dyDescent="0.15">
      <c r="C6441" s="255" t="s">
        <v>1039</v>
      </c>
      <c r="D6441" s="59">
        <v>1113.2</v>
      </c>
      <c r="E6441" s="59"/>
    </row>
    <row r="6442" spans="3:5" x14ac:dyDescent="0.15">
      <c r="C6442" s="255" t="s">
        <v>1040</v>
      </c>
      <c r="D6442" s="59">
        <v>3900.5</v>
      </c>
      <c r="E6442" s="59"/>
    </row>
    <row r="6443" spans="3:5" x14ac:dyDescent="0.15">
      <c r="C6443" s="255" t="s">
        <v>1041</v>
      </c>
      <c r="D6443" s="59">
        <v>316.2</v>
      </c>
      <c r="E6443" s="59"/>
    </row>
    <row r="6444" spans="3:5" x14ac:dyDescent="0.15">
      <c r="C6444" s="255" t="s">
        <v>1042</v>
      </c>
      <c r="D6444" s="59">
        <v>1609.6</v>
      </c>
      <c r="E6444" s="59"/>
    </row>
    <row r="6445" spans="3:5" x14ac:dyDescent="0.15">
      <c r="C6445" s="255" t="s">
        <v>1043</v>
      </c>
      <c r="D6445" s="59">
        <v>668.7</v>
      </c>
      <c r="E6445" s="59"/>
    </row>
    <row r="6446" spans="3:5" x14ac:dyDescent="0.15">
      <c r="C6446" s="255" t="s">
        <v>1044</v>
      </c>
      <c r="D6446" s="59">
        <v>113.1</v>
      </c>
      <c r="E6446" s="59"/>
    </row>
    <row r="6447" spans="3:5" x14ac:dyDescent="0.15">
      <c r="C6447" s="255" t="s">
        <v>1045</v>
      </c>
      <c r="D6447" s="59">
        <v>58.7</v>
      </c>
      <c r="E6447" s="59"/>
    </row>
    <row r="6448" spans="3:5" x14ac:dyDescent="0.15">
      <c r="C6448" s="255" t="s">
        <v>1046</v>
      </c>
      <c r="D6448" s="59">
        <v>177.4</v>
      </c>
      <c r="E6448" s="59"/>
    </row>
    <row r="6449" spans="2:5" x14ac:dyDescent="0.15">
      <c r="C6449" s="255" t="s">
        <v>1047</v>
      </c>
      <c r="D6449" s="59">
        <v>237.4</v>
      </c>
      <c r="E6449" s="59"/>
    </row>
    <row r="6450" spans="2:5" x14ac:dyDescent="0.15">
      <c r="C6450" s="255" t="s">
        <v>1048</v>
      </c>
      <c r="D6450" s="59">
        <v>159</v>
      </c>
      <c r="E6450" s="59"/>
    </row>
    <row r="6451" spans="2:5" x14ac:dyDescent="0.15">
      <c r="B6451" s="255" t="s">
        <v>1065</v>
      </c>
      <c r="C6451" s="255" t="s">
        <v>743</v>
      </c>
      <c r="D6451" s="59">
        <v>584</v>
      </c>
      <c r="E6451" s="59"/>
    </row>
    <row r="6452" spans="2:5" x14ac:dyDescent="0.15">
      <c r="C6452" s="255" t="s">
        <v>744</v>
      </c>
      <c r="D6452" s="59">
        <v>567.70000000000005</v>
      </c>
      <c r="E6452" s="59"/>
    </row>
    <row r="6453" spans="2:5" x14ac:dyDescent="0.15">
      <c r="C6453" s="255" t="s">
        <v>745</v>
      </c>
      <c r="D6453" s="59">
        <v>1404.1</v>
      </c>
      <c r="E6453" s="59"/>
    </row>
    <row r="6454" spans="2:5" x14ac:dyDescent="0.15">
      <c r="C6454" s="255" t="s">
        <v>746</v>
      </c>
      <c r="D6454" s="59">
        <v>2.5</v>
      </c>
      <c r="E6454" s="59"/>
    </row>
    <row r="6455" spans="2:5" x14ac:dyDescent="0.15">
      <c r="C6455" s="255" t="s">
        <v>747</v>
      </c>
      <c r="D6455" s="59">
        <v>1.9</v>
      </c>
      <c r="E6455" s="59"/>
    </row>
    <row r="6456" spans="2:5" x14ac:dyDescent="0.15">
      <c r="C6456" s="255" t="s">
        <v>748</v>
      </c>
      <c r="D6456" s="59">
        <v>0.5</v>
      </c>
      <c r="E6456" s="59"/>
    </row>
    <row r="6457" spans="2:5" x14ac:dyDescent="0.15">
      <c r="C6457" s="255" t="s">
        <v>749</v>
      </c>
      <c r="D6457" s="59">
        <v>0.6</v>
      </c>
      <c r="E6457" s="59"/>
    </row>
    <row r="6458" spans="2:5" x14ac:dyDescent="0.15">
      <c r="C6458" s="255" t="s">
        <v>750</v>
      </c>
      <c r="D6458" s="59">
        <v>0.4</v>
      </c>
      <c r="E6458" s="59"/>
    </row>
    <row r="6459" spans="2:5" x14ac:dyDescent="0.15">
      <c r="C6459" s="255" t="s">
        <v>751</v>
      </c>
      <c r="D6459" s="59">
        <v>50.2</v>
      </c>
      <c r="E6459" s="59"/>
    </row>
    <row r="6460" spans="2:5" x14ac:dyDescent="0.15">
      <c r="C6460" s="255" t="s">
        <v>752</v>
      </c>
      <c r="D6460" s="59">
        <v>1.6</v>
      </c>
      <c r="E6460" s="59"/>
    </row>
    <row r="6461" spans="2:5" x14ac:dyDescent="0.15">
      <c r="C6461" s="255" t="s">
        <v>753</v>
      </c>
      <c r="D6461" s="59">
        <v>125.9</v>
      </c>
      <c r="E6461" s="59"/>
    </row>
    <row r="6462" spans="2:5" x14ac:dyDescent="0.15">
      <c r="C6462" s="255" t="s">
        <v>754</v>
      </c>
      <c r="D6462" s="59">
        <v>1950.4</v>
      </c>
      <c r="E6462" s="59"/>
    </row>
    <row r="6463" spans="2:5" x14ac:dyDescent="0.15">
      <c r="C6463" s="255" t="s">
        <v>192</v>
      </c>
      <c r="D6463" s="59">
        <v>327231</v>
      </c>
      <c r="E6463" s="59"/>
    </row>
    <row r="6464" spans="2:5" x14ac:dyDescent="0.15">
      <c r="C6464" s="255" t="s">
        <v>755</v>
      </c>
      <c r="D6464" s="59">
        <v>41704.6</v>
      </c>
      <c r="E6464" s="59"/>
    </row>
    <row r="6465" spans="3:5" x14ac:dyDescent="0.15">
      <c r="C6465" s="255" t="s">
        <v>756</v>
      </c>
      <c r="D6465" s="59">
        <v>139.6</v>
      </c>
      <c r="E6465" s="59"/>
    </row>
    <row r="6466" spans="3:5" x14ac:dyDescent="0.15">
      <c r="C6466" s="255" t="s">
        <v>757</v>
      </c>
      <c r="D6466" s="59">
        <v>123.1</v>
      </c>
      <c r="E6466" s="59"/>
    </row>
    <row r="6467" spans="3:5" x14ac:dyDescent="0.15">
      <c r="C6467" s="255" t="s">
        <v>758</v>
      </c>
      <c r="D6467" s="59">
        <v>2499.1</v>
      </c>
      <c r="E6467" s="59"/>
    </row>
    <row r="6468" spans="3:5" x14ac:dyDescent="0.15">
      <c r="C6468" s="255" t="s">
        <v>759</v>
      </c>
      <c r="D6468" s="59">
        <v>1510.9</v>
      </c>
      <c r="E6468" s="59"/>
    </row>
    <row r="6469" spans="3:5" x14ac:dyDescent="0.15">
      <c r="C6469" s="255" t="s">
        <v>760</v>
      </c>
      <c r="D6469" s="59">
        <v>162.69999999999999</v>
      </c>
      <c r="E6469" s="59"/>
    </row>
    <row r="6470" spans="3:5" x14ac:dyDescent="0.15">
      <c r="C6470" s="255" t="s">
        <v>761</v>
      </c>
      <c r="D6470" s="59">
        <v>487.8</v>
      </c>
      <c r="E6470" s="59"/>
    </row>
    <row r="6471" spans="3:5" x14ac:dyDescent="0.15">
      <c r="C6471" s="255" t="s">
        <v>762</v>
      </c>
      <c r="D6471" s="59">
        <v>428.3</v>
      </c>
      <c r="E6471" s="59"/>
    </row>
    <row r="6472" spans="3:5" x14ac:dyDescent="0.15">
      <c r="C6472" s="255" t="s">
        <v>763</v>
      </c>
      <c r="D6472" s="59">
        <v>204.6</v>
      </c>
      <c r="E6472" s="59"/>
    </row>
    <row r="6473" spans="3:5" x14ac:dyDescent="0.15">
      <c r="C6473" s="255" t="s">
        <v>764</v>
      </c>
      <c r="D6473" s="59">
        <v>2830.3</v>
      </c>
      <c r="E6473" s="59"/>
    </row>
    <row r="6474" spans="3:5" x14ac:dyDescent="0.15">
      <c r="C6474" s="255" t="s">
        <v>765</v>
      </c>
      <c r="D6474" s="59">
        <v>1518.7</v>
      </c>
      <c r="E6474" s="59"/>
    </row>
    <row r="6475" spans="3:5" x14ac:dyDescent="0.15">
      <c r="C6475" s="255" t="s">
        <v>766</v>
      </c>
      <c r="D6475" s="59">
        <v>257.60000000000002</v>
      </c>
      <c r="E6475" s="59"/>
    </row>
    <row r="6476" spans="3:5" x14ac:dyDescent="0.15">
      <c r="C6476" s="255" t="s">
        <v>767</v>
      </c>
      <c r="D6476" s="59">
        <v>1302.3</v>
      </c>
      <c r="E6476" s="59"/>
    </row>
    <row r="6477" spans="3:5" x14ac:dyDescent="0.15">
      <c r="C6477" s="255" t="s">
        <v>768</v>
      </c>
      <c r="D6477" s="59">
        <v>47.1</v>
      </c>
      <c r="E6477" s="59"/>
    </row>
    <row r="6478" spans="3:5" x14ac:dyDescent="0.15">
      <c r="C6478" s="255" t="s">
        <v>769</v>
      </c>
      <c r="D6478" s="59">
        <v>49.1</v>
      </c>
      <c r="E6478" s="59"/>
    </row>
    <row r="6479" spans="3:5" x14ac:dyDescent="0.15">
      <c r="C6479" s="255" t="s">
        <v>770</v>
      </c>
      <c r="D6479" s="59">
        <v>1818.4</v>
      </c>
      <c r="E6479" s="59"/>
    </row>
    <row r="6480" spans="3:5" x14ac:dyDescent="0.15">
      <c r="C6480" s="255" t="s">
        <v>771</v>
      </c>
      <c r="D6480" s="59">
        <v>1924</v>
      </c>
      <c r="E6480" s="59"/>
    </row>
    <row r="6481" spans="3:5" x14ac:dyDescent="0.15">
      <c r="C6481" s="255" t="s">
        <v>772</v>
      </c>
      <c r="D6481" s="59">
        <v>687.6</v>
      </c>
      <c r="E6481" s="59"/>
    </row>
    <row r="6482" spans="3:5" x14ac:dyDescent="0.15">
      <c r="C6482" s="255" t="s">
        <v>773</v>
      </c>
      <c r="D6482" s="59">
        <v>85.7</v>
      </c>
      <c r="E6482" s="59"/>
    </row>
    <row r="6483" spans="3:5" x14ac:dyDescent="0.15">
      <c r="C6483" s="255" t="s">
        <v>774</v>
      </c>
      <c r="D6483" s="59">
        <v>103.1</v>
      </c>
      <c r="E6483" s="59"/>
    </row>
    <row r="6484" spans="3:5" x14ac:dyDescent="0.15">
      <c r="C6484" s="255" t="s">
        <v>775</v>
      </c>
      <c r="D6484" s="59">
        <v>108.2</v>
      </c>
      <c r="E6484" s="59"/>
    </row>
    <row r="6485" spans="3:5" x14ac:dyDescent="0.15">
      <c r="C6485" s="255" t="s">
        <v>776</v>
      </c>
      <c r="D6485" s="59">
        <v>438.5</v>
      </c>
      <c r="E6485" s="59"/>
    </row>
    <row r="6486" spans="3:5" x14ac:dyDescent="0.15">
      <c r="C6486" s="255" t="s">
        <v>777</v>
      </c>
      <c r="D6486" s="59">
        <v>983.4</v>
      </c>
      <c r="E6486" s="59"/>
    </row>
    <row r="6487" spans="3:5" x14ac:dyDescent="0.15">
      <c r="C6487" s="255" t="s">
        <v>778</v>
      </c>
      <c r="D6487" s="59">
        <v>477.1</v>
      </c>
      <c r="E6487" s="59"/>
    </row>
    <row r="6488" spans="3:5" x14ac:dyDescent="0.15">
      <c r="C6488" s="255" t="s">
        <v>779</v>
      </c>
      <c r="D6488" s="59">
        <v>612.29999999999995</v>
      </c>
      <c r="E6488" s="59"/>
    </row>
    <row r="6489" spans="3:5" x14ac:dyDescent="0.15">
      <c r="C6489" s="255" t="s">
        <v>780</v>
      </c>
      <c r="D6489" s="59">
        <v>10.1</v>
      </c>
      <c r="E6489" s="59"/>
    </row>
    <row r="6490" spans="3:5" x14ac:dyDescent="0.15">
      <c r="C6490" s="255" t="s">
        <v>781</v>
      </c>
      <c r="D6490" s="59">
        <v>850</v>
      </c>
      <c r="E6490" s="59"/>
    </row>
    <row r="6491" spans="3:5" x14ac:dyDescent="0.15">
      <c r="C6491" s="255" t="s">
        <v>782</v>
      </c>
      <c r="D6491" s="59">
        <v>2104</v>
      </c>
      <c r="E6491" s="59"/>
    </row>
    <row r="6492" spans="3:5" x14ac:dyDescent="0.15">
      <c r="C6492" s="255" t="s">
        <v>783</v>
      </c>
      <c r="D6492" s="59">
        <v>739.9</v>
      </c>
      <c r="E6492" s="59"/>
    </row>
    <row r="6493" spans="3:5" x14ac:dyDescent="0.15">
      <c r="C6493" s="255" t="s">
        <v>784</v>
      </c>
      <c r="D6493" s="59">
        <v>694.7</v>
      </c>
      <c r="E6493" s="59"/>
    </row>
    <row r="6494" spans="3:5" x14ac:dyDescent="0.15">
      <c r="C6494" s="255" t="s">
        <v>785</v>
      </c>
      <c r="D6494" s="59">
        <v>620.79999999999995</v>
      </c>
      <c r="E6494" s="59"/>
    </row>
    <row r="6495" spans="3:5" x14ac:dyDescent="0.15">
      <c r="C6495" s="255" t="s">
        <v>786</v>
      </c>
      <c r="D6495" s="59">
        <v>147.6</v>
      </c>
      <c r="E6495" s="59"/>
    </row>
    <row r="6496" spans="3:5" x14ac:dyDescent="0.15">
      <c r="C6496" s="255" t="s">
        <v>787</v>
      </c>
      <c r="D6496" s="59">
        <v>113.5</v>
      </c>
      <c r="E6496" s="59"/>
    </row>
    <row r="6497" spans="3:5" x14ac:dyDescent="0.15">
      <c r="C6497" s="255" t="s">
        <v>788</v>
      </c>
      <c r="D6497" s="59">
        <v>110.7</v>
      </c>
      <c r="E6497" s="59"/>
    </row>
    <row r="6498" spans="3:5" x14ac:dyDescent="0.15">
      <c r="C6498" s="255" t="s">
        <v>789</v>
      </c>
      <c r="D6498" s="59">
        <v>8.4</v>
      </c>
      <c r="E6498" s="59"/>
    </row>
    <row r="6499" spans="3:5" x14ac:dyDescent="0.15">
      <c r="C6499" s="255" t="s">
        <v>790</v>
      </c>
      <c r="D6499" s="59">
        <v>2591.4</v>
      </c>
      <c r="E6499" s="59"/>
    </row>
    <row r="6500" spans="3:5" x14ac:dyDescent="0.15">
      <c r="C6500" s="255" t="s">
        <v>791</v>
      </c>
      <c r="D6500" s="59">
        <v>58.6</v>
      </c>
      <c r="E6500" s="59"/>
    </row>
    <row r="6501" spans="3:5" x14ac:dyDescent="0.15">
      <c r="C6501" s="255" t="s">
        <v>792</v>
      </c>
      <c r="D6501" s="59">
        <v>806.3</v>
      </c>
      <c r="E6501" s="59"/>
    </row>
    <row r="6502" spans="3:5" x14ac:dyDescent="0.15">
      <c r="C6502" s="255" t="s">
        <v>793</v>
      </c>
      <c r="D6502" s="59">
        <v>205.9</v>
      </c>
      <c r="E6502" s="59"/>
    </row>
    <row r="6503" spans="3:5" x14ac:dyDescent="0.15">
      <c r="C6503" s="255" t="s">
        <v>794</v>
      </c>
      <c r="D6503" s="59">
        <v>2760.3</v>
      </c>
      <c r="E6503" s="59"/>
    </row>
    <row r="6504" spans="3:5" x14ac:dyDescent="0.15">
      <c r="C6504" s="255" t="s">
        <v>795</v>
      </c>
      <c r="D6504" s="59">
        <v>239.4</v>
      </c>
      <c r="E6504" s="59"/>
    </row>
    <row r="6505" spans="3:5" x14ac:dyDescent="0.15">
      <c r="C6505" s="255" t="s">
        <v>796</v>
      </c>
      <c r="D6505" s="59">
        <v>624.4</v>
      </c>
      <c r="E6505" s="59"/>
    </row>
    <row r="6506" spans="3:5" x14ac:dyDescent="0.15">
      <c r="C6506" s="255" t="s">
        <v>797</v>
      </c>
      <c r="D6506" s="59">
        <v>720.3</v>
      </c>
      <c r="E6506" s="59"/>
    </row>
    <row r="6507" spans="3:5" x14ac:dyDescent="0.15">
      <c r="C6507" s="255" t="s">
        <v>798</v>
      </c>
      <c r="D6507" s="59">
        <v>357.2</v>
      </c>
      <c r="E6507" s="59"/>
    </row>
    <row r="6508" spans="3:5" x14ac:dyDescent="0.15">
      <c r="C6508" s="255" t="s">
        <v>799</v>
      </c>
      <c r="D6508" s="59">
        <v>105.8</v>
      </c>
      <c r="E6508" s="59"/>
    </row>
    <row r="6509" spans="3:5" x14ac:dyDescent="0.15">
      <c r="C6509" s="255" t="s">
        <v>800</v>
      </c>
      <c r="D6509" s="59">
        <v>117.7</v>
      </c>
      <c r="E6509" s="59"/>
    </row>
    <row r="6510" spans="3:5" x14ac:dyDescent="0.15">
      <c r="C6510" s="255" t="s">
        <v>801</v>
      </c>
      <c r="D6510" s="59">
        <v>292.2</v>
      </c>
      <c r="E6510" s="59"/>
    </row>
    <row r="6511" spans="3:5" x14ac:dyDescent="0.15">
      <c r="C6511" s="255" t="s">
        <v>802</v>
      </c>
      <c r="D6511" s="59">
        <v>1160.2</v>
      </c>
      <c r="E6511" s="59"/>
    </row>
    <row r="6512" spans="3:5" x14ac:dyDescent="0.15">
      <c r="C6512" s="255" t="s">
        <v>803</v>
      </c>
      <c r="D6512" s="59">
        <v>1432</v>
      </c>
      <c r="E6512" s="59"/>
    </row>
    <row r="6513" spans="3:5" x14ac:dyDescent="0.15">
      <c r="C6513" s="255" t="s">
        <v>804</v>
      </c>
      <c r="D6513" s="59">
        <v>819</v>
      </c>
      <c r="E6513" s="59"/>
    </row>
    <row r="6514" spans="3:5" x14ac:dyDescent="0.15">
      <c r="C6514" s="255" t="s">
        <v>805</v>
      </c>
      <c r="D6514" s="59">
        <v>31.5</v>
      </c>
      <c r="E6514" s="59"/>
    </row>
    <row r="6515" spans="3:5" x14ac:dyDescent="0.15">
      <c r="C6515" s="255" t="s">
        <v>806</v>
      </c>
      <c r="D6515" s="59">
        <v>852.6</v>
      </c>
      <c r="E6515" s="59"/>
    </row>
    <row r="6516" spans="3:5" x14ac:dyDescent="0.15">
      <c r="C6516" s="255" t="s">
        <v>807</v>
      </c>
      <c r="D6516" s="59">
        <v>376.4</v>
      </c>
      <c r="E6516" s="59"/>
    </row>
    <row r="6517" spans="3:5" x14ac:dyDescent="0.15">
      <c r="C6517" s="255" t="s">
        <v>808</v>
      </c>
      <c r="D6517" s="59">
        <v>56.4</v>
      </c>
      <c r="E6517" s="59"/>
    </row>
    <row r="6518" spans="3:5" x14ac:dyDescent="0.15">
      <c r="C6518" s="255" t="s">
        <v>809</v>
      </c>
      <c r="D6518" s="59">
        <v>330.8</v>
      </c>
      <c r="E6518" s="59"/>
    </row>
    <row r="6519" spans="3:5" x14ac:dyDescent="0.15">
      <c r="C6519" s="255" t="s">
        <v>810</v>
      </c>
      <c r="D6519" s="59">
        <v>214.4</v>
      </c>
      <c r="E6519" s="59"/>
    </row>
    <row r="6520" spans="3:5" x14ac:dyDescent="0.15">
      <c r="C6520" s="255" t="s">
        <v>811</v>
      </c>
      <c r="D6520" s="59">
        <v>1174.7</v>
      </c>
      <c r="E6520" s="59"/>
    </row>
    <row r="6521" spans="3:5" x14ac:dyDescent="0.15">
      <c r="C6521" s="255" t="s">
        <v>812</v>
      </c>
      <c r="D6521" s="59">
        <v>172.1</v>
      </c>
      <c r="E6521" s="59"/>
    </row>
    <row r="6522" spans="3:5" x14ac:dyDescent="0.15">
      <c r="C6522" s="255" t="s">
        <v>813</v>
      </c>
      <c r="D6522" s="59">
        <v>34.299999999999997</v>
      </c>
      <c r="E6522" s="59"/>
    </row>
    <row r="6523" spans="3:5" x14ac:dyDescent="0.15">
      <c r="C6523" s="255" t="s">
        <v>814</v>
      </c>
      <c r="D6523" s="59">
        <v>193.4</v>
      </c>
      <c r="E6523" s="59"/>
    </row>
    <row r="6524" spans="3:5" x14ac:dyDescent="0.15">
      <c r="C6524" s="255" t="s">
        <v>815</v>
      </c>
      <c r="D6524" s="59">
        <v>1137.3</v>
      </c>
      <c r="E6524" s="59"/>
    </row>
    <row r="6525" spans="3:5" x14ac:dyDescent="0.15">
      <c r="C6525" s="255" t="s">
        <v>816</v>
      </c>
      <c r="D6525" s="59">
        <v>641.1</v>
      </c>
      <c r="E6525" s="59"/>
    </row>
    <row r="6526" spans="3:5" x14ac:dyDescent="0.15">
      <c r="C6526" s="255" t="s">
        <v>817</v>
      </c>
      <c r="D6526" s="59">
        <v>7459.1</v>
      </c>
      <c r="E6526" s="59"/>
    </row>
    <row r="6527" spans="3:5" x14ac:dyDescent="0.15">
      <c r="C6527" s="255" t="s">
        <v>818</v>
      </c>
      <c r="D6527" s="59">
        <v>598.20000000000005</v>
      </c>
      <c r="E6527" s="59"/>
    </row>
    <row r="6528" spans="3:5" x14ac:dyDescent="0.15">
      <c r="C6528" s="255" t="s">
        <v>819</v>
      </c>
      <c r="D6528" s="59">
        <v>2.9</v>
      </c>
      <c r="E6528" s="59"/>
    </row>
    <row r="6529" spans="3:5" x14ac:dyDescent="0.15">
      <c r="C6529" s="255" t="s">
        <v>820</v>
      </c>
      <c r="D6529" s="59">
        <v>2603.5</v>
      </c>
      <c r="E6529" s="59"/>
    </row>
    <row r="6530" spans="3:5" x14ac:dyDescent="0.15">
      <c r="C6530" s="255" t="s">
        <v>821</v>
      </c>
      <c r="D6530" s="59">
        <v>60.7</v>
      </c>
      <c r="E6530" s="59"/>
    </row>
    <row r="6531" spans="3:5" x14ac:dyDescent="0.15">
      <c r="C6531" s="255" t="s">
        <v>822</v>
      </c>
      <c r="D6531" s="59">
        <v>122.7</v>
      </c>
      <c r="E6531" s="59"/>
    </row>
    <row r="6532" spans="3:5" x14ac:dyDescent="0.15">
      <c r="C6532" s="255" t="s">
        <v>823</v>
      </c>
      <c r="D6532" s="59">
        <v>2.9</v>
      </c>
      <c r="E6532" s="59"/>
    </row>
    <row r="6533" spans="3:5" x14ac:dyDescent="0.15">
      <c r="C6533" s="255" t="s">
        <v>824</v>
      </c>
      <c r="D6533" s="59">
        <v>702.8</v>
      </c>
      <c r="E6533" s="59"/>
    </row>
    <row r="6534" spans="3:5" x14ac:dyDescent="0.15">
      <c r="C6534" s="255" t="s">
        <v>825</v>
      </c>
      <c r="D6534" s="59">
        <v>613.29999999999995</v>
      </c>
      <c r="E6534" s="59"/>
    </row>
    <row r="6535" spans="3:5" x14ac:dyDescent="0.15">
      <c r="C6535" s="255" t="s">
        <v>826</v>
      </c>
      <c r="D6535" s="59">
        <v>11.7</v>
      </c>
      <c r="E6535" s="59"/>
    </row>
    <row r="6536" spans="3:5" x14ac:dyDescent="0.15">
      <c r="C6536" s="255" t="s">
        <v>827</v>
      </c>
      <c r="D6536" s="59">
        <v>0</v>
      </c>
      <c r="E6536" s="59"/>
    </row>
    <row r="6537" spans="3:5" x14ac:dyDescent="0.15">
      <c r="C6537" s="255" t="s">
        <v>828</v>
      </c>
      <c r="D6537" s="59">
        <v>2246</v>
      </c>
      <c r="E6537" s="59"/>
    </row>
    <row r="6538" spans="3:5" x14ac:dyDescent="0.15">
      <c r="C6538" s="255" t="s">
        <v>829</v>
      </c>
      <c r="D6538" s="59">
        <v>10.7</v>
      </c>
      <c r="E6538" s="59"/>
    </row>
    <row r="6539" spans="3:5" x14ac:dyDescent="0.15">
      <c r="C6539" s="255" t="s">
        <v>830</v>
      </c>
      <c r="D6539" s="59">
        <v>483.7</v>
      </c>
      <c r="E6539" s="59"/>
    </row>
    <row r="6540" spans="3:5" x14ac:dyDescent="0.15">
      <c r="C6540" s="255" t="s">
        <v>831</v>
      </c>
      <c r="D6540" s="59">
        <v>0</v>
      </c>
      <c r="E6540" s="59"/>
    </row>
    <row r="6541" spans="3:5" x14ac:dyDescent="0.15">
      <c r="C6541" s="255" t="s">
        <v>832</v>
      </c>
      <c r="D6541" s="59">
        <v>11819.2</v>
      </c>
      <c r="E6541" s="59"/>
    </row>
    <row r="6542" spans="3:5" x14ac:dyDescent="0.15">
      <c r="C6542" s="255" t="s">
        <v>833</v>
      </c>
      <c r="D6542" s="59">
        <v>52.6</v>
      </c>
      <c r="E6542" s="59"/>
    </row>
    <row r="6543" spans="3:5" x14ac:dyDescent="0.15">
      <c r="C6543" s="255" t="s">
        <v>834</v>
      </c>
      <c r="D6543" s="59">
        <v>2730.2</v>
      </c>
      <c r="E6543" s="59"/>
    </row>
    <row r="6544" spans="3:5" x14ac:dyDescent="0.15">
      <c r="C6544" s="255" t="s">
        <v>835</v>
      </c>
      <c r="D6544" s="59">
        <v>4941.2</v>
      </c>
      <c r="E6544" s="59"/>
    </row>
    <row r="6545" spans="3:5" x14ac:dyDescent="0.15">
      <c r="C6545" s="255" t="s">
        <v>836</v>
      </c>
      <c r="D6545" s="59">
        <v>1297.7</v>
      </c>
      <c r="E6545" s="59"/>
    </row>
    <row r="6546" spans="3:5" x14ac:dyDescent="0.15">
      <c r="C6546" s="255" t="s">
        <v>837</v>
      </c>
      <c r="D6546" s="59">
        <v>288</v>
      </c>
      <c r="E6546" s="59"/>
    </row>
    <row r="6547" spans="3:5" x14ac:dyDescent="0.15">
      <c r="C6547" s="255" t="s">
        <v>838</v>
      </c>
      <c r="D6547" s="59">
        <v>143.69999999999999</v>
      </c>
      <c r="E6547" s="59"/>
    </row>
    <row r="6548" spans="3:5" x14ac:dyDescent="0.15">
      <c r="C6548" s="255" t="s">
        <v>839</v>
      </c>
      <c r="D6548" s="59">
        <v>64.900000000000006</v>
      </c>
      <c r="E6548" s="59"/>
    </row>
    <row r="6549" spans="3:5" x14ac:dyDescent="0.15">
      <c r="C6549" s="255" t="s">
        <v>840</v>
      </c>
      <c r="D6549" s="59">
        <v>14.7</v>
      </c>
      <c r="E6549" s="59"/>
    </row>
    <row r="6550" spans="3:5" x14ac:dyDescent="0.15">
      <c r="C6550" s="255" t="s">
        <v>841</v>
      </c>
      <c r="D6550" s="59">
        <v>954.9</v>
      </c>
      <c r="E6550" s="59"/>
    </row>
    <row r="6551" spans="3:5" x14ac:dyDescent="0.15">
      <c r="C6551" s="255" t="s">
        <v>842</v>
      </c>
      <c r="D6551" s="59">
        <v>993.7</v>
      </c>
      <c r="E6551" s="59"/>
    </row>
    <row r="6552" spans="3:5" x14ac:dyDescent="0.15">
      <c r="C6552" s="255" t="s">
        <v>843</v>
      </c>
      <c r="D6552" s="59">
        <v>329.3</v>
      </c>
      <c r="E6552" s="59"/>
    </row>
    <row r="6553" spans="3:5" x14ac:dyDescent="0.15">
      <c r="C6553" s="255" t="s">
        <v>844</v>
      </c>
      <c r="D6553" s="59">
        <v>8.3000000000000007</v>
      </c>
      <c r="E6553" s="59"/>
    </row>
    <row r="6554" spans="3:5" x14ac:dyDescent="0.15">
      <c r="C6554" s="255" t="s">
        <v>845</v>
      </c>
      <c r="D6554" s="59">
        <v>98088</v>
      </c>
      <c r="E6554" s="59"/>
    </row>
    <row r="6555" spans="3:5" x14ac:dyDescent="0.15">
      <c r="C6555" s="255" t="s">
        <v>846</v>
      </c>
      <c r="D6555" s="59">
        <v>21745.1</v>
      </c>
      <c r="E6555" s="59"/>
    </row>
    <row r="6556" spans="3:5" x14ac:dyDescent="0.15">
      <c r="C6556" s="255" t="s">
        <v>847</v>
      </c>
      <c r="D6556" s="59">
        <v>107.2</v>
      </c>
      <c r="E6556" s="59"/>
    </row>
    <row r="6557" spans="3:5" x14ac:dyDescent="0.15">
      <c r="C6557" s="255" t="s">
        <v>848</v>
      </c>
      <c r="D6557" s="59">
        <v>35661.300000000003</v>
      </c>
      <c r="E6557" s="59"/>
    </row>
    <row r="6558" spans="3:5" x14ac:dyDescent="0.15">
      <c r="C6558" s="255" t="s">
        <v>849</v>
      </c>
      <c r="D6558" s="59">
        <v>3303.9</v>
      </c>
      <c r="E6558" s="59"/>
    </row>
    <row r="6559" spans="3:5" x14ac:dyDescent="0.15">
      <c r="C6559" s="255" t="s">
        <v>850</v>
      </c>
      <c r="D6559" s="59">
        <v>1872.9</v>
      </c>
      <c r="E6559" s="59"/>
    </row>
    <row r="6560" spans="3:5" x14ac:dyDescent="0.15">
      <c r="C6560" s="255" t="s">
        <v>851</v>
      </c>
      <c r="D6560" s="59">
        <v>0</v>
      </c>
      <c r="E6560" s="59"/>
    </row>
    <row r="6561" spans="3:5" x14ac:dyDescent="0.15">
      <c r="C6561" s="255" t="s">
        <v>852</v>
      </c>
      <c r="D6561" s="59">
        <v>0</v>
      </c>
      <c r="E6561" s="59"/>
    </row>
    <row r="6562" spans="3:5" x14ac:dyDescent="0.15">
      <c r="C6562" s="255" t="s">
        <v>853</v>
      </c>
      <c r="D6562" s="59">
        <v>225.5</v>
      </c>
      <c r="E6562" s="59"/>
    </row>
    <row r="6563" spans="3:5" x14ac:dyDescent="0.15">
      <c r="C6563" s="255" t="s">
        <v>854</v>
      </c>
      <c r="D6563" s="59">
        <v>0</v>
      </c>
      <c r="E6563" s="59"/>
    </row>
    <row r="6564" spans="3:5" x14ac:dyDescent="0.15">
      <c r="C6564" s="255" t="s">
        <v>855</v>
      </c>
      <c r="D6564" s="59">
        <v>375.8</v>
      </c>
      <c r="E6564" s="59"/>
    </row>
    <row r="6565" spans="3:5" x14ac:dyDescent="0.15">
      <c r="C6565" s="255" t="s">
        <v>856</v>
      </c>
      <c r="D6565" s="59">
        <v>2753.6</v>
      </c>
      <c r="E6565" s="59"/>
    </row>
    <row r="6566" spans="3:5" x14ac:dyDescent="0.15">
      <c r="C6566" s="255" t="s">
        <v>857</v>
      </c>
      <c r="D6566" s="59">
        <v>2216.6999999999998</v>
      </c>
      <c r="E6566" s="59"/>
    </row>
    <row r="6567" spans="3:5" x14ac:dyDescent="0.15">
      <c r="C6567" s="255" t="s">
        <v>858</v>
      </c>
      <c r="D6567" s="59">
        <v>2562.1999999999998</v>
      </c>
      <c r="E6567" s="59"/>
    </row>
    <row r="6568" spans="3:5" x14ac:dyDescent="0.15">
      <c r="C6568" s="255" t="s">
        <v>859</v>
      </c>
      <c r="D6568" s="59">
        <v>2607.3000000000002</v>
      </c>
      <c r="E6568" s="59"/>
    </row>
    <row r="6569" spans="3:5" x14ac:dyDescent="0.15">
      <c r="C6569" s="255" t="s">
        <v>860</v>
      </c>
      <c r="D6569" s="59">
        <v>188.1</v>
      </c>
      <c r="E6569" s="59"/>
    </row>
    <row r="6570" spans="3:5" x14ac:dyDescent="0.15">
      <c r="C6570" s="255" t="s">
        <v>861</v>
      </c>
      <c r="D6570" s="59">
        <v>2177.6</v>
      </c>
      <c r="E6570" s="59"/>
    </row>
    <row r="6571" spans="3:5" x14ac:dyDescent="0.15">
      <c r="C6571" s="255" t="s">
        <v>862</v>
      </c>
      <c r="D6571" s="59">
        <v>8109.6</v>
      </c>
      <c r="E6571" s="59"/>
    </row>
    <row r="6572" spans="3:5" x14ac:dyDescent="0.15">
      <c r="C6572" s="255" t="s">
        <v>863</v>
      </c>
      <c r="D6572" s="59">
        <v>1947.3</v>
      </c>
      <c r="E6572" s="59"/>
    </row>
    <row r="6573" spans="3:5" x14ac:dyDescent="0.15">
      <c r="C6573" s="255" t="s">
        <v>864</v>
      </c>
      <c r="D6573" s="59">
        <v>38.4</v>
      </c>
      <c r="E6573" s="59"/>
    </row>
    <row r="6574" spans="3:5" x14ac:dyDescent="0.15">
      <c r="C6574" s="255" t="s">
        <v>865</v>
      </c>
      <c r="D6574" s="59">
        <v>734.4</v>
      </c>
      <c r="E6574" s="59"/>
    </row>
    <row r="6575" spans="3:5" x14ac:dyDescent="0.15">
      <c r="C6575" s="255" t="s">
        <v>866</v>
      </c>
      <c r="D6575" s="59">
        <v>101.2</v>
      </c>
      <c r="E6575" s="59"/>
    </row>
    <row r="6576" spans="3:5" x14ac:dyDescent="0.15">
      <c r="C6576" s="255" t="s">
        <v>867</v>
      </c>
      <c r="D6576" s="59">
        <v>1559.8</v>
      </c>
      <c r="E6576" s="59"/>
    </row>
    <row r="6577" spans="3:5" x14ac:dyDescent="0.15">
      <c r="C6577" s="255" t="s">
        <v>868</v>
      </c>
      <c r="D6577" s="59">
        <v>9800</v>
      </c>
      <c r="E6577" s="59"/>
    </row>
    <row r="6578" spans="3:5" x14ac:dyDescent="0.15">
      <c r="C6578" s="255" t="s">
        <v>869</v>
      </c>
      <c r="D6578" s="59">
        <v>17246.900000000001</v>
      </c>
      <c r="E6578" s="59"/>
    </row>
    <row r="6579" spans="3:5" x14ac:dyDescent="0.15">
      <c r="C6579" s="255" t="s">
        <v>870</v>
      </c>
      <c r="D6579" s="59">
        <v>3356.1</v>
      </c>
      <c r="E6579" s="59"/>
    </row>
    <row r="6580" spans="3:5" x14ac:dyDescent="0.15">
      <c r="C6580" s="255" t="s">
        <v>871</v>
      </c>
      <c r="D6580" s="59">
        <v>1027.4000000000001</v>
      </c>
      <c r="E6580" s="59"/>
    </row>
    <row r="6581" spans="3:5" x14ac:dyDescent="0.15">
      <c r="C6581" s="255" t="s">
        <v>872</v>
      </c>
      <c r="D6581" s="59">
        <v>622.29999999999995</v>
      </c>
      <c r="E6581" s="59"/>
    </row>
    <row r="6582" spans="3:5" x14ac:dyDescent="0.15">
      <c r="C6582" s="255" t="s">
        <v>873</v>
      </c>
      <c r="D6582" s="59">
        <v>665.5</v>
      </c>
      <c r="E6582" s="59"/>
    </row>
    <row r="6583" spans="3:5" x14ac:dyDescent="0.15">
      <c r="C6583" s="255" t="s">
        <v>874</v>
      </c>
      <c r="D6583" s="59">
        <v>212.7</v>
      </c>
      <c r="E6583" s="59"/>
    </row>
    <row r="6584" spans="3:5" x14ac:dyDescent="0.15">
      <c r="C6584" s="255" t="s">
        <v>875</v>
      </c>
      <c r="D6584" s="59">
        <v>50.5</v>
      </c>
      <c r="E6584" s="59"/>
    </row>
    <row r="6585" spans="3:5" x14ac:dyDescent="0.15">
      <c r="C6585" s="255" t="s">
        <v>876</v>
      </c>
      <c r="D6585" s="59">
        <v>14.7</v>
      </c>
      <c r="E6585" s="59"/>
    </row>
    <row r="6586" spans="3:5" x14ac:dyDescent="0.15">
      <c r="C6586" s="255" t="s">
        <v>877</v>
      </c>
      <c r="D6586" s="59">
        <v>42.2</v>
      </c>
      <c r="E6586" s="59"/>
    </row>
    <row r="6587" spans="3:5" x14ac:dyDescent="0.15">
      <c r="C6587" s="255" t="s">
        <v>878</v>
      </c>
      <c r="D6587" s="59">
        <v>120.1</v>
      </c>
      <c r="E6587" s="59"/>
    </row>
    <row r="6588" spans="3:5" x14ac:dyDescent="0.15">
      <c r="C6588" s="255" t="s">
        <v>879</v>
      </c>
      <c r="D6588" s="59">
        <v>966.1</v>
      </c>
      <c r="E6588" s="59"/>
    </row>
    <row r="6589" spans="3:5" x14ac:dyDescent="0.15">
      <c r="C6589" s="255" t="s">
        <v>880</v>
      </c>
      <c r="D6589" s="59">
        <v>91.6</v>
      </c>
      <c r="E6589" s="59"/>
    </row>
    <row r="6590" spans="3:5" x14ac:dyDescent="0.15">
      <c r="C6590" s="255" t="s">
        <v>881</v>
      </c>
      <c r="D6590" s="59">
        <v>0</v>
      </c>
      <c r="E6590" s="59"/>
    </row>
    <row r="6591" spans="3:5" x14ac:dyDescent="0.15">
      <c r="C6591" s="255" t="s">
        <v>882</v>
      </c>
      <c r="D6591" s="59">
        <v>188.6</v>
      </c>
      <c r="E6591" s="59"/>
    </row>
    <row r="6592" spans="3:5" x14ac:dyDescent="0.15">
      <c r="C6592" s="255" t="s">
        <v>883</v>
      </c>
      <c r="D6592" s="59">
        <v>552.6</v>
      </c>
      <c r="E6592" s="59"/>
    </row>
    <row r="6593" spans="3:5" x14ac:dyDescent="0.15">
      <c r="C6593" s="255" t="s">
        <v>884</v>
      </c>
      <c r="D6593" s="59">
        <v>1138.9000000000001</v>
      </c>
      <c r="E6593" s="59"/>
    </row>
    <row r="6594" spans="3:5" x14ac:dyDescent="0.15">
      <c r="C6594" s="255" t="s">
        <v>885</v>
      </c>
      <c r="D6594" s="59">
        <v>276.7</v>
      </c>
      <c r="E6594" s="59"/>
    </row>
    <row r="6595" spans="3:5" x14ac:dyDescent="0.15">
      <c r="C6595" s="255" t="s">
        <v>886</v>
      </c>
      <c r="D6595" s="59">
        <v>56</v>
      </c>
      <c r="E6595" s="59"/>
    </row>
    <row r="6596" spans="3:5" x14ac:dyDescent="0.15">
      <c r="C6596" s="255" t="s">
        <v>887</v>
      </c>
      <c r="D6596" s="59">
        <v>90.8</v>
      </c>
      <c r="E6596" s="59"/>
    </row>
    <row r="6597" spans="3:5" x14ac:dyDescent="0.15">
      <c r="C6597" s="255" t="s">
        <v>888</v>
      </c>
      <c r="D6597" s="59">
        <v>1.5</v>
      </c>
      <c r="E6597" s="59"/>
    </row>
    <row r="6598" spans="3:5" x14ac:dyDescent="0.15">
      <c r="C6598" s="255" t="s">
        <v>889</v>
      </c>
      <c r="D6598" s="59">
        <v>117</v>
      </c>
      <c r="E6598" s="59"/>
    </row>
    <row r="6599" spans="3:5" x14ac:dyDescent="0.15">
      <c r="C6599" s="255" t="s">
        <v>890</v>
      </c>
      <c r="D6599" s="59">
        <v>185.8</v>
      </c>
      <c r="E6599" s="59"/>
    </row>
    <row r="6600" spans="3:5" x14ac:dyDescent="0.15">
      <c r="C6600" s="255" t="s">
        <v>891</v>
      </c>
      <c r="D6600" s="59">
        <v>10.1</v>
      </c>
      <c r="E6600" s="59"/>
    </row>
    <row r="6601" spans="3:5" x14ac:dyDescent="0.15">
      <c r="C6601" s="255" t="s">
        <v>892</v>
      </c>
      <c r="D6601" s="59">
        <v>15.5</v>
      </c>
      <c r="E6601" s="59"/>
    </row>
    <row r="6602" spans="3:5" x14ac:dyDescent="0.15">
      <c r="C6602" s="255" t="s">
        <v>893</v>
      </c>
      <c r="D6602" s="59">
        <v>246.6</v>
      </c>
      <c r="E6602" s="59"/>
    </row>
    <row r="6603" spans="3:5" x14ac:dyDescent="0.15">
      <c r="C6603" s="255" t="s">
        <v>894</v>
      </c>
      <c r="D6603" s="59">
        <v>0</v>
      </c>
      <c r="E6603" s="59"/>
    </row>
    <row r="6604" spans="3:5" x14ac:dyDescent="0.15">
      <c r="C6604" s="255" t="s">
        <v>895</v>
      </c>
      <c r="D6604" s="59">
        <v>525.79999999999995</v>
      </c>
      <c r="E6604" s="59"/>
    </row>
    <row r="6605" spans="3:5" x14ac:dyDescent="0.15">
      <c r="C6605" s="255" t="s">
        <v>896</v>
      </c>
      <c r="D6605" s="59">
        <v>31.1</v>
      </c>
      <c r="E6605" s="59"/>
    </row>
    <row r="6606" spans="3:5" x14ac:dyDescent="0.15">
      <c r="C6606" s="255" t="s">
        <v>897</v>
      </c>
      <c r="D6606" s="59">
        <v>1295.8</v>
      </c>
      <c r="E6606" s="59"/>
    </row>
    <row r="6607" spans="3:5" x14ac:dyDescent="0.15">
      <c r="C6607" s="255" t="s">
        <v>898</v>
      </c>
      <c r="D6607" s="59">
        <v>709.3</v>
      </c>
      <c r="E6607" s="59"/>
    </row>
    <row r="6608" spans="3:5" x14ac:dyDescent="0.15">
      <c r="C6608" s="255" t="s">
        <v>899</v>
      </c>
      <c r="D6608" s="59">
        <v>50.4</v>
      </c>
      <c r="E6608" s="59"/>
    </row>
    <row r="6609" spans="3:5" x14ac:dyDescent="0.15">
      <c r="C6609" s="255" t="s">
        <v>900</v>
      </c>
      <c r="D6609" s="59">
        <v>589.29999999999995</v>
      </c>
      <c r="E6609" s="59"/>
    </row>
    <row r="6610" spans="3:5" x14ac:dyDescent="0.15">
      <c r="C6610" s="255" t="s">
        <v>901</v>
      </c>
      <c r="D6610" s="59">
        <v>794</v>
      </c>
      <c r="E6610" s="59"/>
    </row>
    <row r="6611" spans="3:5" x14ac:dyDescent="0.15">
      <c r="C6611" s="255" t="s">
        <v>902</v>
      </c>
      <c r="D6611" s="59">
        <v>35.299999999999997</v>
      </c>
      <c r="E6611" s="59"/>
    </row>
    <row r="6612" spans="3:5" x14ac:dyDescent="0.15">
      <c r="C6612" s="255" t="s">
        <v>903</v>
      </c>
      <c r="D6612" s="59">
        <v>906.5</v>
      </c>
      <c r="E6612" s="59"/>
    </row>
    <row r="6613" spans="3:5" x14ac:dyDescent="0.15">
      <c r="C6613" s="255" t="s">
        <v>904</v>
      </c>
      <c r="D6613" s="59">
        <v>1382.1</v>
      </c>
      <c r="E6613" s="59"/>
    </row>
    <row r="6614" spans="3:5" x14ac:dyDescent="0.15">
      <c r="C6614" s="255" t="s">
        <v>905</v>
      </c>
      <c r="D6614" s="59">
        <v>324.60000000000002</v>
      </c>
      <c r="E6614" s="59"/>
    </row>
    <row r="6615" spans="3:5" x14ac:dyDescent="0.15">
      <c r="C6615" s="255" t="s">
        <v>906</v>
      </c>
      <c r="D6615" s="59">
        <v>115.4</v>
      </c>
      <c r="E6615" s="59"/>
    </row>
    <row r="6616" spans="3:5" x14ac:dyDescent="0.15">
      <c r="C6616" s="255" t="s">
        <v>907</v>
      </c>
      <c r="D6616" s="59">
        <v>438.1</v>
      </c>
      <c r="E6616" s="59"/>
    </row>
    <row r="6617" spans="3:5" x14ac:dyDescent="0.15">
      <c r="C6617" s="255" t="s">
        <v>908</v>
      </c>
      <c r="D6617" s="59">
        <v>9390</v>
      </c>
      <c r="E6617" s="59"/>
    </row>
    <row r="6618" spans="3:5" x14ac:dyDescent="0.15">
      <c r="C6618" s="255" t="s">
        <v>909</v>
      </c>
      <c r="D6618" s="59">
        <v>3085.7</v>
      </c>
      <c r="E6618" s="59"/>
    </row>
    <row r="6619" spans="3:5" x14ac:dyDescent="0.15">
      <c r="C6619" s="255" t="s">
        <v>910</v>
      </c>
      <c r="D6619" s="59">
        <v>2.9</v>
      </c>
      <c r="E6619" s="59"/>
    </row>
    <row r="6620" spans="3:5" x14ac:dyDescent="0.15">
      <c r="C6620" s="255" t="s">
        <v>911</v>
      </c>
      <c r="D6620" s="59">
        <v>426.5</v>
      </c>
      <c r="E6620" s="59"/>
    </row>
    <row r="6621" spans="3:5" x14ac:dyDescent="0.15">
      <c r="C6621" s="255" t="s">
        <v>912</v>
      </c>
      <c r="D6621" s="59">
        <v>965.5</v>
      </c>
      <c r="E6621" s="59"/>
    </row>
    <row r="6622" spans="3:5" x14ac:dyDescent="0.15">
      <c r="C6622" s="255" t="s">
        <v>913</v>
      </c>
      <c r="D6622" s="59">
        <v>0</v>
      </c>
      <c r="E6622" s="59"/>
    </row>
    <row r="6623" spans="3:5" x14ac:dyDescent="0.15">
      <c r="C6623" s="255" t="s">
        <v>914</v>
      </c>
      <c r="D6623" s="59">
        <v>3.1</v>
      </c>
      <c r="E6623" s="59"/>
    </row>
    <row r="6624" spans="3:5" x14ac:dyDescent="0.15">
      <c r="C6624" s="255" t="s">
        <v>915</v>
      </c>
      <c r="D6624" s="59">
        <v>64.400000000000006</v>
      </c>
      <c r="E6624" s="59"/>
    </row>
    <row r="6625" spans="3:5" x14ac:dyDescent="0.15">
      <c r="C6625" s="255" t="s">
        <v>916</v>
      </c>
      <c r="D6625" s="59">
        <v>522.9</v>
      </c>
      <c r="E6625" s="59"/>
    </row>
    <row r="6626" spans="3:5" x14ac:dyDescent="0.15">
      <c r="C6626" s="255" t="s">
        <v>917</v>
      </c>
      <c r="D6626" s="59">
        <v>9.6</v>
      </c>
      <c r="E6626" s="59"/>
    </row>
    <row r="6627" spans="3:5" x14ac:dyDescent="0.15">
      <c r="C6627" s="255" t="s">
        <v>918</v>
      </c>
      <c r="D6627" s="59">
        <v>2973.7</v>
      </c>
      <c r="E6627" s="59"/>
    </row>
    <row r="6628" spans="3:5" x14ac:dyDescent="0.15">
      <c r="C6628" s="255" t="s">
        <v>919</v>
      </c>
      <c r="D6628" s="59">
        <v>0</v>
      </c>
      <c r="E6628" s="59"/>
    </row>
    <row r="6629" spans="3:5" x14ac:dyDescent="0.15">
      <c r="C6629" s="255" t="s">
        <v>920</v>
      </c>
      <c r="D6629" s="59">
        <v>1335.5</v>
      </c>
      <c r="E6629" s="59"/>
    </row>
    <row r="6630" spans="3:5" x14ac:dyDescent="0.15">
      <c r="C6630" s="255" t="s">
        <v>921</v>
      </c>
      <c r="D6630" s="59">
        <v>0.2</v>
      </c>
      <c r="E6630" s="59"/>
    </row>
    <row r="6631" spans="3:5" x14ac:dyDescent="0.15">
      <c r="C6631" s="255" t="s">
        <v>922</v>
      </c>
      <c r="D6631" s="59">
        <v>48542.9</v>
      </c>
      <c r="E6631" s="59"/>
    </row>
    <row r="6632" spans="3:5" x14ac:dyDescent="0.15">
      <c r="C6632" s="255" t="s">
        <v>923</v>
      </c>
      <c r="D6632" s="59">
        <v>14725.7</v>
      </c>
      <c r="E6632" s="59"/>
    </row>
    <row r="6633" spans="3:5" x14ac:dyDescent="0.15">
      <c r="C6633" s="255" t="s">
        <v>924</v>
      </c>
      <c r="D6633" s="59">
        <v>4644.8</v>
      </c>
      <c r="E6633" s="59"/>
    </row>
    <row r="6634" spans="3:5" x14ac:dyDescent="0.15">
      <c r="C6634" s="255" t="s">
        <v>925</v>
      </c>
      <c r="D6634" s="59">
        <v>375.2</v>
      </c>
      <c r="E6634" s="59"/>
    </row>
    <row r="6635" spans="3:5" x14ac:dyDescent="0.15">
      <c r="C6635" s="255" t="s">
        <v>926</v>
      </c>
      <c r="D6635" s="59">
        <v>881.3</v>
      </c>
      <c r="E6635" s="59"/>
    </row>
    <row r="6636" spans="3:5" x14ac:dyDescent="0.15">
      <c r="C6636" s="255" t="s">
        <v>927</v>
      </c>
      <c r="D6636" s="59">
        <v>1013.9</v>
      </c>
      <c r="E6636" s="59"/>
    </row>
    <row r="6637" spans="3:5" x14ac:dyDescent="0.15">
      <c r="C6637" s="255" t="s">
        <v>928</v>
      </c>
      <c r="D6637" s="59">
        <v>1523.2</v>
      </c>
      <c r="E6637" s="59"/>
    </row>
    <row r="6638" spans="3:5" x14ac:dyDescent="0.15">
      <c r="C6638" s="255" t="s">
        <v>929</v>
      </c>
      <c r="D6638" s="59">
        <v>208.4</v>
      </c>
      <c r="E6638" s="59"/>
    </row>
    <row r="6639" spans="3:5" x14ac:dyDescent="0.15">
      <c r="C6639" s="255" t="s">
        <v>930</v>
      </c>
      <c r="D6639" s="59">
        <v>2378.1999999999998</v>
      </c>
      <c r="E6639" s="59"/>
    </row>
    <row r="6640" spans="3:5" x14ac:dyDescent="0.15">
      <c r="C6640" s="255" t="s">
        <v>931</v>
      </c>
      <c r="D6640" s="59">
        <v>6530.1</v>
      </c>
      <c r="E6640" s="59"/>
    </row>
    <row r="6641" spans="3:5" x14ac:dyDescent="0.15">
      <c r="C6641" s="255" t="s">
        <v>932</v>
      </c>
      <c r="D6641" s="59">
        <v>0</v>
      </c>
      <c r="E6641" s="59"/>
    </row>
    <row r="6642" spans="3:5" x14ac:dyDescent="0.15">
      <c r="C6642" s="255" t="s">
        <v>933</v>
      </c>
      <c r="D6642" s="59">
        <v>114.4</v>
      </c>
      <c r="E6642" s="59"/>
    </row>
    <row r="6643" spans="3:5" x14ac:dyDescent="0.15">
      <c r="C6643" s="255" t="s">
        <v>934</v>
      </c>
      <c r="D6643" s="59">
        <v>4880.8</v>
      </c>
      <c r="E6643" s="59"/>
    </row>
    <row r="6644" spans="3:5" x14ac:dyDescent="0.15">
      <c r="C6644" s="255" t="s">
        <v>935</v>
      </c>
      <c r="D6644" s="59">
        <v>1837.5</v>
      </c>
      <c r="E6644" s="59"/>
    </row>
    <row r="6645" spans="3:5" x14ac:dyDescent="0.15">
      <c r="C6645" s="255" t="s">
        <v>936</v>
      </c>
      <c r="D6645" s="59">
        <v>4729.1000000000004</v>
      </c>
      <c r="E6645" s="59"/>
    </row>
    <row r="6646" spans="3:5" x14ac:dyDescent="0.15">
      <c r="C6646" s="255" t="s">
        <v>937</v>
      </c>
      <c r="D6646" s="59">
        <v>526.6</v>
      </c>
      <c r="E6646" s="59"/>
    </row>
    <row r="6647" spans="3:5" x14ac:dyDescent="0.15">
      <c r="C6647" s="255" t="s">
        <v>938</v>
      </c>
      <c r="D6647" s="59">
        <v>245.5</v>
      </c>
      <c r="E6647" s="59"/>
    </row>
    <row r="6648" spans="3:5" x14ac:dyDescent="0.15">
      <c r="C6648" s="255" t="s">
        <v>939</v>
      </c>
      <c r="D6648" s="59">
        <v>9.8000000000000007</v>
      </c>
      <c r="E6648" s="59"/>
    </row>
    <row r="6649" spans="3:5" x14ac:dyDescent="0.15">
      <c r="C6649" s="255" t="s">
        <v>940</v>
      </c>
      <c r="D6649" s="59">
        <v>111.2</v>
      </c>
      <c r="E6649" s="59"/>
    </row>
    <row r="6650" spans="3:5" x14ac:dyDescent="0.15">
      <c r="C6650" s="255" t="s">
        <v>941</v>
      </c>
      <c r="D6650" s="59">
        <v>159.9</v>
      </c>
      <c r="E6650" s="59"/>
    </row>
    <row r="6651" spans="3:5" x14ac:dyDescent="0.15">
      <c r="C6651" s="255" t="s">
        <v>942</v>
      </c>
      <c r="D6651" s="59">
        <v>81.8</v>
      </c>
      <c r="E6651" s="59"/>
    </row>
    <row r="6652" spans="3:5" x14ac:dyDescent="0.15">
      <c r="C6652" s="255" t="s">
        <v>943</v>
      </c>
      <c r="D6652" s="59">
        <v>1515</v>
      </c>
      <c r="E6652" s="59"/>
    </row>
    <row r="6653" spans="3:5" x14ac:dyDescent="0.15">
      <c r="C6653" s="255" t="s">
        <v>944</v>
      </c>
      <c r="D6653" s="59">
        <v>635.1</v>
      </c>
      <c r="E6653" s="59"/>
    </row>
    <row r="6654" spans="3:5" x14ac:dyDescent="0.15">
      <c r="C6654" s="255" t="s">
        <v>945</v>
      </c>
      <c r="D6654" s="59">
        <v>1327.6</v>
      </c>
      <c r="E6654" s="59"/>
    </row>
    <row r="6655" spans="3:5" x14ac:dyDescent="0.15">
      <c r="C6655" s="255" t="s">
        <v>946</v>
      </c>
      <c r="D6655" s="59">
        <v>58.4</v>
      </c>
      <c r="E6655" s="59"/>
    </row>
    <row r="6656" spans="3:5" x14ac:dyDescent="0.15">
      <c r="C6656" s="255" t="s">
        <v>947</v>
      </c>
      <c r="D6656" s="59">
        <v>29.4</v>
      </c>
      <c r="E6656" s="59"/>
    </row>
    <row r="6657" spans="3:5" x14ac:dyDescent="0.15">
      <c r="C6657" s="255" t="s">
        <v>948</v>
      </c>
      <c r="D6657" s="59">
        <v>8961.1</v>
      </c>
      <c r="E6657" s="59"/>
    </row>
    <row r="6658" spans="3:5" x14ac:dyDescent="0.15">
      <c r="C6658" s="255" t="s">
        <v>949</v>
      </c>
      <c r="D6658" s="59">
        <v>218.2</v>
      </c>
      <c r="E6658" s="59"/>
    </row>
    <row r="6659" spans="3:5" x14ac:dyDescent="0.15">
      <c r="C6659" s="255" t="s">
        <v>950</v>
      </c>
      <c r="D6659" s="59">
        <v>2.2000000000000002</v>
      </c>
      <c r="E6659" s="59"/>
    </row>
    <row r="6660" spans="3:5" x14ac:dyDescent="0.15">
      <c r="C6660" s="255" t="s">
        <v>951</v>
      </c>
      <c r="D6660" s="59">
        <v>1216.4000000000001</v>
      </c>
      <c r="E6660" s="59"/>
    </row>
    <row r="6661" spans="3:5" x14ac:dyDescent="0.15">
      <c r="C6661" s="255" t="s">
        <v>952</v>
      </c>
      <c r="D6661" s="59">
        <v>32</v>
      </c>
      <c r="E6661" s="59"/>
    </row>
    <row r="6662" spans="3:5" x14ac:dyDescent="0.15">
      <c r="C6662" s="255" t="s">
        <v>953</v>
      </c>
      <c r="D6662" s="59">
        <v>247.7</v>
      </c>
      <c r="E6662" s="59"/>
    </row>
    <row r="6663" spans="3:5" x14ac:dyDescent="0.15">
      <c r="C6663" s="255" t="s">
        <v>954</v>
      </c>
      <c r="D6663" s="59">
        <v>2727.5</v>
      </c>
      <c r="E6663" s="59"/>
    </row>
    <row r="6664" spans="3:5" x14ac:dyDescent="0.15">
      <c r="C6664" s="255" t="s">
        <v>955</v>
      </c>
      <c r="D6664" s="59">
        <v>1760.4</v>
      </c>
      <c r="E6664" s="59"/>
    </row>
    <row r="6665" spans="3:5" x14ac:dyDescent="0.15">
      <c r="C6665" s="255" t="s">
        <v>956</v>
      </c>
      <c r="D6665" s="59">
        <v>2756.7</v>
      </c>
      <c r="E6665" s="59"/>
    </row>
    <row r="6666" spans="3:5" x14ac:dyDescent="0.15">
      <c r="C6666" s="255" t="s">
        <v>957</v>
      </c>
      <c r="D6666" s="59">
        <v>29903.4</v>
      </c>
      <c r="E6666" s="59"/>
    </row>
    <row r="6667" spans="3:5" x14ac:dyDescent="0.15">
      <c r="C6667" s="255" t="s">
        <v>958</v>
      </c>
      <c r="D6667" s="59">
        <v>157.19999999999999</v>
      </c>
      <c r="E6667" s="59"/>
    </row>
    <row r="6668" spans="3:5" x14ac:dyDescent="0.15">
      <c r="C6668" s="255" t="s">
        <v>959</v>
      </c>
      <c r="D6668" s="59">
        <v>700.8</v>
      </c>
      <c r="E6668" s="59"/>
    </row>
    <row r="6669" spans="3:5" x14ac:dyDescent="0.15">
      <c r="C6669" s="255" t="s">
        <v>960</v>
      </c>
      <c r="D6669" s="59">
        <v>4.8</v>
      </c>
      <c r="E6669" s="59"/>
    </row>
    <row r="6670" spans="3:5" x14ac:dyDescent="0.15">
      <c r="C6670" s="255" t="s">
        <v>961</v>
      </c>
      <c r="D6670" s="59">
        <v>75.2</v>
      </c>
      <c r="E6670" s="59"/>
    </row>
    <row r="6671" spans="3:5" x14ac:dyDescent="0.15">
      <c r="C6671" s="255" t="s">
        <v>962</v>
      </c>
      <c r="D6671" s="59">
        <v>0</v>
      </c>
      <c r="E6671" s="59"/>
    </row>
    <row r="6672" spans="3:5" x14ac:dyDescent="0.15">
      <c r="C6672" s="255" t="s">
        <v>963</v>
      </c>
      <c r="D6672" s="59">
        <v>967.1</v>
      </c>
      <c r="E6672" s="59"/>
    </row>
    <row r="6673" spans="3:5" x14ac:dyDescent="0.15">
      <c r="C6673" s="255" t="s">
        <v>964</v>
      </c>
      <c r="D6673" s="59">
        <v>263.60000000000002</v>
      </c>
      <c r="E6673" s="59"/>
    </row>
    <row r="6674" spans="3:5" x14ac:dyDescent="0.15">
      <c r="C6674" s="255" t="s">
        <v>965</v>
      </c>
      <c r="D6674" s="59">
        <v>132.19999999999999</v>
      </c>
      <c r="E6674" s="59"/>
    </row>
    <row r="6675" spans="3:5" x14ac:dyDescent="0.15">
      <c r="C6675" s="255" t="s">
        <v>966</v>
      </c>
      <c r="D6675" s="59">
        <v>25.9</v>
      </c>
      <c r="E6675" s="59"/>
    </row>
    <row r="6676" spans="3:5" x14ac:dyDescent="0.15">
      <c r="C6676" s="255" t="s">
        <v>967</v>
      </c>
      <c r="D6676" s="59">
        <v>205.9</v>
      </c>
      <c r="E6676" s="59"/>
    </row>
    <row r="6677" spans="3:5" x14ac:dyDescent="0.15">
      <c r="C6677" s="255" t="s">
        <v>968</v>
      </c>
      <c r="D6677" s="59">
        <v>6.3</v>
      </c>
      <c r="E6677" s="59"/>
    </row>
    <row r="6678" spans="3:5" x14ac:dyDescent="0.15">
      <c r="C6678" s="255" t="s">
        <v>969</v>
      </c>
      <c r="D6678" s="59">
        <v>23.8</v>
      </c>
      <c r="E6678" s="59"/>
    </row>
    <row r="6679" spans="3:5" x14ac:dyDescent="0.15">
      <c r="C6679" s="255" t="s">
        <v>970</v>
      </c>
      <c r="D6679" s="59">
        <v>32.5</v>
      </c>
      <c r="E6679" s="59"/>
    </row>
    <row r="6680" spans="3:5" x14ac:dyDescent="0.15">
      <c r="C6680" s="255" t="s">
        <v>971</v>
      </c>
      <c r="D6680" s="59">
        <v>1096.8</v>
      </c>
      <c r="E6680" s="59"/>
    </row>
    <row r="6681" spans="3:5" x14ac:dyDescent="0.15">
      <c r="C6681" s="255" t="s">
        <v>972</v>
      </c>
      <c r="D6681" s="59">
        <v>457.2</v>
      </c>
      <c r="E6681" s="59"/>
    </row>
    <row r="6682" spans="3:5" x14ac:dyDescent="0.15">
      <c r="C6682" s="255" t="s">
        <v>973</v>
      </c>
      <c r="D6682" s="59">
        <v>0</v>
      </c>
      <c r="E6682" s="59"/>
    </row>
    <row r="6683" spans="3:5" x14ac:dyDescent="0.15">
      <c r="C6683" s="255" t="s">
        <v>974</v>
      </c>
      <c r="D6683" s="59">
        <v>27.4</v>
      </c>
      <c r="E6683" s="59"/>
    </row>
    <row r="6684" spans="3:5" x14ac:dyDescent="0.15">
      <c r="C6684" s="255" t="s">
        <v>975</v>
      </c>
      <c r="D6684" s="59">
        <v>0</v>
      </c>
      <c r="E6684" s="59"/>
    </row>
    <row r="6685" spans="3:5" x14ac:dyDescent="0.15">
      <c r="C6685" s="255" t="s">
        <v>976</v>
      </c>
      <c r="D6685" s="59">
        <v>33.200000000000003</v>
      </c>
      <c r="E6685" s="59"/>
    </row>
    <row r="6686" spans="3:5" x14ac:dyDescent="0.15">
      <c r="C6686" s="255" t="s">
        <v>977</v>
      </c>
      <c r="D6686" s="59">
        <v>915.3</v>
      </c>
      <c r="E6686" s="59"/>
    </row>
    <row r="6687" spans="3:5" x14ac:dyDescent="0.15">
      <c r="C6687" s="255" t="s">
        <v>978</v>
      </c>
      <c r="D6687" s="59">
        <v>1265.7</v>
      </c>
      <c r="E6687" s="59"/>
    </row>
    <row r="6688" spans="3:5" x14ac:dyDescent="0.15">
      <c r="C6688" s="255" t="s">
        <v>979</v>
      </c>
      <c r="D6688" s="59">
        <v>76.599999999999994</v>
      </c>
      <c r="E6688" s="59"/>
    </row>
    <row r="6689" spans="3:5" x14ac:dyDescent="0.15">
      <c r="C6689" s="255" t="s">
        <v>980</v>
      </c>
      <c r="D6689" s="59">
        <v>416</v>
      </c>
      <c r="E6689" s="59"/>
    </row>
    <row r="6690" spans="3:5" x14ac:dyDescent="0.15">
      <c r="C6690" s="255" t="s">
        <v>981</v>
      </c>
      <c r="D6690" s="59">
        <v>0</v>
      </c>
      <c r="E6690" s="59"/>
    </row>
    <row r="6691" spans="3:5" x14ac:dyDescent="0.15">
      <c r="C6691" s="255" t="s">
        <v>982</v>
      </c>
      <c r="D6691" s="59">
        <v>467.4</v>
      </c>
      <c r="E6691" s="59"/>
    </row>
    <row r="6692" spans="3:5" x14ac:dyDescent="0.15">
      <c r="C6692" s="255" t="s">
        <v>983</v>
      </c>
      <c r="D6692" s="59">
        <v>1800.2</v>
      </c>
      <c r="E6692" s="59"/>
    </row>
    <row r="6693" spans="3:5" x14ac:dyDescent="0.15">
      <c r="C6693" s="255" t="s">
        <v>984</v>
      </c>
      <c r="D6693" s="59">
        <v>0</v>
      </c>
      <c r="E6693" s="59"/>
    </row>
    <row r="6694" spans="3:5" x14ac:dyDescent="0.15">
      <c r="C6694" s="255" t="s">
        <v>985</v>
      </c>
      <c r="D6694" s="59">
        <v>1225.4000000000001</v>
      </c>
      <c r="E6694" s="59"/>
    </row>
    <row r="6695" spans="3:5" x14ac:dyDescent="0.15">
      <c r="C6695" s="255" t="s">
        <v>986</v>
      </c>
      <c r="D6695" s="59">
        <v>491.6</v>
      </c>
      <c r="E6695" s="59"/>
    </row>
    <row r="6696" spans="3:5" x14ac:dyDescent="0.15">
      <c r="C6696" s="255" t="s">
        <v>987</v>
      </c>
      <c r="D6696" s="59">
        <v>545.29999999999995</v>
      </c>
      <c r="E6696" s="59"/>
    </row>
    <row r="6697" spans="3:5" x14ac:dyDescent="0.15">
      <c r="C6697" s="255" t="s">
        <v>988</v>
      </c>
      <c r="D6697" s="59">
        <v>1390.5</v>
      </c>
      <c r="E6697" s="59"/>
    </row>
    <row r="6698" spans="3:5" x14ac:dyDescent="0.15">
      <c r="C6698" s="255" t="s">
        <v>989</v>
      </c>
      <c r="D6698" s="59">
        <v>1503.9</v>
      </c>
      <c r="E6698" s="59"/>
    </row>
    <row r="6699" spans="3:5" x14ac:dyDescent="0.15">
      <c r="C6699" s="255" t="s">
        <v>990</v>
      </c>
      <c r="D6699" s="59">
        <v>445.4</v>
      </c>
      <c r="E6699" s="59"/>
    </row>
    <row r="6700" spans="3:5" x14ac:dyDescent="0.15">
      <c r="C6700" s="255" t="s">
        <v>991</v>
      </c>
      <c r="D6700" s="59">
        <v>5368.4</v>
      </c>
      <c r="E6700" s="59"/>
    </row>
    <row r="6701" spans="3:5" x14ac:dyDescent="0.15">
      <c r="C6701" s="255" t="s">
        <v>992</v>
      </c>
      <c r="D6701" s="59">
        <v>12.8</v>
      </c>
      <c r="E6701" s="59"/>
    </row>
    <row r="6702" spans="3:5" x14ac:dyDescent="0.15">
      <c r="C6702" s="255" t="s">
        <v>993</v>
      </c>
      <c r="D6702" s="59">
        <v>94</v>
      </c>
      <c r="E6702" s="59"/>
    </row>
    <row r="6703" spans="3:5" x14ac:dyDescent="0.15">
      <c r="C6703" s="255" t="s">
        <v>994</v>
      </c>
      <c r="D6703" s="59">
        <v>0</v>
      </c>
      <c r="E6703" s="59"/>
    </row>
    <row r="6704" spans="3:5" x14ac:dyDescent="0.15">
      <c r="C6704" s="255" t="s">
        <v>995</v>
      </c>
      <c r="D6704" s="59">
        <v>1075.5999999999999</v>
      </c>
      <c r="E6704" s="59"/>
    </row>
    <row r="6705" spans="3:5" x14ac:dyDescent="0.15">
      <c r="C6705" s="255" t="s">
        <v>996</v>
      </c>
      <c r="D6705" s="59">
        <v>298.60000000000002</v>
      </c>
      <c r="E6705" s="59"/>
    </row>
    <row r="6706" spans="3:5" x14ac:dyDescent="0.15">
      <c r="C6706" s="255" t="s">
        <v>997</v>
      </c>
      <c r="D6706" s="59">
        <v>125.5</v>
      </c>
      <c r="E6706" s="59"/>
    </row>
    <row r="6707" spans="3:5" x14ac:dyDescent="0.15">
      <c r="C6707" s="255" t="s">
        <v>998</v>
      </c>
      <c r="D6707" s="59">
        <v>122.5</v>
      </c>
      <c r="E6707" s="59"/>
    </row>
    <row r="6708" spans="3:5" x14ac:dyDescent="0.15">
      <c r="C6708" s="255" t="s">
        <v>999</v>
      </c>
      <c r="D6708" s="59">
        <v>0</v>
      </c>
      <c r="E6708" s="59"/>
    </row>
    <row r="6709" spans="3:5" x14ac:dyDescent="0.15">
      <c r="C6709" s="255" t="s">
        <v>1000</v>
      </c>
      <c r="D6709" s="59">
        <v>1321</v>
      </c>
      <c r="E6709" s="59"/>
    </row>
    <row r="6710" spans="3:5" x14ac:dyDescent="0.15">
      <c r="C6710" s="255" t="s">
        <v>1001</v>
      </c>
      <c r="D6710" s="59">
        <v>393.7</v>
      </c>
      <c r="E6710" s="59"/>
    </row>
    <row r="6711" spans="3:5" x14ac:dyDescent="0.15">
      <c r="C6711" s="255" t="s">
        <v>1002</v>
      </c>
      <c r="D6711" s="59">
        <v>159.4</v>
      </c>
      <c r="E6711" s="59"/>
    </row>
    <row r="6712" spans="3:5" x14ac:dyDescent="0.15">
      <c r="C6712" s="255" t="s">
        <v>1003</v>
      </c>
      <c r="D6712" s="59">
        <v>92.9</v>
      </c>
      <c r="E6712" s="59"/>
    </row>
    <row r="6713" spans="3:5" x14ac:dyDescent="0.15">
      <c r="C6713" s="255" t="s">
        <v>1004</v>
      </c>
      <c r="D6713" s="59">
        <v>116.4</v>
      </c>
      <c r="E6713" s="59"/>
    </row>
    <row r="6714" spans="3:5" x14ac:dyDescent="0.15">
      <c r="C6714" s="255" t="s">
        <v>1005</v>
      </c>
      <c r="D6714" s="59">
        <v>260.2</v>
      </c>
      <c r="E6714" s="59"/>
    </row>
    <row r="6715" spans="3:5" x14ac:dyDescent="0.15">
      <c r="C6715" s="255" t="s">
        <v>1006</v>
      </c>
      <c r="D6715" s="59">
        <v>5709.2</v>
      </c>
      <c r="E6715" s="59"/>
    </row>
    <row r="6716" spans="3:5" x14ac:dyDescent="0.15">
      <c r="C6716" s="255" t="s">
        <v>1007</v>
      </c>
      <c r="D6716" s="59">
        <v>977.1</v>
      </c>
      <c r="E6716" s="59"/>
    </row>
    <row r="6717" spans="3:5" x14ac:dyDescent="0.15">
      <c r="C6717" s="255" t="s">
        <v>1008</v>
      </c>
      <c r="D6717" s="59">
        <v>338.6</v>
      </c>
      <c r="E6717" s="59"/>
    </row>
    <row r="6718" spans="3:5" x14ac:dyDescent="0.15">
      <c r="C6718" s="255" t="s">
        <v>1009</v>
      </c>
      <c r="D6718" s="59">
        <v>328.5</v>
      </c>
      <c r="E6718" s="59"/>
    </row>
    <row r="6719" spans="3:5" x14ac:dyDescent="0.15">
      <c r="C6719" s="255" t="s">
        <v>1010</v>
      </c>
      <c r="D6719" s="59">
        <v>59.5</v>
      </c>
      <c r="E6719" s="59"/>
    </row>
    <row r="6720" spans="3:5" x14ac:dyDescent="0.15">
      <c r="C6720" s="255" t="s">
        <v>1011</v>
      </c>
      <c r="D6720" s="59">
        <v>250.5</v>
      </c>
      <c r="E6720" s="59"/>
    </row>
    <row r="6721" spans="3:5" x14ac:dyDescent="0.15">
      <c r="C6721" s="255" t="s">
        <v>1012</v>
      </c>
      <c r="D6721" s="59">
        <v>18696.599999999999</v>
      </c>
      <c r="E6721" s="59"/>
    </row>
    <row r="6722" spans="3:5" x14ac:dyDescent="0.15">
      <c r="C6722" s="255" t="s">
        <v>1013</v>
      </c>
      <c r="D6722" s="59">
        <v>9668.6</v>
      </c>
      <c r="E6722" s="59"/>
    </row>
    <row r="6723" spans="3:5" x14ac:dyDescent="0.15">
      <c r="C6723" s="255" t="s">
        <v>1014</v>
      </c>
      <c r="D6723" s="59">
        <v>3628.7</v>
      </c>
      <c r="E6723" s="59"/>
    </row>
    <row r="6724" spans="3:5" x14ac:dyDescent="0.15">
      <c r="C6724" s="255" t="s">
        <v>1015</v>
      </c>
      <c r="D6724" s="59">
        <v>697.4</v>
      </c>
      <c r="E6724" s="59"/>
    </row>
    <row r="6725" spans="3:5" x14ac:dyDescent="0.15">
      <c r="C6725" s="255" t="s">
        <v>1016</v>
      </c>
      <c r="D6725" s="59">
        <v>2711.3</v>
      </c>
      <c r="E6725" s="59"/>
    </row>
    <row r="6726" spans="3:5" x14ac:dyDescent="0.15">
      <c r="C6726" s="255" t="s">
        <v>1017</v>
      </c>
      <c r="D6726" s="59">
        <v>1990.6</v>
      </c>
      <c r="E6726" s="59"/>
    </row>
    <row r="6727" spans="3:5" x14ac:dyDescent="0.15">
      <c r="C6727" s="255" t="s">
        <v>1018</v>
      </c>
      <c r="D6727" s="59">
        <v>0</v>
      </c>
      <c r="E6727" s="59"/>
    </row>
    <row r="6728" spans="3:5" x14ac:dyDescent="0.15">
      <c r="C6728" s="255" t="s">
        <v>1019</v>
      </c>
      <c r="D6728" s="59">
        <v>34442.1</v>
      </c>
      <c r="E6728" s="59"/>
    </row>
    <row r="6729" spans="3:5" x14ac:dyDescent="0.15">
      <c r="C6729" s="255" t="s">
        <v>1020</v>
      </c>
      <c r="D6729" s="59">
        <v>577.79999999999995</v>
      </c>
      <c r="E6729" s="59"/>
    </row>
    <row r="6730" spans="3:5" x14ac:dyDescent="0.15">
      <c r="C6730" s="255" t="s">
        <v>1021</v>
      </c>
      <c r="D6730" s="59">
        <v>1274.7</v>
      </c>
      <c r="E6730" s="59"/>
    </row>
    <row r="6731" spans="3:5" x14ac:dyDescent="0.15">
      <c r="C6731" s="255" t="s">
        <v>1022</v>
      </c>
      <c r="D6731" s="59">
        <v>733.6</v>
      </c>
      <c r="E6731" s="59"/>
    </row>
    <row r="6732" spans="3:5" x14ac:dyDescent="0.15">
      <c r="C6732" s="255" t="s">
        <v>1023</v>
      </c>
      <c r="D6732" s="59">
        <v>143.9</v>
      </c>
      <c r="E6732" s="59"/>
    </row>
    <row r="6733" spans="3:5" x14ac:dyDescent="0.15">
      <c r="C6733" s="255" t="s">
        <v>1024</v>
      </c>
      <c r="D6733" s="59">
        <v>10.1</v>
      </c>
      <c r="E6733" s="59"/>
    </row>
    <row r="6734" spans="3:5" x14ac:dyDescent="0.15">
      <c r="C6734" s="255" t="s">
        <v>1025</v>
      </c>
      <c r="D6734" s="59">
        <v>294</v>
      </c>
      <c r="E6734" s="59"/>
    </row>
    <row r="6735" spans="3:5" x14ac:dyDescent="0.15">
      <c r="C6735" s="255" t="s">
        <v>1026</v>
      </c>
      <c r="D6735" s="59">
        <v>3893.2</v>
      </c>
      <c r="E6735" s="59"/>
    </row>
    <row r="6736" spans="3:5" x14ac:dyDescent="0.15">
      <c r="C6736" s="255" t="s">
        <v>1027</v>
      </c>
      <c r="D6736" s="59">
        <v>0</v>
      </c>
      <c r="E6736" s="59"/>
    </row>
    <row r="6737" spans="3:5" x14ac:dyDescent="0.15">
      <c r="C6737" s="255" t="s">
        <v>1028</v>
      </c>
      <c r="D6737" s="59">
        <v>474.9</v>
      </c>
      <c r="E6737" s="59"/>
    </row>
    <row r="6738" spans="3:5" x14ac:dyDescent="0.15">
      <c r="C6738" s="255" t="s">
        <v>1029</v>
      </c>
      <c r="D6738" s="59">
        <v>477.5</v>
      </c>
      <c r="E6738" s="59"/>
    </row>
    <row r="6739" spans="3:5" x14ac:dyDescent="0.15">
      <c r="C6739" s="255" t="s">
        <v>1030</v>
      </c>
      <c r="D6739" s="59">
        <v>20.9</v>
      </c>
      <c r="E6739" s="59"/>
    </row>
    <row r="6740" spans="3:5" x14ac:dyDescent="0.15">
      <c r="C6740" s="255" t="s">
        <v>1031</v>
      </c>
      <c r="D6740" s="59">
        <v>643.5</v>
      </c>
      <c r="E6740" s="59"/>
    </row>
    <row r="6741" spans="3:5" x14ac:dyDescent="0.15">
      <c r="C6741" s="255" t="s">
        <v>1032</v>
      </c>
      <c r="D6741" s="59">
        <v>862.4</v>
      </c>
      <c r="E6741" s="59"/>
    </row>
    <row r="6742" spans="3:5" x14ac:dyDescent="0.15">
      <c r="C6742" s="255" t="s">
        <v>1033</v>
      </c>
      <c r="D6742" s="59">
        <v>3.4</v>
      </c>
      <c r="E6742" s="59"/>
    </row>
    <row r="6743" spans="3:5" x14ac:dyDescent="0.15">
      <c r="C6743" s="255" t="s">
        <v>1034</v>
      </c>
      <c r="D6743" s="59">
        <v>225.6</v>
      </c>
      <c r="E6743" s="59"/>
    </row>
    <row r="6744" spans="3:5" x14ac:dyDescent="0.15">
      <c r="C6744" s="255" t="s">
        <v>1035</v>
      </c>
      <c r="D6744" s="59">
        <v>5640.5</v>
      </c>
      <c r="E6744" s="59"/>
    </row>
    <row r="6745" spans="3:5" x14ac:dyDescent="0.15">
      <c r="C6745" s="255" t="s">
        <v>1036</v>
      </c>
      <c r="D6745" s="59">
        <v>47.4</v>
      </c>
      <c r="E6745" s="59"/>
    </row>
    <row r="6746" spans="3:5" x14ac:dyDescent="0.15">
      <c r="C6746" s="255" t="s">
        <v>1037</v>
      </c>
      <c r="D6746" s="59">
        <v>1136.3</v>
      </c>
      <c r="E6746" s="59"/>
    </row>
    <row r="6747" spans="3:5" x14ac:dyDescent="0.15">
      <c r="C6747" s="255" t="s">
        <v>1038</v>
      </c>
      <c r="D6747" s="59">
        <v>5591.4</v>
      </c>
      <c r="E6747" s="59"/>
    </row>
    <row r="6748" spans="3:5" x14ac:dyDescent="0.15">
      <c r="C6748" s="255" t="s">
        <v>1039</v>
      </c>
      <c r="D6748" s="59">
        <v>1326.4</v>
      </c>
      <c r="E6748" s="59"/>
    </row>
    <row r="6749" spans="3:5" x14ac:dyDescent="0.15">
      <c r="C6749" s="255" t="s">
        <v>1040</v>
      </c>
      <c r="D6749" s="59">
        <v>6228.2</v>
      </c>
      <c r="E6749" s="59"/>
    </row>
    <row r="6750" spans="3:5" x14ac:dyDescent="0.15">
      <c r="C6750" s="255" t="s">
        <v>1041</v>
      </c>
      <c r="D6750" s="59">
        <v>460.6</v>
      </c>
      <c r="E6750" s="59"/>
    </row>
    <row r="6751" spans="3:5" x14ac:dyDescent="0.15">
      <c r="C6751" s="255" t="s">
        <v>1042</v>
      </c>
      <c r="D6751" s="59">
        <v>2788.7</v>
      </c>
      <c r="E6751" s="59"/>
    </row>
    <row r="6752" spans="3:5" x14ac:dyDescent="0.15">
      <c r="C6752" s="255" t="s">
        <v>1043</v>
      </c>
      <c r="D6752" s="59">
        <v>751.5</v>
      </c>
      <c r="E6752" s="59"/>
    </row>
    <row r="6753" spans="2:5" x14ac:dyDescent="0.15">
      <c r="C6753" s="255" t="s">
        <v>1044</v>
      </c>
      <c r="D6753" s="59">
        <v>214.3</v>
      </c>
      <c r="E6753" s="59"/>
    </row>
    <row r="6754" spans="2:5" x14ac:dyDescent="0.15">
      <c r="C6754" s="255" t="s">
        <v>1045</v>
      </c>
      <c r="D6754" s="59">
        <v>61.4</v>
      </c>
      <c r="E6754" s="59"/>
    </row>
    <row r="6755" spans="2:5" x14ac:dyDescent="0.15">
      <c r="C6755" s="255" t="s">
        <v>1046</v>
      </c>
      <c r="D6755" s="59">
        <v>378.7</v>
      </c>
      <c r="E6755" s="59"/>
    </row>
    <row r="6756" spans="2:5" x14ac:dyDescent="0.15">
      <c r="C6756" s="255" t="s">
        <v>1047</v>
      </c>
      <c r="D6756" s="59">
        <v>102.4</v>
      </c>
      <c r="E6756" s="59"/>
    </row>
    <row r="6757" spans="2:5" x14ac:dyDescent="0.15">
      <c r="C6757" s="255" t="s">
        <v>1048</v>
      </c>
      <c r="D6757" s="59">
        <v>78.900000000000006</v>
      </c>
      <c r="E6757" s="59"/>
    </row>
    <row r="6758" spans="2:5" x14ac:dyDescent="0.15">
      <c r="B6758" s="255" t="s">
        <v>1066</v>
      </c>
      <c r="C6758" s="255" t="s">
        <v>743</v>
      </c>
      <c r="D6758" s="59">
        <v>607</v>
      </c>
      <c r="E6758" s="59"/>
    </row>
    <row r="6759" spans="2:5" x14ac:dyDescent="0.15">
      <c r="C6759" s="255" t="s">
        <v>744</v>
      </c>
      <c r="D6759" s="59">
        <v>657.6</v>
      </c>
      <c r="E6759" s="59"/>
    </row>
    <row r="6760" spans="2:5" x14ac:dyDescent="0.15">
      <c r="C6760" s="255" t="s">
        <v>745</v>
      </c>
      <c r="D6760" s="59">
        <v>2123.4</v>
      </c>
      <c r="E6760" s="59"/>
    </row>
    <row r="6761" spans="2:5" x14ac:dyDescent="0.15">
      <c r="C6761" s="255" t="s">
        <v>746</v>
      </c>
      <c r="D6761" s="59">
        <v>3.2</v>
      </c>
      <c r="E6761" s="59"/>
    </row>
    <row r="6762" spans="2:5" x14ac:dyDescent="0.15">
      <c r="C6762" s="255" t="s">
        <v>747</v>
      </c>
      <c r="D6762" s="59">
        <v>2.2999999999999998</v>
      </c>
      <c r="E6762" s="59"/>
    </row>
    <row r="6763" spans="2:5" x14ac:dyDescent="0.15">
      <c r="C6763" s="255" t="s">
        <v>748</v>
      </c>
      <c r="D6763" s="59">
        <v>0.9</v>
      </c>
      <c r="E6763" s="59"/>
    </row>
    <row r="6764" spans="2:5" x14ac:dyDescent="0.15">
      <c r="C6764" s="255" t="s">
        <v>749</v>
      </c>
      <c r="D6764" s="59">
        <v>0.9</v>
      </c>
      <c r="E6764" s="59"/>
    </row>
    <row r="6765" spans="2:5" x14ac:dyDescent="0.15">
      <c r="C6765" s="255" t="s">
        <v>750</v>
      </c>
      <c r="D6765" s="59">
        <v>0.3</v>
      </c>
      <c r="E6765" s="59"/>
    </row>
    <row r="6766" spans="2:5" x14ac:dyDescent="0.15">
      <c r="C6766" s="255" t="s">
        <v>751</v>
      </c>
      <c r="D6766" s="59">
        <v>49.6</v>
      </c>
      <c r="E6766" s="59"/>
    </row>
    <row r="6767" spans="2:5" x14ac:dyDescent="0.15">
      <c r="C6767" s="255" t="s">
        <v>752</v>
      </c>
      <c r="D6767" s="59">
        <v>2</v>
      </c>
      <c r="E6767" s="59"/>
    </row>
    <row r="6768" spans="2:5" x14ac:dyDescent="0.15">
      <c r="C6768" s="255" t="s">
        <v>753</v>
      </c>
      <c r="D6768" s="59">
        <v>153.19999999999999</v>
      </c>
      <c r="E6768" s="59"/>
    </row>
    <row r="6769" spans="3:5" x14ac:dyDescent="0.15">
      <c r="C6769" s="255" t="s">
        <v>754</v>
      </c>
      <c r="D6769" s="59">
        <v>1951</v>
      </c>
      <c r="E6769" s="59"/>
    </row>
    <row r="6770" spans="3:5" x14ac:dyDescent="0.15">
      <c r="C6770" s="255" t="s">
        <v>192</v>
      </c>
      <c r="D6770" s="59">
        <v>492618.9</v>
      </c>
      <c r="E6770" s="59"/>
    </row>
    <row r="6771" spans="3:5" x14ac:dyDescent="0.15">
      <c r="C6771" s="255" t="s">
        <v>755</v>
      </c>
      <c r="D6771" s="59">
        <v>57062.400000000001</v>
      </c>
      <c r="E6771" s="59"/>
    </row>
    <row r="6772" spans="3:5" x14ac:dyDescent="0.15">
      <c r="C6772" s="255" t="s">
        <v>756</v>
      </c>
      <c r="D6772" s="59">
        <v>198.2</v>
      </c>
      <c r="E6772" s="59"/>
    </row>
    <row r="6773" spans="3:5" x14ac:dyDescent="0.15">
      <c r="C6773" s="255" t="s">
        <v>757</v>
      </c>
      <c r="D6773" s="59">
        <v>206.3</v>
      </c>
      <c r="E6773" s="59"/>
    </row>
    <row r="6774" spans="3:5" x14ac:dyDescent="0.15">
      <c r="C6774" s="255" t="s">
        <v>758</v>
      </c>
      <c r="D6774" s="59">
        <v>3580.7</v>
      </c>
      <c r="E6774" s="59"/>
    </row>
    <row r="6775" spans="3:5" x14ac:dyDescent="0.15">
      <c r="C6775" s="255" t="s">
        <v>759</v>
      </c>
      <c r="D6775" s="59">
        <v>2174.4</v>
      </c>
      <c r="E6775" s="59"/>
    </row>
    <row r="6776" spans="3:5" x14ac:dyDescent="0.15">
      <c r="C6776" s="255" t="s">
        <v>760</v>
      </c>
      <c r="D6776" s="59">
        <v>186.7</v>
      </c>
      <c r="E6776" s="59"/>
    </row>
    <row r="6777" spans="3:5" x14ac:dyDescent="0.15">
      <c r="C6777" s="255" t="s">
        <v>761</v>
      </c>
      <c r="D6777" s="59">
        <v>587.4</v>
      </c>
      <c r="E6777" s="59"/>
    </row>
    <row r="6778" spans="3:5" x14ac:dyDescent="0.15">
      <c r="C6778" s="255" t="s">
        <v>762</v>
      </c>
      <c r="D6778" s="59">
        <v>699.1</v>
      </c>
      <c r="E6778" s="59"/>
    </row>
    <row r="6779" spans="3:5" x14ac:dyDescent="0.15">
      <c r="C6779" s="255" t="s">
        <v>763</v>
      </c>
      <c r="D6779" s="59">
        <v>286.89999999999998</v>
      </c>
      <c r="E6779" s="59"/>
    </row>
    <row r="6780" spans="3:5" x14ac:dyDescent="0.15">
      <c r="C6780" s="255" t="s">
        <v>764</v>
      </c>
      <c r="D6780" s="59">
        <v>3487</v>
      </c>
      <c r="E6780" s="59"/>
    </row>
    <row r="6781" spans="3:5" x14ac:dyDescent="0.15">
      <c r="C6781" s="255" t="s">
        <v>765</v>
      </c>
      <c r="D6781" s="59">
        <v>1563.2</v>
      </c>
      <c r="E6781" s="59"/>
    </row>
    <row r="6782" spans="3:5" x14ac:dyDescent="0.15">
      <c r="C6782" s="255" t="s">
        <v>766</v>
      </c>
      <c r="D6782" s="59">
        <v>254.6</v>
      </c>
      <c r="E6782" s="59"/>
    </row>
    <row r="6783" spans="3:5" x14ac:dyDescent="0.15">
      <c r="C6783" s="255" t="s">
        <v>767</v>
      </c>
      <c r="D6783" s="59">
        <v>1805.7</v>
      </c>
      <c r="E6783" s="59"/>
    </row>
    <row r="6784" spans="3:5" x14ac:dyDescent="0.15">
      <c r="C6784" s="255" t="s">
        <v>768</v>
      </c>
      <c r="D6784" s="59">
        <v>42.7</v>
      </c>
      <c r="E6784" s="59"/>
    </row>
    <row r="6785" spans="3:5" x14ac:dyDescent="0.15">
      <c r="C6785" s="255" t="s">
        <v>769</v>
      </c>
      <c r="D6785" s="59">
        <v>30</v>
      </c>
      <c r="E6785" s="59"/>
    </row>
    <row r="6786" spans="3:5" x14ac:dyDescent="0.15">
      <c r="C6786" s="255" t="s">
        <v>770</v>
      </c>
      <c r="D6786" s="59">
        <v>2495.6</v>
      </c>
      <c r="E6786" s="59"/>
    </row>
    <row r="6787" spans="3:5" x14ac:dyDescent="0.15">
      <c r="C6787" s="255" t="s">
        <v>771</v>
      </c>
      <c r="D6787" s="59">
        <v>2392.9</v>
      </c>
      <c r="E6787" s="59"/>
    </row>
    <row r="6788" spans="3:5" x14ac:dyDescent="0.15">
      <c r="C6788" s="255" t="s">
        <v>772</v>
      </c>
      <c r="D6788" s="59">
        <v>916.3</v>
      </c>
      <c r="E6788" s="59"/>
    </row>
    <row r="6789" spans="3:5" x14ac:dyDescent="0.15">
      <c r="C6789" s="255" t="s">
        <v>773</v>
      </c>
      <c r="D6789" s="59">
        <v>162.1</v>
      </c>
      <c r="E6789" s="59"/>
    </row>
    <row r="6790" spans="3:5" x14ac:dyDescent="0.15">
      <c r="C6790" s="255" t="s">
        <v>774</v>
      </c>
      <c r="D6790" s="59">
        <v>196</v>
      </c>
      <c r="E6790" s="59"/>
    </row>
    <row r="6791" spans="3:5" x14ac:dyDescent="0.15">
      <c r="C6791" s="255" t="s">
        <v>775</v>
      </c>
      <c r="D6791" s="59">
        <v>141.19999999999999</v>
      </c>
      <c r="E6791" s="59"/>
    </row>
    <row r="6792" spans="3:5" x14ac:dyDescent="0.15">
      <c r="C6792" s="255" t="s">
        <v>776</v>
      </c>
      <c r="D6792" s="59">
        <v>425.5</v>
      </c>
      <c r="E6792" s="59"/>
    </row>
    <row r="6793" spans="3:5" x14ac:dyDescent="0.15">
      <c r="C6793" s="255" t="s">
        <v>777</v>
      </c>
      <c r="D6793" s="59">
        <v>1023.2</v>
      </c>
      <c r="E6793" s="59"/>
    </row>
    <row r="6794" spans="3:5" x14ac:dyDescent="0.15">
      <c r="C6794" s="255" t="s">
        <v>778</v>
      </c>
      <c r="D6794" s="59">
        <v>621.20000000000005</v>
      </c>
      <c r="E6794" s="59"/>
    </row>
    <row r="6795" spans="3:5" x14ac:dyDescent="0.15">
      <c r="C6795" s="255" t="s">
        <v>779</v>
      </c>
      <c r="D6795" s="59">
        <v>959.5</v>
      </c>
      <c r="E6795" s="59"/>
    </row>
    <row r="6796" spans="3:5" x14ac:dyDescent="0.15">
      <c r="C6796" s="255" t="s">
        <v>780</v>
      </c>
      <c r="D6796" s="59">
        <v>12.1</v>
      </c>
      <c r="E6796" s="59"/>
    </row>
    <row r="6797" spans="3:5" x14ac:dyDescent="0.15">
      <c r="C6797" s="255" t="s">
        <v>781</v>
      </c>
      <c r="D6797" s="59">
        <v>1213.5999999999999</v>
      </c>
      <c r="E6797" s="59"/>
    </row>
    <row r="6798" spans="3:5" x14ac:dyDescent="0.15">
      <c r="C6798" s="255" t="s">
        <v>782</v>
      </c>
      <c r="D6798" s="59">
        <v>2998.6</v>
      </c>
      <c r="E6798" s="59"/>
    </row>
    <row r="6799" spans="3:5" x14ac:dyDescent="0.15">
      <c r="C6799" s="255" t="s">
        <v>783</v>
      </c>
      <c r="D6799" s="59">
        <v>1083.9000000000001</v>
      </c>
      <c r="E6799" s="59"/>
    </row>
    <row r="6800" spans="3:5" x14ac:dyDescent="0.15">
      <c r="C6800" s="255" t="s">
        <v>784</v>
      </c>
      <c r="D6800" s="59">
        <v>915.5</v>
      </c>
      <c r="E6800" s="59"/>
    </row>
    <row r="6801" spans="3:5" x14ac:dyDescent="0.15">
      <c r="C6801" s="255" t="s">
        <v>785</v>
      </c>
      <c r="D6801" s="59">
        <v>766.5</v>
      </c>
      <c r="E6801" s="59"/>
    </row>
    <row r="6802" spans="3:5" x14ac:dyDescent="0.15">
      <c r="C6802" s="255" t="s">
        <v>786</v>
      </c>
      <c r="D6802" s="59">
        <v>206.9</v>
      </c>
      <c r="E6802" s="59"/>
    </row>
    <row r="6803" spans="3:5" x14ac:dyDescent="0.15">
      <c r="C6803" s="255" t="s">
        <v>787</v>
      </c>
      <c r="D6803" s="59">
        <v>223.2</v>
      </c>
      <c r="E6803" s="59"/>
    </row>
    <row r="6804" spans="3:5" x14ac:dyDescent="0.15">
      <c r="C6804" s="255" t="s">
        <v>788</v>
      </c>
      <c r="D6804" s="59">
        <v>101.4</v>
      </c>
      <c r="E6804" s="59"/>
    </row>
    <row r="6805" spans="3:5" x14ac:dyDescent="0.15">
      <c r="C6805" s="255" t="s">
        <v>789</v>
      </c>
      <c r="D6805" s="59">
        <v>5.7</v>
      </c>
      <c r="E6805" s="59"/>
    </row>
    <row r="6806" spans="3:5" x14ac:dyDescent="0.15">
      <c r="C6806" s="255" t="s">
        <v>790</v>
      </c>
      <c r="D6806" s="59">
        <v>3501.4</v>
      </c>
      <c r="E6806" s="59"/>
    </row>
    <row r="6807" spans="3:5" x14ac:dyDescent="0.15">
      <c r="C6807" s="255" t="s">
        <v>791</v>
      </c>
      <c r="D6807" s="59">
        <v>113.1</v>
      </c>
      <c r="E6807" s="59"/>
    </row>
    <row r="6808" spans="3:5" x14ac:dyDescent="0.15">
      <c r="C6808" s="255" t="s">
        <v>792</v>
      </c>
      <c r="D6808" s="59">
        <v>1304.4000000000001</v>
      </c>
      <c r="E6808" s="59"/>
    </row>
    <row r="6809" spans="3:5" x14ac:dyDescent="0.15">
      <c r="C6809" s="255" t="s">
        <v>793</v>
      </c>
      <c r="D6809" s="59">
        <v>338</v>
      </c>
      <c r="E6809" s="59"/>
    </row>
    <row r="6810" spans="3:5" x14ac:dyDescent="0.15">
      <c r="C6810" s="255" t="s">
        <v>794</v>
      </c>
      <c r="D6810" s="59">
        <v>3850.5</v>
      </c>
      <c r="E6810" s="59"/>
    </row>
    <row r="6811" spans="3:5" x14ac:dyDescent="0.15">
      <c r="C6811" s="255" t="s">
        <v>795</v>
      </c>
      <c r="D6811" s="59">
        <v>334.8</v>
      </c>
      <c r="E6811" s="59"/>
    </row>
    <row r="6812" spans="3:5" x14ac:dyDescent="0.15">
      <c r="C6812" s="255" t="s">
        <v>796</v>
      </c>
      <c r="D6812" s="59">
        <v>858.4</v>
      </c>
      <c r="E6812" s="59"/>
    </row>
    <row r="6813" spans="3:5" x14ac:dyDescent="0.15">
      <c r="C6813" s="255" t="s">
        <v>797</v>
      </c>
      <c r="D6813" s="59">
        <v>976.9</v>
      </c>
      <c r="E6813" s="59"/>
    </row>
    <row r="6814" spans="3:5" x14ac:dyDescent="0.15">
      <c r="C6814" s="255" t="s">
        <v>798</v>
      </c>
      <c r="D6814" s="59">
        <v>483.2</v>
      </c>
      <c r="E6814" s="59"/>
    </row>
    <row r="6815" spans="3:5" x14ac:dyDescent="0.15">
      <c r="C6815" s="255" t="s">
        <v>799</v>
      </c>
      <c r="D6815" s="59">
        <v>185.1</v>
      </c>
      <c r="E6815" s="59"/>
    </row>
    <row r="6816" spans="3:5" x14ac:dyDescent="0.15">
      <c r="C6816" s="255" t="s">
        <v>800</v>
      </c>
      <c r="D6816" s="59">
        <v>151.9</v>
      </c>
      <c r="E6816" s="59"/>
    </row>
    <row r="6817" spans="3:5" x14ac:dyDescent="0.15">
      <c r="C6817" s="255" t="s">
        <v>801</v>
      </c>
      <c r="D6817" s="59">
        <v>419.1</v>
      </c>
      <c r="E6817" s="59"/>
    </row>
    <row r="6818" spans="3:5" x14ac:dyDescent="0.15">
      <c r="C6818" s="255" t="s">
        <v>802</v>
      </c>
      <c r="D6818" s="59">
        <v>1720.6</v>
      </c>
      <c r="E6818" s="59"/>
    </row>
    <row r="6819" spans="3:5" x14ac:dyDescent="0.15">
      <c r="C6819" s="255" t="s">
        <v>803</v>
      </c>
      <c r="D6819" s="59">
        <v>2245</v>
      </c>
      <c r="E6819" s="59"/>
    </row>
    <row r="6820" spans="3:5" x14ac:dyDescent="0.15">
      <c r="C6820" s="255" t="s">
        <v>804</v>
      </c>
      <c r="D6820" s="59">
        <v>1191</v>
      </c>
      <c r="E6820" s="59"/>
    </row>
    <row r="6821" spans="3:5" x14ac:dyDescent="0.15">
      <c r="C6821" s="255" t="s">
        <v>805</v>
      </c>
      <c r="D6821" s="59">
        <v>18.5</v>
      </c>
      <c r="E6821" s="59"/>
    </row>
    <row r="6822" spans="3:5" x14ac:dyDescent="0.15">
      <c r="C6822" s="255" t="s">
        <v>806</v>
      </c>
      <c r="D6822" s="59">
        <v>1188.0999999999999</v>
      </c>
      <c r="E6822" s="59"/>
    </row>
    <row r="6823" spans="3:5" x14ac:dyDescent="0.15">
      <c r="C6823" s="255" t="s">
        <v>807</v>
      </c>
      <c r="D6823" s="59">
        <v>614</v>
      </c>
      <c r="E6823" s="59"/>
    </row>
    <row r="6824" spans="3:5" x14ac:dyDescent="0.15">
      <c r="C6824" s="255" t="s">
        <v>808</v>
      </c>
      <c r="D6824" s="59">
        <v>99.2</v>
      </c>
      <c r="E6824" s="59"/>
    </row>
    <row r="6825" spans="3:5" x14ac:dyDescent="0.15">
      <c r="C6825" s="255" t="s">
        <v>809</v>
      </c>
      <c r="D6825" s="59">
        <v>591.70000000000005</v>
      </c>
      <c r="E6825" s="59"/>
    </row>
    <row r="6826" spans="3:5" x14ac:dyDescent="0.15">
      <c r="C6826" s="255" t="s">
        <v>810</v>
      </c>
      <c r="D6826" s="59">
        <v>327.9</v>
      </c>
      <c r="E6826" s="59"/>
    </row>
    <row r="6827" spans="3:5" x14ac:dyDescent="0.15">
      <c r="C6827" s="255" t="s">
        <v>811</v>
      </c>
      <c r="D6827" s="59">
        <v>1539.3</v>
      </c>
      <c r="E6827" s="59"/>
    </row>
    <row r="6828" spans="3:5" x14ac:dyDescent="0.15">
      <c r="C6828" s="255" t="s">
        <v>812</v>
      </c>
      <c r="D6828" s="59">
        <v>270.2</v>
      </c>
      <c r="E6828" s="59"/>
    </row>
    <row r="6829" spans="3:5" x14ac:dyDescent="0.15">
      <c r="C6829" s="255" t="s">
        <v>813</v>
      </c>
      <c r="D6829" s="59">
        <v>67.400000000000006</v>
      </c>
      <c r="E6829" s="59"/>
    </row>
    <row r="6830" spans="3:5" x14ac:dyDescent="0.15">
      <c r="C6830" s="255" t="s">
        <v>814</v>
      </c>
      <c r="D6830" s="59">
        <v>314.3</v>
      </c>
      <c r="E6830" s="59"/>
    </row>
    <row r="6831" spans="3:5" x14ac:dyDescent="0.15">
      <c r="C6831" s="255" t="s">
        <v>815</v>
      </c>
      <c r="D6831" s="59">
        <v>1404.4</v>
      </c>
      <c r="E6831" s="59"/>
    </row>
    <row r="6832" spans="3:5" x14ac:dyDescent="0.15">
      <c r="C6832" s="255" t="s">
        <v>816</v>
      </c>
      <c r="D6832" s="59">
        <v>990.1</v>
      </c>
      <c r="E6832" s="59"/>
    </row>
    <row r="6833" spans="3:5" x14ac:dyDescent="0.15">
      <c r="C6833" s="255" t="s">
        <v>817</v>
      </c>
      <c r="D6833" s="59">
        <v>9203.6</v>
      </c>
      <c r="E6833" s="59"/>
    </row>
    <row r="6834" spans="3:5" x14ac:dyDescent="0.15">
      <c r="C6834" s="255" t="s">
        <v>818</v>
      </c>
      <c r="D6834" s="59">
        <v>938.2</v>
      </c>
      <c r="E6834" s="59"/>
    </row>
    <row r="6835" spans="3:5" x14ac:dyDescent="0.15">
      <c r="C6835" s="255" t="s">
        <v>819</v>
      </c>
      <c r="D6835" s="59">
        <v>14.3</v>
      </c>
      <c r="E6835" s="59"/>
    </row>
    <row r="6836" spans="3:5" x14ac:dyDescent="0.15">
      <c r="C6836" s="255" t="s">
        <v>820</v>
      </c>
      <c r="D6836" s="59">
        <v>4206</v>
      </c>
      <c r="E6836" s="59"/>
    </row>
    <row r="6837" spans="3:5" x14ac:dyDescent="0.15">
      <c r="C6837" s="255" t="s">
        <v>821</v>
      </c>
      <c r="D6837" s="59">
        <v>52.3</v>
      </c>
      <c r="E6837" s="59"/>
    </row>
    <row r="6838" spans="3:5" x14ac:dyDescent="0.15">
      <c r="C6838" s="255" t="s">
        <v>822</v>
      </c>
      <c r="D6838" s="59">
        <v>273.89999999999998</v>
      </c>
      <c r="E6838" s="59"/>
    </row>
    <row r="6839" spans="3:5" x14ac:dyDescent="0.15">
      <c r="C6839" s="255" t="s">
        <v>823</v>
      </c>
      <c r="D6839" s="59">
        <v>4.3</v>
      </c>
      <c r="E6839" s="59"/>
    </row>
    <row r="6840" spans="3:5" x14ac:dyDescent="0.15">
      <c r="C6840" s="255" t="s">
        <v>824</v>
      </c>
      <c r="D6840" s="59">
        <v>810.7</v>
      </c>
      <c r="E6840" s="59"/>
    </row>
    <row r="6841" spans="3:5" x14ac:dyDescent="0.15">
      <c r="C6841" s="255" t="s">
        <v>825</v>
      </c>
      <c r="D6841" s="59">
        <v>881.3</v>
      </c>
      <c r="E6841" s="59"/>
    </row>
    <row r="6842" spans="3:5" x14ac:dyDescent="0.15">
      <c r="C6842" s="255" t="s">
        <v>826</v>
      </c>
      <c r="D6842" s="59">
        <v>10.5</v>
      </c>
      <c r="E6842" s="59"/>
    </row>
    <row r="6843" spans="3:5" x14ac:dyDescent="0.15">
      <c r="C6843" s="255" t="s">
        <v>827</v>
      </c>
      <c r="D6843" s="59">
        <v>0.5</v>
      </c>
      <c r="E6843" s="59"/>
    </row>
    <row r="6844" spans="3:5" x14ac:dyDescent="0.15">
      <c r="C6844" s="255" t="s">
        <v>828</v>
      </c>
      <c r="D6844" s="59">
        <v>1662.7</v>
      </c>
      <c r="E6844" s="59"/>
    </row>
    <row r="6845" spans="3:5" x14ac:dyDescent="0.15">
      <c r="C6845" s="255" t="s">
        <v>829</v>
      </c>
      <c r="D6845" s="59">
        <v>10.6</v>
      </c>
      <c r="E6845" s="59"/>
    </row>
    <row r="6846" spans="3:5" x14ac:dyDescent="0.15">
      <c r="C6846" s="255" t="s">
        <v>830</v>
      </c>
      <c r="D6846" s="59">
        <v>338.3</v>
      </c>
      <c r="E6846" s="59"/>
    </row>
    <row r="6847" spans="3:5" x14ac:dyDescent="0.15">
      <c r="C6847" s="255" t="s">
        <v>831</v>
      </c>
      <c r="D6847" s="59">
        <v>0</v>
      </c>
      <c r="E6847" s="59"/>
    </row>
    <row r="6848" spans="3:5" x14ac:dyDescent="0.15">
      <c r="C6848" s="255" t="s">
        <v>832</v>
      </c>
      <c r="D6848" s="59">
        <v>21789.5</v>
      </c>
      <c r="E6848" s="59"/>
    </row>
    <row r="6849" spans="3:5" x14ac:dyDescent="0.15">
      <c r="C6849" s="255" t="s">
        <v>833</v>
      </c>
      <c r="D6849" s="59">
        <v>123.1</v>
      </c>
      <c r="E6849" s="59"/>
    </row>
    <row r="6850" spans="3:5" x14ac:dyDescent="0.15">
      <c r="C6850" s="255" t="s">
        <v>834</v>
      </c>
      <c r="D6850" s="59">
        <v>5479.7</v>
      </c>
      <c r="E6850" s="59"/>
    </row>
    <row r="6851" spans="3:5" x14ac:dyDescent="0.15">
      <c r="C6851" s="255" t="s">
        <v>835</v>
      </c>
      <c r="D6851" s="59">
        <v>7922.6</v>
      </c>
      <c r="E6851" s="59"/>
    </row>
    <row r="6852" spans="3:5" x14ac:dyDescent="0.15">
      <c r="C6852" s="255" t="s">
        <v>836</v>
      </c>
      <c r="D6852" s="59">
        <v>2585.5</v>
      </c>
      <c r="E6852" s="59"/>
    </row>
    <row r="6853" spans="3:5" x14ac:dyDescent="0.15">
      <c r="C6853" s="255" t="s">
        <v>837</v>
      </c>
      <c r="D6853" s="59">
        <v>645.6</v>
      </c>
      <c r="E6853" s="59"/>
    </row>
    <row r="6854" spans="3:5" x14ac:dyDescent="0.15">
      <c r="C6854" s="255" t="s">
        <v>838</v>
      </c>
      <c r="D6854" s="59">
        <v>287.10000000000002</v>
      </c>
      <c r="E6854" s="59"/>
    </row>
    <row r="6855" spans="3:5" x14ac:dyDescent="0.15">
      <c r="C6855" s="255" t="s">
        <v>839</v>
      </c>
      <c r="D6855" s="59">
        <v>331.5</v>
      </c>
      <c r="E6855" s="59"/>
    </row>
    <row r="6856" spans="3:5" x14ac:dyDescent="0.15">
      <c r="C6856" s="255" t="s">
        <v>840</v>
      </c>
      <c r="D6856" s="59">
        <v>24.5</v>
      </c>
      <c r="E6856" s="59"/>
    </row>
    <row r="6857" spans="3:5" x14ac:dyDescent="0.15">
      <c r="C6857" s="255" t="s">
        <v>841</v>
      </c>
      <c r="D6857" s="59">
        <v>1341.5</v>
      </c>
      <c r="E6857" s="59"/>
    </row>
    <row r="6858" spans="3:5" x14ac:dyDescent="0.15">
      <c r="C6858" s="255" t="s">
        <v>842</v>
      </c>
      <c r="D6858" s="59">
        <v>2529.1999999999998</v>
      </c>
      <c r="E6858" s="59"/>
    </row>
    <row r="6859" spans="3:5" x14ac:dyDescent="0.15">
      <c r="C6859" s="255" t="s">
        <v>843</v>
      </c>
      <c r="D6859" s="59">
        <v>487.4</v>
      </c>
      <c r="E6859" s="59"/>
    </row>
    <row r="6860" spans="3:5" x14ac:dyDescent="0.15">
      <c r="C6860" s="255" t="s">
        <v>844</v>
      </c>
      <c r="D6860" s="59">
        <v>31.6</v>
      </c>
      <c r="E6860" s="59"/>
    </row>
    <row r="6861" spans="3:5" x14ac:dyDescent="0.15">
      <c r="C6861" s="255" t="s">
        <v>845</v>
      </c>
      <c r="D6861" s="59">
        <v>144148.1</v>
      </c>
      <c r="E6861" s="59"/>
    </row>
    <row r="6862" spans="3:5" x14ac:dyDescent="0.15">
      <c r="C6862" s="255" t="s">
        <v>846</v>
      </c>
      <c r="D6862" s="59">
        <v>10215</v>
      </c>
      <c r="E6862" s="59"/>
    </row>
    <row r="6863" spans="3:5" x14ac:dyDescent="0.15">
      <c r="C6863" s="255" t="s">
        <v>847</v>
      </c>
      <c r="D6863" s="59">
        <v>99.6</v>
      </c>
      <c r="E6863" s="59"/>
    </row>
    <row r="6864" spans="3:5" x14ac:dyDescent="0.15">
      <c r="C6864" s="255" t="s">
        <v>848</v>
      </c>
      <c r="D6864" s="59">
        <v>77166.8</v>
      </c>
      <c r="E6864" s="59"/>
    </row>
    <row r="6865" spans="3:5" x14ac:dyDescent="0.15">
      <c r="C6865" s="255" t="s">
        <v>849</v>
      </c>
      <c r="D6865" s="59">
        <v>3577.8</v>
      </c>
      <c r="E6865" s="59"/>
    </row>
    <row r="6866" spans="3:5" x14ac:dyDescent="0.15">
      <c r="C6866" s="255" t="s">
        <v>850</v>
      </c>
      <c r="D6866" s="59">
        <v>3600.7</v>
      </c>
      <c r="E6866" s="59"/>
    </row>
    <row r="6867" spans="3:5" x14ac:dyDescent="0.15">
      <c r="C6867" s="255" t="s">
        <v>851</v>
      </c>
      <c r="D6867" s="59">
        <v>0</v>
      </c>
      <c r="E6867" s="59"/>
    </row>
    <row r="6868" spans="3:5" x14ac:dyDescent="0.15">
      <c r="C6868" s="255" t="s">
        <v>852</v>
      </c>
      <c r="D6868" s="59">
        <v>0</v>
      </c>
      <c r="E6868" s="59"/>
    </row>
    <row r="6869" spans="3:5" x14ac:dyDescent="0.15">
      <c r="C6869" s="255" t="s">
        <v>853</v>
      </c>
      <c r="D6869" s="59">
        <v>433.6</v>
      </c>
      <c r="E6869" s="59"/>
    </row>
    <row r="6870" spans="3:5" x14ac:dyDescent="0.15">
      <c r="C6870" s="255" t="s">
        <v>854</v>
      </c>
      <c r="D6870" s="59">
        <v>0</v>
      </c>
      <c r="E6870" s="59"/>
    </row>
    <row r="6871" spans="3:5" x14ac:dyDescent="0.15">
      <c r="C6871" s="255" t="s">
        <v>855</v>
      </c>
      <c r="D6871" s="59">
        <v>321</v>
      </c>
      <c r="E6871" s="59"/>
    </row>
    <row r="6872" spans="3:5" x14ac:dyDescent="0.15">
      <c r="C6872" s="255" t="s">
        <v>856</v>
      </c>
      <c r="D6872" s="59">
        <v>5594</v>
      </c>
      <c r="E6872" s="59"/>
    </row>
    <row r="6873" spans="3:5" x14ac:dyDescent="0.15">
      <c r="C6873" s="255" t="s">
        <v>857</v>
      </c>
      <c r="D6873" s="59">
        <v>2915.1</v>
      </c>
      <c r="E6873" s="59"/>
    </row>
    <row r="6874" spans="3:5" x14ac:dyDescent="0.15">
      <c r="C6874" s="255" t="s">
        <v>858</v>
      </c>
      <c r="D6874" s="59">
        <v>3142.3</v>
      </c>
      <c r="E6874" s="59"/>
    </row>
    <row r="6875" spans="3:5" x14ac:dyDescent="0.15">
      <c r="C6875" s="255" t="s">
        <v>859</v>
      </c>
      <c r="D6875" s="59">
        <v>3939.7</v>
      </c>
      <c r="E6875" s="59"/>
    </row>
    <row r="6876" spans="3:5" x14ac:dyDescent="0.15">
      <c r="C6876" s="255" t="s">
        <v>860</v>
      </c>
      <c r="D6876" s="59">
        <v>530.29999999999995</v>
      </c>
      <c r="E6876" s="59"/>
    </row>
    <row r="6877" spans="3:5" x14ac:dyDescent="0.15">
      <c r="C6877" s="255" t="s">
        <v>861</v>
      </c>
      <c r="D6877" s="59">
        <v>4263.3999999999996</v>
      </c>
      <c r="E6877" s="59"/>
    </row>
    <row r="6878" spans="3:5" x14ac:dyDescent="0.15">
      <c r="C6878" s="255" t="s">
        <v>862</v>
      </c>
      <c r="D6878" s="59">
        <v>10846.2</v>
      </c>
      <c r="E6878" s="59"/>
    </row>
    <row r="6879" spans="3:5" x14ac:dyDescent="0.15">
      <c r="C6879" s="255" t="s">
        <v>863</v>
      </c>
      <c r="D6879" s="59">
        <v>3322.4</v>
      </c>
      <c r="E6879" s="59"/>
    </row>
    <row r="6880" spans="3:5" x14ac:dyDescent="0.15">
      <c r="C6880" s="255" t="s">
        <v>864</v>
      </c>
      <c r="D6880" s="59">
        <v>127.9</v>
      </c>
      <c r="E6880" s="59"/>
    </row>
    <row r="6881" spans="3:5" x14ac:dyDescent="0.15">
      <c r="C6881" s="255" t="s">
        <v>865</v>
      </c>
      <c r="D6881" s="59">
        <v>905.9</v>
      </c>
      <c r="E6881" s="59"/>
    </row>
    <row r="6882" spans="3:5" x14ac:dyDescent="0.15">
      <c r="C6882" s="255" t="s">
        <v>866</v>
      </c>
      <c r="D6882" s="59">
        <v>62.9</v>
      </c>
      <c r="E6882" s="59"/>
    </row>
    <row r="6883" spans="3:5" x14ac:dyDescent="0.15">
      <c r="C6883" s="255" t="s">
        <v>867</v>
      </c>
      <c r="D6883" s="59">
        <v>2209.5</v>
      </c>
      <c r="E6883" s="59"/>
    </row>
    <row r="6884" spans="3:5" x14ac:dyDescent="0.15">
      <c r="C6884" s="255" t="s">
        <v>868</v>
      </c>
      <c r="D6884" s="59">
        <v>10874.2</v>
      </c>
      <c r="E6884" s="59"/>
    </row>
    <row r="6885" spans="3:5" x14ac:dyDescent="0.15">
      <c r="C6885" s="255" t="s">
        <v>869</v>
      </c>
      <c r="D6885" s="59">
        <v>29104.2</v>
      </c>
      <c r="E6885" s="59"/>
    </row>
    <row r="6886" spans="3:5" x14ac:dyDescent="0.15">
      <c r="C6886" s="255" t="s">
        <v>870</v>
      </c>
      <c r="D6886" s="59">
        <v>6592.3</v>
      </c>
      <c r="E6886" s="59"/>
    </row>
    <row r="6887" spans="3:5" x14ac:dyDescent="0.15">
      <c r="C6887" s="255" t="s">
        <v>871</v>
      </c>
      <c r="D6887" s="59">
        <v>873.2</v>
      </c>
      <c r="E6887" s="59"/>
    </row>
    <row r="6888" spans="3:5" x14ac:dyDescent="0.15">
      <c r="C6888" s="255" t="s">
        <v>872</v>
      </c>
      <c r="D6888" s="59">
        <v>1104.3</v>
      </c>
      <c r="E6888" s="59"/>
    </row>
    <row r="6889" spans="3:5" x14ac:dyDescent="0.15">
      <c r="C6889" s="255" t="s">
        <v>873</v>
      </c>
      <c r="D6889" s="59">
        <v>1729</v>
      </c>
      <c r="E6889" s="59"/>
    </row>
    <row r="6890" spans="3:5" x14ac:dyDescent="0.15">
      <c r="C6890" s="255" t="s">
        <v>874</v>
      </c>
      <c r="D6890" s="59">
        <v>217.3</v>
      </c>
      <c r="E6890" s="59"/>
    </row>
    <row r="6891" spans="3:5" x14ac:dyDescent="0.15">
      <c r="C6891" s="255" t="s">
        <v>875</v>
      </c>
      <c r="D6891" s="59">
        <v>32.4</v>
      </c>
      <c r="E6891" s="59"/>
    </row>
    <row r="6892" spans="3:5" x14ac:dyDescent="0.15">
      <c r="C6892" s="255" t="s">
        <v>876</v>
      </c>
      <c r="D6892" s="59">
        <v>49.1</v>
      </c>
      <c r="E6892" s="59"/>
    </row>
    <row r="6893" spans="3:5" x14ac:dyDescent="0.15">
      <c r="C6893" s="255" t="s">
        <v>877</v>
      </c>
      <c r="D6893" s="59">
        <v>16.2</v>
      </c>
      <c r="E6893" s="59"/>
    </row>
    <row r="6894" spans="3:5" x14ac:dyDescent="0.15">
      <c r="C6894" s="255" t="s">
        <v>878</v>
      </c>
      <c r="D6894" s="59">
        <v>223.4</v>
      </c>
      <c r="E6894" s="59"/>
    </row>
    <row r="6895" spans="3:5" x14ac:dyDescent="0.15">
      <c r="C6895" s="255" t="s">
        <v>879</v>
      </c>
      <c r="D6895" s="59">
        <v>1378.4</v>
      </c>
      <c r="E6895" s="59"/>
    </row>
    <row r="6896" spans="3:5" x14ac:dyDescent="0.15">
      <c r="C6896" s="255" t="s">
        <v>880</v>
      </c>
      <c r="D6896" s="59">
        <v>175.9</v>
      </c>
      <c r="E6896" s="59"/>
    </row>
    <row r="6897" spans="3:5" x14ac:dyDescent="0.15">
      <c r="C6897" s="255" t="s">
        <v>881</v>
      </c>
      <c r="D6897" s="59">
        <v>1.6</v>
      </c>
      <c r="E6897" s="59"/>
    </row>
    <row r="6898" spans="3:5" x14ac:dyDescent="0.15">
      <c r="C6898" s="255" t="s">
        <v>882</v>
      </c>
      <c r="D6898" s="59">
        <v>326</v>
      </c>
      <c r="E6898" s="59"/>
    </row>
    <row r="6899" spans="3:5" x14ac:dyDescent="0.15">
      <c r="C6899" s="255" t="s">
        <v>883</v>
      </c>
      <c r="D6899" s="59">
        <v>867.6</v>
      </c>
      <c r="E6899" s="59"/>
    </row>
    <row r="6900" spans="3:5" x14ac:dyDescent="0.15">
      <c r="C6900" s="255" t="s">
        <v>884</v>
      </c>
      <c r="D6900" s="59">
        <v>1378.2</v>
      </c>
      <c r="E6900" s="59"/>
    </row>
    <row r="6901" spans="3:5" x14ac:dyDescent="0.15">
      <c r="C6901" s="255" t="s">
        <v>885</v>
      </c>
      <c r="D6901" s="59">
        <v>806.7</v>
      </c>
      <c r="E6901" s="59"/>
    </row>
    <row r="6902" spans="3:5" x14ac:dyDescent="0.15">
      <c r="C6902" s="255" t="s">
        <v>886</v>
      </c>
      <c r="D6902" s="59">
        <v>392.3</v>
      </c>
      <c r="E6902" s="59"/>
    </row>
    <row r="6903" spans="3:5" x14ac:dyDescent="0.15">
      <c r="C6903" s="255" t="s">
        <v>887</v>
      </c>
      <c r="D6903" s="59">
        <v>232.8</v>
      </c>
      <c r="E6903" s="59"/>
    </row>
    <row r="6904" spans="3:5" x14ac:dyDescent="0.15">
      <c r="C6904" s="255" t="s">
        <v>888</v>
      </c>
      <c r="D6904" s="59">
        <v>2.2999999999999998</v>
      </c>
      <c r="E6904" s="59"/>
    </row>
    <row r="6905" spans="3:5" x14ac:dyDescent="0.15">
      <c r="C6905" s="255" t="s">
        <v>889</v>
      </c>
      <c r="D6905" s="59">
        <v>318.8</v>
      </c>
      <c r="E6905" s="59"/>
    </row>
    <row r="6906" spans="3:5" x14ac:dyDescent="0.15">
      <c r="C6906" s="255" t="s">
        <v>890</v>
      </c>
      <c r="D6906" s="59">
        <v>91</v>
      </c>
      <c r="E6906" s="59"/>
    </row>
    <row r="6907" spans="3:5" x14ac:dyDescent="0.15">
      <c r="C6907" s="255" t="s">
        <v>891</v>
      </c>
      <c r="D6907" s="59">
        <v>47.9</v>
      </c>
      <c r="E6907" s="59"/>
    </row>
    <row r="6908" spans="3:5" x14ac:dyDescent="0.15">
      <c r="C6908" s="255" t="s">
        <v>892</v>
      </c>
      <c r="D6908" s="59">
        <v>11.9</v>
      </c>
      <c r="E6908" s="59"/>
    </row>
    <row r="6909" spans="3:5" x14ac:dyDescent="0.15">
      <c r="C6909" s="255" t="s">
        <v>893</v>
      </c>
      <c r="D6909" s="59">
        <v>175.7</v>
      </c>
      <c r="E6909" s="59"/>
    </row>
    <row r="6910" spans="3:5" x14ac:dyDescent="0.15">
      <c r="C6910" s="255" t="s">
        <v>894</v>
      </c>
      <c r="D6910" s="59">
        <v>112.6</v>
      </c>
      <c r="E6910" s="59"/>
    </row>
    <row r="6911" spans="3:5" x14ac:dyDescent="0.15">
      <c r="C6911" s="255" t="s">
        <v>895</v>
      </c>
      <c r="D6911" s="59">
        <v>897.8</v>
      </c>
      <c r="E6911" s="59"/>
    </row>
    <row r="6912" spans="3:5" x14ac:dyDescent="0.15">
      <c r="C6912" s="255" t="s">
        <v>896</v>
      </c>
      <c r="D6912" s="59">
        <v>137.69999999999999</v>
      </c>
      <c r="E6912" s="59"/>
    </row>
    <row r="6913" spans="3:5" x14ac:dyDescent="0.15">
      <c r="C6913" s="255" t="s">
        <v>897</v>
      </c>
      <c r="D6913" s="59">
        <v>1824.9</v>
      </c>
      <c r="E6913" s="59"/>
    </row>
    <row r="6914" spans="3:5" x14ac:dyDescent="0.15">
      <c r="C6914" s="255" t="s">
        <v>898</v>
      </c>
      <c r="D6914" s="59">
        <v>704.7</v>
      </c>
      <c r="E6914" s="59"/>
    </row>
    <row r="6915" spans="3:5" x14ac:dyDescent="0.15">
      <c r="C6915" s="255" t="s">
        <v>899</v>
      </c>
      <c r="D6915" s="59">
        <v>316.7</v>
      </c>
      <c r="E6915" s="59"/>
    </row>
    <row r="6916" spans="3:5" x14ac:dyDescent="0.15">
      <c r="C6916" s="255" t="s">
        <v>900</v>
      </c>
      <c r="D6916" s="59">
        <v>599.79999999999995</v>
      </c>
      <c r="E6916" s="59"/>
    </row>
    <row r="6917" spans="3:5" x14ac:dyDescent="0.15">
      <c r="C6917" s="255" t="s">
        <v>901</v>
      </c>
      <c r="D6917" s="59">
        <v>1720.3</v>
      </c>
      <c r="E6917" s="59"/>
    </row>
    <row r="6918" spans="3:5" x14ac:dyDescent="0.15">
      <c r="C6918" s="255" t="s">
        <v>902</v>
      </c>
      <c r="D6918" s="59">
        <v>42.7</v>
      </c>
      <c r="E6918" s="59"/>
    </row>
    <row r="6919" spans="3:5" x14ac:dyDescent="0.15">
      <c r="C6919" s="255" t="s">
        <v>903</v>
      </c>
      <c r="D6919" s="59">
        <v>1466.7</v>
      </c>
      <c r="E6919" s="59"/>
    </row>
    <row r="6920" spans="3:5" x14ac:dyDescent="0.15">
      <c r="C6920" s="255" t="s">
        <v>904</v>
      </c>
      <c r="D6920" s="59">
        <v>1837.2</v>
      </c>
      <c r="E6920" s="59"/>
    </row>
    <row r="6921" spans="3:5" x14ac:dyDescent="0.15">
      <c r="C6921" s="255" t="s">
        <v>905</v>
      </c>
      <c r="D6921" s="59">
        <v>546.20000000000005</v>
      </c>
      <c r="E6921" s="59"/>
    </row>
    <row r="6922" spans="3:5" x14ac:dyDescent="0.15">
      <c r="C6922" s="255" t="s">
        <v>906</v>
      </c>
      <c r="D6922" s="59">
        <v>160.4</v>
      </c>
      <c r="E6922" s="59"/>
    </row>
    <row r="6923" spans="3:5" x14ac:dyDescent="0.15">
      <c r="C6923" s="255" t="s">
        <v>907</v>
      </c>
      <c r="D6923" s="59">
        <v>1692.2</v>
      </c>
      <c r="E6923" s="59"/>
    </row>
    <row r="6924" spans="3:5" x14ac:dyDescent="0.15">
      <c r="C6924" s="255" t="s">
        <v>908</v>
      </c>
      <c r="D6924" s="59">
        <v>8776.9</v>
      </c>
      <c r="E6924" s="59"/>
    </row>
    <row r="6925" spans="3:5" x14ac:dyDescent="0.15">
      <c r="C6925" s="255" t="s">
        <v>909</v>
      </c>
      <c r="D6925" s="59">
        <v>2046</v>
      </c>
      <c r="E6925" s="59"/>
    </row>
    <row r="6926" spans="3:5" x14ac:dyDescent="0.15">
      <c r="C6926" s="255" t="s">
        <v>910</v>
      </c>
      <c r="D6926" s="59">
        <v>2.7</v>
      </c>
      <c r="E6926" s="59"/>
    </row>
    <row r="6927" spans="3:5" x14ac:dyDescent="0.15">
      <c r="C6927" s="255" t="s">
        <v>911</v>
      </c>
      <c r="D6927" s="59">
        <v>152.30000000000001</v>
      </c>
      <c r="E6927" s="59"/>
    </row>
    <row r="6928" spans="3:5" x14ac:dyDescent="0.15">
      <c r="C6928" s="255" t="s">
        <v>912</v>
      </c>
      <c r="D6928" s="59">
        <v>990.7</v>
      </c>
      <c r="E6928" s="59"/>
    </row>
    <row r="6929" spans="3:5" x14ac:dyDescent="0.15">
      <c r="C6929" s="255" t="s">
        <v>913</v>
      </c>
      <c r="D6929" s="59">
        <v>0</v>
      </c>
      <c r="E6929" s="59"/>
    </row>
    <row r="6930" spans="3:5" x14ac:dyDescent="0.15">
      <c r="C6930" s="255" t="s">
        <v>914</v>
      </c>
      <c r="D6930" s="59">
        <v>0.8</v>
      </c>
      <c r="E6930" s="59"/>
    </row>
    <row r="6931" spans="3:5" x14ac:dyDescent="0.15">
      <c r="C6931" s="255" t="s">
        <v>915</v>
      </c>
      <c r="D6931" s="59">
        <v>33.4</v>
      </c>
      <c r="E6931" s="59"/>
    </row>
    <row r="6932" spans="3:5" x14ac:dyDescent="0.15">
      <c r="C6932" s="255" t="s">
        <v>916</v>
      </c>
      <c r="D6932" s="59">
        <v>133.19999999999999</v>
      </c>
      <c r="E6932" s="59"/>
    </row>
    <row r="6933" spans="3:5" x14ac:dyDescent="0.15">
      <c r="C6933" s="255" t="s">
        <v>917</v>
      </c>
      <c r="D6933" s="59">
        <v>75.900000000000006</v>
      </c>
      <c r="E6933" s="59"/>
    </row>
    <row r="6934" spans="3:5" x14ac:dyDescent="0.15">
      <c r="C6934" s="255" t="s">
        <v>918</v>
      </c>
      <c r="D6934" s="59">
        <v>3621.7</v>
      </c>
      <c r="E6934" s="59"/>
    </row>
    <row r="6935" spans="3:5" x14ac:dyDescent="0.15">
      <c r="C6935" s="255" t="s">
        <v>919</v>
      </c>
      <c r="D6935" s="59">
        <v>3.7</v>
      </c>
      <c r="E6935" s="59"/>
    </row>
    <row r="6936" spans="3:5" x14ac:dyDescent="0.15">
      <c r="C6936" s="255" t="s">
        <v>920</v>
      </c>
      <c r="D6936" s="59">
        <v>1716.4</v>
      </c>
      <c r="E6936" s="59"/>
    </row>
    <row r="6937" spans="3:5" x14ac:dyDescent="0.15">
      <c r="C6937" s="255" t="s">
        <v>921</v>
      </c>
      <c r="D6937" s="59">
        <v>0</v>
      </c>
      <c r="E6937" s="59"/>
    </row>
    <row r="6938" spans="3:5" x14ac:dyDescent="0.15">
      <c r="C6938" s="255" t="s">
        <v>922</v>
      </c>
      <c r="D6938" s="59">
        <v>76339.5</v>
      </c>
      <c r="E6938" s="59"/>
    </row>
    <row r="6939" spans="3:5" x14ac:dyDescent="0.15">
      <c r="C6939" s="255" t="s">
        <v>923</v>
      </c>
      <c r="D6939" s="59">
        <v>17054.7</v>
      </c>
      <c r="E6939" s="59"/>
    </row>
    <row r="6940" spans="3:5" x14ac:dyDescent="0.15">
      <c r="C6940" s="255" t="s">
        <v>924</v>
      </c>
      <c r="D6940" s="59">
        <v>8908.6</v>
      </c>
      <c r="E6940" s="59"/>
    </row>
    <row r="6941" spans="3:5" x14ac:dyDescent="0.15">
      <c r="C6941" s="255" t="s">
        <v>925</v>
      </c>
      <c r="D6941" s="59">
        <v>432.5</v>
      </c>
      <c r="E6941" s="59"/>
    </row>
    <row r="6942" spans="3:5" x14ac:dyDescent="0.15">
      <c r="C6942" s="255" t="s">
        <v>926</v>
      </c>
      <c r="D6942" s="59">
        <v>1984.5</v>
      </c>
      <c r="E6942" s="59"/>
    </row>
    <row r="6943" spans="3:5" x14ac:dyDescent="0.15">
      <c r="C6943" s="255" t="s">
        <v>927</v>
      </c>
      <c r="D6943" s="59">
        <v>842</v>
      </c>
      <c r="E6943" s="59"/>
    </row>
    <row r="6944" spans="3:5" x14ac:dyDescent="0.15">
      <c r="C6944" s="255" t="s">
        <v>928</v>
      </c>
      <c r="D6944" s="59">
        <v>1058.3</v>
      </c>
      <c r="E6944" s="59"/>
    </row>
    <row r="6945" spans="3:5" x14ac:dyDescent="0.15">
      <c r="C6945" s="255" t="s">
        <v>929</v>
      </c>
      <c r="D6945" s="59">
        <v>364.2</v>
      </c>
      <c r="E6945" s="59"/>
    </row>
    <row r="6946" spans="3:5" x14ac:dyDescent="0.15">
      <c r="C6946" s="255" t="s">
        <v>930</v>
      </c>
      <c r="D6946" s="59">
        <v>3938.2</v>
      </c>
      <c r="E6946" s="59"/>
    </row>
    <row r="6947" spans="3:5" x14ac:dyDescent="0.15">
      <c r="C6947" s="255" t="s">
        <v>931</v>
      </c>
      <c r="D6947" s="59">
        <v>8904.4</v>
      </c>
      <c r="E6947" s="59"/>
    </row>
    <row r="6948" spans="3:5" x14ac:dyDescent="0.15">
      <c r="C6948" s="255" t="s">
        <v>932</v>
      </c>
      <c r="D6948" s="59">
        <v>0</v>
      </c>
      <c r="E6948" s="59"/>
    </row>
    <row r="6949" spans="3:5" x14ac:dyDescent="0.15">
      <c r="C6949" s="255" t="s">
        <v>933</v>
      </c>
      <c r="D6949" s="59">
        <v>27.7</v>
      </c>
      <c r="E6949" s="59"/>
    </row>
    <row r="6950" spans="3:5" x14ac:dyDescent="0.15">
      <c r="C6950" s="255" t="s">
        <v>934</v>
      </c>
      <c r="D6950" s="59">
        <v>9509.1</v>
      </c>
      <c r="E6950" s="59"/>
    </row>
    <row r="6951" spans="3:5" x14ac:dyDescent="0.15">
      <c r="C6951" s="255" t="s">
        <v>935</v>
      </c>
      <c r="D6951" s="59">
        <v>7609.9</v>
      </c>
      <c r="E6951" s="59"/>
    </row>
    <row r="6952" spans="3:5" x14ac:dyDescent="0.15">
      <c r="C6952" s="255" t="s">
        <v>936</v>
      </c>
      <c r="D6952" s="59">
        <v>6432.3</v>
      </c>
      <c r="E6952" s="59"/>
    </row>
    <row r="6953" spans="3:5" x14ac:dyDescent="0.15">
      <c r="C6953" s="255" t="s">
        <v>937</v>
      </c>
      <c r="D6953" s="59">
        <v>1659.2</v>
      </c>
      <c r="E6953" s="59"/>
    </row>
    <row r="6954" spans="3:5" x14ac:dyDescent="0.15">
      <c r="C6954" s="255" t="s">
        <v>938</v>
      </c>
      <c r="D6954" s="59">
        <v>455.6</v>
      </c>
      <c r="E6954" s="59"/>
    </row>
    <row r="6955" spans="3:5" x14ac:dyDescent="0.15">
      <c r="C6955" s="255" t="s">
        <v>939</v>
      </c>
      <c r="D6955" s="59">
        <v>8.6999999999999993</v>
      </c>
      <c r="E6955" s="59"/>
    </row>
    <row r="6956" spans="3:5" x14ac:dyDescent="0.15">
      <c r="C6956" s="255" t="s">
        <v>940</v>
      </c>
      <c r="D6956" s="59">
        <v>86.8</v>
      </c>
      <c r="E6956" s="59"/>
    </row>
    <row r="6957" spans="3:5" x14ac:dyDescent="0.15">
      <c r="C6957" s="255" t="s">
        <v>941</v>
      </c>
      <c r="D6957" s="59">
        <v>536.6</v>
      </c>
      <c r="E6957" s="59"/>
    </row>
    <row r="6958" spans="3:5" x14ac:dyDescent="0.15">
      <c r="C6958" s="255" t="s">
        <v>942</v>
      </c>
      <c r="D6958" s="59">
        <v>0</v>
      </c>
      <c r="E6958" s="59"/>
    </row>
    <row r="6959" spans="3:5" x14ac:dyDescent="0.15">
      <c r="C6959" s="255" t="s">
        <v>943</v>
      </c>
      <c r="D6959" s="59">
        <v>3036.5</v>
      </c>
      <c r="E6959" s="59"/>
    </row>
    <row r="6960" spans="3:5" x14ac:dyDescent="0.15">
      <c r="C6960" s="255" t="s">
        <v>944</v>
      </c>
      <c r="D6960" s="59">
        <v>842.8</v>
      </c>
      <c r="E6960" s="59"/>
    </row>
    <row r="6961" spans="3:5" x14ac:dyDescent="0.15">
      <c r="C6961" s="255" t="s">
        <v>945</v>
      </c>
      <c r="D6961" s="59">
        <v>2567</v>
      </c>
      <c r="E6961" s="59"/>
    </row>
    <row r="6962" spans="3:5" x14ac:dyDescent="0.15">
      <c r="C6962" s="255" t="s">
        <v>946</v>
      </c>
      <c r="D6962" s="59">
        <v>61.6</v>
      </c>
      <c r="E6962" s="59"/>
    </row>
    <row r="6963" spans="3:5" x14ac:dyDescent="0.15">
      <c r="C6963" s="255" t="s">
        <v>947</v>
      </c>
      <c r="D6963" s="59">
        <v>18.399999999999999</v>
      </c>
      <c r="E6963" s="59"/>
    </row>
    <row r="6964" spans="3:5" x14ac:dyDescent="0.15">
      <c r="C6964" s="255" t="s">
        <v>948</v>
      </c>
      <c r="D6964" s="59">
        <v>12301.1</v>
      </c>
      <c r="E6964" s="59"/>
    </row>
    <row r="6965" spans="3:5" x14ac:dyDescent="0.15">
      <c r="C6965" s="255" t="s">
        <v>949</v>
      </c>
      <c r="D6965" s="59">
        <v>263.3</v>
      </c>
      <c r="E6965" s="59"/>
    </row>
    <row r="6966" spans="3:5" x14ac:dyDescent="0.15">
      <c r="C6966" s="255" t="s">
        <v>950</v>
      </c>
      <c r="D6966" s="59">
        <v>1.8</v>
      </c>
      <c r="E6966" s="59"/>
    </row>
    <row r="6967" spans="3:5" x14ac:dyDescent="0.15">
      <c r="C6967" s="255" t="s">
        <v>951</v>
      </c>
      <c r="D6967" s="59">
        <v>2473</v>
      </c>
      <c r="E6967" s="59"/>
    </row>
    <row r="6968" spans="3:5" x14ac:dyDescent="0.15">
      <c r="C6968" s="255" t="s">
        <v>952</v>
      </c>
      <c r="D6968" s="59">
        <v>191.3</v>
      </c>
      <c r="E6968" s="59"/>
    </row>
    <row r="6969" spans="3:5" x14ac:dyDescent="0.15">
      <c r="C6969" s="255" t="s">
        <v>953</v>
      </c>
      <c r="D6969" s="59">
        <v>199.1</v>
      </c>
      <c r="E6969" s="59"/>
    </row>
    <row r="6970" spans="3:5" x14ac:dyDescent="0.15">
      <c r="C6970" s="255" t="s">
        <v>954</v>
      </c>
      <c r="D6970" s="59">
        <v>3763.8</v>
      </c>
      <c r="E6970" s="59"/>
    </row>
    <row r="6971" spans="3:5" x14ac:dyDescent="0.15">
      <c r="C6971" s="255" t="s">
        <v>955</v>
      </c>
      <c r="D6971" s="59">
        <v>1550.7</v>
      </c>
      <c r="E6971" s="59"/>
    </row>
    <row r="6972" spans="3:5" x14ac:dyDescent="0.15">
      <c r="C6972" s="255" t="s">
        <v>956</v>
      </c>
      <c r="D6972" s="59">
        <v>3858.1</v>
      </c>
      <c r="E6972" s="59"/>
    </row>
    <row r="6973" spans="3:5" x14ac:dyDescent="0.15">
      <c r="C6973" s="255" t="s">
        <v>957</v>
      </c>
      <c r="D6973" s="59">
        <v>49024.5</v>
      </c>
      <c r="E6973" s="59"/>
    </row>
    <row r="6974" spans="3:5" x14ac:dyDescent="0.15">
      <c r="C6974" s="255" t="s">
        <v>958</v>
      </c>
      <c r="D6974" s="59">
        <v>172.7</v>
      </c>
      <c r="E6974" s="59"/>
    </row>
    <row r="6975" spans="3:5" x14ac:dyDescent="0.15">
      <c r="C6975" s="255" t="s">
        <v>959</v>
      </c>
      <c r="D6975" s="59">
        <v>1798.2</v>
      </c>
      <c r="E6975" s="59"/>
    </row>
    <row r="6976" spans="3:5" x14ac:dyDescent="0.15">
      <c r="C6976" s="255" t="s">
        <v>960</v>
      </c>
      <c r="D6976" s="59">
        <v>99.1</v>
      </c>
      <c r="E6976" s="59"/>
    </row>
    <row r="6977" spans="3:5" x14ac:dyDescent="0.15">
      <c r="C6977" s="255" t="s">
        <v>961</v>
      </c>
      <c r="D6977" s="59">
        <v>78.3</v>
      </c>
      <c r="E6977" s="59"/>
    </row>
    <row r="6978" spans="3:5" x14ac:dyDescent="0.15">
      <c r="C6978" s="255" t="s">
        <v>962</v>
      </c>
      <c r="D6978" s="59">
        <v>7.6</v>
      </c>
      <c r="E6978" s="59"/>
    </row>
    <row r="6979" spans="3:5" x14ac:dyDescent="0.15">
      <c r="C6979" s="255" t="s">
        <v>963</v>
      </c>
      <c r="D6979" s="59">
        <v>1630.7</v>
      </c>
      <c r="E6979" s="59"/>
    </row>
    <row r="6980" spans="3:5" x14ac:dyDescent="0.15">
      <c r="C6980" s="255" t="s">
        <v>964</v>
      </c>
      <c r="D6980" s="59">
        <v>1110.2</v>
      </c>
      <c r="E6980" s="59"/>
    </row>
    <row r="6981" spans="3:5" x14ac:dyDescent="0.15">
      <c r="C6981" s="255" t="s">
        <v>965</v>
      </c>
      <c r="D6981" s="59">
        <v>101.3</v>
      </c>
      <c r="E6981" s="59"/>
    </row>
    <row r="6982" spans="3:5" x14ac:dyDescent="0.15">
      <c r="C6982" s="255" t="s">
        <v>966</v>
      </c>
      <c r="D6982" s="59">
        <v>13.2</v>
      </c>
      <c r="E6982" s="59"/>
    </row>
    <row r="6983" spans="3:5" x14ac:dyDescent="0.15">
      <c r="C6983" s="255" t="s">
        <v>967</v>
      </c>
      <c r="D6983" s="59">
        <v>347.4</v>
      </c>
      <c r="E6983" s="59"/>
    </row>
    <row r="6984" spans="3:5" x14ac:dyDescent="0.15">
      <c r="C6984" s="255" t="s">
        <v>968</v>
      </c>
      <c r="D6984" s="59">
        <v>0</v>
      </c>
      <c r="E6984" s="59"/>
    </row>
    <row r="6985" spans="3:5" x14ac:dyDescent="0.15">
      <c r="C6985" s="255" t="s">
        <v>969</v>
      </c>
      <c r="D6985" s="59">
        <v>61.5</v>
      </c>
      <c r="E6985" s="59"/>
    </row>
    <row r="6986" spans="3:5" x14ac:dyDescent="0.15">
      <c r="C6986" s="255" t="s">
        <v>970</v>
      </c>
      <c r="D6986" s="59">
        <v>6.9</v>
      </c>
      <c r="E6986" s="59"/>
    </row>
    <row r="6987" spans="3:5" x14ac:dyDescent="0.15">
      <c r="C6987" s="255" t="s">
        <v>971</v>
      </c>
      <c r="D6987" s="59">
        <v>538.70000000000005</v>
      </c>
      <c r="E6987" s="59"/>
    </row>
    <row r="6988" spans="3:5" x14ac:dyDescent="0.15">
      <c r="C6988" s="255" t="s">
        <v>972</v>
      </c>
      <c r="D6988" s="59">
        <v>2193</v>
      </c>
      <c r="E6988" s="59"/>
    </row>
    <row r="6989" spans="3:5" x14ac:dyDescent="0.15">
      <c r="C6989" s="255" t="s">
        <v>973</v>
      </c>
      <c r="D6989" s="59">
        <v>173.4</v>
      </c>
      <c r="E6989" s="59"/>
    </row>
    <row r="6990" spans="3:5" x14ac:dyDescent="0.15">
      <c r="C6990" s="255" t="s">
        <v>974</v>
      </c>
      <c r="D6990" s="59">
        <v>228</v>
      </c>
      <c r="E6990" s="59"/>
    </row>
    <row r="6991" spans="3:5" x14ac:dyDescent="0.15">
      <c r="C6991" s="255" t="s">
        <v>975</v>
      </c>
      <c r="D6991" s="59">
        <v>559.70000000000005</v>
      </c>
      <c r="E6991" s="59"/>
    </row>
    <row r="6992" spans="3:5" x14ac:dyDescent="0.15">
      <c r="C6992" s="255" t="s">
        <v>976</v>
      </c>
      <c r="D6992" s="59">
        <v>24</v>
      </c>
      <c r="E6992" s="59"/>
    </row>
    <row r="6993" spans="3:5" x14ac:dyDescent="0.15">
      <c r="C6993" s="255" t="s">
        <v>977</v>
      </c>
      <c r="D6993" s="59">
        <v>917.6</v>
      </c>
      <c r="E6993" s="59"/>
    </row>
    <row r="6994" spans="3:5" x14ac:dyDescent="0.15">
      <c r="C6994" s="255" t="s">
        <v>978</v>
      </c>
      <c r="D6994" s="59">
        <v>2087.1999999999998</v>
      </c>
      <c r="E6994" s="59"/>
    </row>
    <row r="6995" spans="3:5" x14ac:dyDescent="0.15">
      <c r="C6995" s="255" t="s">
        <v>979</v>
      </c>
      <c r="D6995" s="59">
        <v>1213.7</v>
      </c>
      <c r="E6995" s="59"/>
    </row>
    <row r="6996" spans="3:5" x14ac:dyDescent="0.15">
      <c r="C6996" s="255" t="s">
        <v>980</v>
      </c>
      <c r="D6996" s="59">
        <v>672.4</v>
      </c>
      <c r="E6996" s="59"/>
    </row>
    <row r="6997" spans="3:5" x14ac:dyDescent="0.15">
      <c r="C6997" s="255" t="s">
        <v>981</v>
      </c>
      <c r="D6997" s="59">
        <v>0</v>
      </c>
      <c r="E6997" s="59"/>
    </row>
    <row r="6998" spans="3:5" x14ac:dyDescent="0.15">
      <c r="C6998" s="255" t="s">
        <v>982</v>
      </c>
      <c r="D6998" s="59">
        <v>777.2</v>
      </c>
      <c r="E6998" s="59"/>
    </row>
    <row r="6999" spans="3:5" x14ac:dyDescent="0.15">
      <c r="C6999" s="255" t="s">
        <v>983</v>
      </c>
      <c r="D6999" s="59">
        <v>2979.2</v>
      </c>
      <c r="E6999" s="59"/>
    </row>
    <row r="7000" spans="3:5" x14ac:dyDescent="0.15">
      <c r="C7000" s="255" t="s">
        <v>984</v>
      </c>
      <c r="D7000" s="59">
        <v>137.19999999999999</v>
      </c>
      <c r="E7000" s="59"/>
    </row>
    <row r="7001" spans="3:5" x14ac:dyDescent="0.15">
      <c r="C7001" s="255" t="s">
        <v>985</v>
      </c>
      <c r="D7001" s="59">
        <v>1608.1</v>
      </c>
      <c r="E7001" s="59"/>
    </row>
    <row r="7002" spans="3:5" x14ac:dyDescent="0.15">
      <c r="C7002" s="255" t="s">
        <v>986</v>
      </c>
      <c r="D7002" s="59">
        <v>1265.4000000000001</v>
      </c>
      <c r="E7002" s="59"/>
    </row>
    <row r="7003" spans="3:5" x14ac:dyDescent="0.15">
      <c r="C7003" s="255" t="s">
        <v>987</v>
      </c>
      <c r="D7003" s="59">
        <v>606.4</v>
      </c>
      <c r="E7003" s="59"/>
    </row>
    <row r="7004" spans="3:5" x14ac:dyDescent="0.15">
      <c r="C7004" s="255" t="s">
        <v>988</v>
      </c>
      <c r="D7004" s="59">
        <v>2786.2</v>
      </c>
      <c r="E7004" s="59"/>
    </row>
    <row r="7005" spans="3:5" x14ac:dyDescent="0.15">
      <c r="C7005" s="255" t="s">
        <v>989</v>
      </c>
      <c r="D7005" s="59">
        <v>2226.9</v>
      </c>
      <c r="E7005" s="59"/>
    </row>
    <row r="7006" spans="3:5" x14ac:dyDescent="0.15">
      <c r="C7006" s="255" t="s">
        <v>990</v>
      </c>
      <c r="D7006" s="59">
        <v>545.29999999999995</v>
      </c>
      <c r="E7006" s="59"/>
    </row>
    <row r="7007" spans="3:5" x14ac:dyDescent="0.15">
      <c r="C7007" s="255" t="s">
        <v>991</v>
      </c>
      <c r="D7007" s="59">
        <v>6367</v>
      </c>
      <c r="E7007" s="59"/>
    </row>
    <row r="7008" spans="3:5" x14ac:dyDescent="0.15">
      <c r="C7008" s="255" t="s">
        <v>992</v>
      </c>
      <c r="D7008" s="59">
        <v>22.5</v>
      </c>
      <c r="E7008" s="59"/>
    </row>
    <row r="7009" spans="3:5" x14ac:dyDescent="0.15">
      <c r="C7009" s="255" t="s">
        <v>993</v>
      </c>
      <c r="D7009" s="59">
        <v>356.4</v>
      </c>
      <c r="E7009" s="59"/>
    </row>
    <row r="7010" spans="3:5" x14ac:dyDescent="0.15">
      <c r="C7010" s="255" t="s">
        <v>994</v>
      </c>
      <c r="D7010" s="59">
        <v>0</v>
      </c>
      <c r="E7010" s="59"/>
    </row>
    <row r="7011" spans="3:5" x14ac:dyDescent="0.15">
      <c r="C7011" s="255" t="s">
        <v>995</v>
      </c>
      <c r="D7011" s="59">
        <v>1137.2</v>
      </c>
      <c r="E7011" s="59"/>
    </row>
    <row r="7012" spans="3:5" x14ac:dyDescent="0.15">
      <c r="C7012" s="255" t="s">
        <v>996</v>
      </c>
      <c r="D7012" s="59">
        <v>830.2</v>
      </c>
      <c r="E7012" s="59"/>
    </row>
    <row r="7013" spans="3:5" x14ac:dyDescent="0.15">
      <c r="C7013" s="255" t="s">
        <v>997</v>
      </c>
      <c r="D7013" s="59">
        <v>451.2</v>
      </c>
      <c r="E7013" s="59"/>
    </row>
    <row r="7014" spans="3:5" x14ac:dyDescent="0.15">
      <c r="C7014" s="255" t="s">
        <v>998</v>
      </c>
      <c r="D7014" s="59">
        <v>153.19999999999999</v>
      </c>
      <c r="E7014" s="59"/>
    </row>
    <row r="7015" spans="3:5" x14ac:dyDescent="0.15">
      <c r="C7015" s="255" t="s">
        <v>999</v>
      </c>
      <c r="D7015" s="59">
        <v>0.4</v>
      </c>
      <c r="E7015" s="59"/>
    </row>
    <row r="7016" spans="3:5" x14ac:dyDescent="0.15">
      <c r="C7016" s="255" t="s">
        <v>1000</v>
      </c>
      <c r="D7016" s="59">
        <v>1276.7</v>
      </c>
      <c r="E7016" s="59"/>
    </row>
    <row r="7017" spans="3:5" x14ac:dyDescent="0.15">
      <c r="C7017" s="255" t="s">
        <v>1001</v>
      </c>
      <c r="D7017" s="59">
        <v>482.4</v>
      </c>
      <c r="E7017" s="59"/>
    </row>
    <row r="7018" spans="3:5" x14ac:dyDescent="0.15">
      <c r="C7018" s="255" t="s">
        <v>1002</v>
      </c>
      <c r="D7018" s="59">
        <v>284.5</v>
      </c>
      <c r="E7018" s="59"/>
    </row>
    <row r="7019" spans="3:5" x14ac:dyDescent="0.15">
      <c r="C7019" s="255" t="s">
        <v>1003</v>
      </c>
      <c r="D7019" s="59">
        <v>195.2</v>
      </c>
      <c r="E7019" s="59"/>
    </row>
    <row r="7020" spans="3:5" x14ac:dyDescent="0.15">
      <c r="C7020" s="255" t="s">
        <v>1004</v>
      </c>
      <c r="D7020" s="59">
        <v>134.19999999999999</v>
      </c>
      <c r="E7020" s="59"/>
    </row>
    <row r="7021" spans="3:5" x14ac:dyDescent="0.15">
      <c r="C7021" s="255" t="s">
        <v>1005</v>
      </c>
      <c r="D7021" s="59">
        <v>131.4</v>
      </c>
      <c r="E7021" s="59"/>
    </row>
    <row r="7022" spans="3:5" x14ac:dyDescent="0.15">
      <c r="C7022" s="255" t="s">
        <v>1006</v>
      </c>
      <c r="D7022" s="59">
        <v>10235.1</v>
      </c>
      <c r="E7022" s="59"/>
    </row>
    <row r="7023" spans="3:5" x14ac:dyDescent="0.15">
      <c r="C7023" s="255" t="s">
        <v>1007</v>
      </c>
      <c r="D7023" s="59">
        <v>2809.2</v>
      </c>
      <c r="E7023" s="59"/>
    </row>
    <row r="7024" spans="3:5" x14ac:dyDescent="0.15">
      <c r="C7024" s="255" t="s">
        <v>1008</v>
      </c>
      <c r="D7024" s="59">
        <v>1472.7</v>
      </c>
      <c r="E7024" s="59"/>
    </row>
    <row r="7025" spans="3:5" x14ac:dyDescent="0.15">
      <c r="C7025" s="255" t="s">
        <v>1009</v>
      </c>
      <c r="D7025" s="59">
        <v>972.1</v>
      </c>
      <c r="E7025" s="59"/>
    </row>
    <row r="7026" spans="3:5" x14ac:dyDescent="0.15">
      <c r="C7026" s="255" t="s">
        <v>1010</v>
      </c>
      <c r="D7026" s="59">
        <v>164.4</v>
      </c>
      <c r="E7026" s="59"/>
    </row>
    <row r="7027" spans="3:5" x14ac:dyDescent="0.15">
      <c r="C7027" s="255" t="s">
        <v>1011</v>
      </c>
      <c r="D7027" s="59">
        <v>200</v>
      </c>
      <c r="E7027" s="59"/>
    </row>
    <row r="7028" spans="3:5" x14ac:dyDescent="0.15">
      <c r="C7028" s="255" t="s">
        <v>1012</v>
      </c>
      <c r="D7028" s="59">
        <v>32619</v>
      </c>
      <c r="E7028" s="59"/>
    </row>
    <row r="7029" spans="3:5" x14ac:dyDescent="0.15">
      <c r="C7029" s="255" t="s">
        <v>1013</v>
      </c>
      <c r="D7029" s="59">
        <v>18115.3</v>
      </c>
      <c r="E7029" s="59"/>
    </row>
    <row r="7030" spans="3:5" x14ac:dyDescent="0.15">
      <c r="C7030" s="255" t="s">
        <v>1014</v>
      </c>
      <c r="D7030" s="59">
        <v>4955.7</v>
      </c>
      <c r="E7030" s="59"/>
    </row>
    <row r="7031" spans="3:5" x14ac:dyDescent="0.15">
      <c r="C7031" s="255" t="s">
        <v>1015</v>
      </c>
      <c r="D7031" s="59">
        <v>1517.3</v>
      </c>
      <c r="E7031" s="59"/>
    </row>
    <row r="7032" spans="3:5" x14ac:dyDescent="0.15">
      <c r="C7032" s="255" t="s">
        <v>1016</v>
      </c>
      <c r="D7032" s="59">
        <v>4045.6</v>
      </c>
      <c r="E7032" s="59"/>
    </row>
    <row r="7033" spans="3:5" x14ac:dyDescent="0.15">
      <c r="C7033" s="255" t="s">
        <v>1017</v>
      </c>
      <c r="D7033" s="59">
        <v>3895.9</v>
      </c>
      <c r="E7033" s="59"/>
    </row>
    <row r="7034" spans="3:5" x14ac:dyDescent="0.15">
      <c r="C7034" s="255" t="s">
        <v>1018</v>
      </c>
      <c r="D7034" s="59">
        <v>89.2</v>
      </c>
      <c r="E7034" s="59"/>
    </row>
    <row r="7035" spans="3:5" x14ac:dyDescent="0.15">
      <c r="C7035" s="255" t="s">
        <v>1019</v>
      </c>
      <c r="D7035" s="59">
        <v>49441</v>
      </c>
      <c r="E7035" s="59"/>
    </row>
    <row r="7036" spans="3:5" x14ac:dyDescent="0.15">
      <c r="C7036" s="255" t="s">
        <v>1020</v>
      </c>
      <c r="D7036" s="59">
        <v>844.9</v>
      </c>
      <c r="E7036" s="59"/>
    </row>
    <row r="7037" spans="3:5" x14ac:dyDescent="0.15">
      <c r="C7037" s="255" t="s">
        <v>1021</v>
      </c>
      <c r="D7037" s="59">
        <v>1882.5</v>
      </c>
      <c r="E7037" s="59"/>
    </row>
    <row r="7038" spans="3:5" x14ac:dyDescent="0.15">
      <c r="C7038" s="255" t="s">
        <v>1022</v>
      </c>
      <c r="D7038" s="59">
        <v>560.6</v>
      </c>
      <c r="E7038" s="59"/>
    </row>
    <row r="7039" spans="3:5" x14ac:dyDescent="0.15">
      <c r="C7039" s="255" t="s">
        <v>1023</v>
      </c>
      <c r="D7039" s="59">
        <v>229.1</v>
      </c>
      <c r="E7039" s="59"/>
    </row>
    <row r="7040" spans="3:5" x14ac:dyDescent="0.15">
      <c r="C7040" s="255" t="s">
        <v>1024</v>
      </c>
      <c r="D7040" s="59">
        <v>49.6</v>
      </c>
      <c r="E7040" s="59"/>
    </row>
    <row r="7041" spans="3:5" x14ac:dyDescent="0.15">
      <c r="C7041" s="255" t="s">
        <v>1025</v>
      </c>
      <c r="D7041" s="59">
        <v>404.6</v>
      </c>
      <c r="E7041" s="59"/>
    </row>
    <row r="7042" spans="3:5" x14ac:dyDescent="0.15">
      <c r="C7042" s="255" t="s">
        <v>1026</v>
      </c>
      <c r="D7042" s="59">
        <v>5704.6</v>
      </c>
      <c r="E7042" s="59"/>
    </row>
    <row r="7043" spans="3:5" x14ac:dyDescent="0.15">
      <c r="C7043" s="255" t="s">
        <v>1027</v>
      </c>
      <c r="D7043" s="59">
        <v>0</v>
      </c>
      <c r="E7043" s="59"/>
    </row>
    <row r="7044" spans="3:5" x14ac:dyDescent="0.15">
      <c r="C7044" s="255" t="s">
        <v>1028</v>
      </c>
      <c r="D7044" s="59">
        <v>1043.5999999999999</v>
      </c>
      <c r="E7044" s="59"/>
    </row>
    <row r="7045" spans="3:5" x14ac:dyDescent="0.15">
      <c r="C7045" s="255" t="s">
        <v>1029</v>
      </c>
      <c r="D7045" s="59">
        <v>698.5</v>
      </c>
      <c r="E7045" s="59"/>
    </row>
    <row r="7046" spans="3:5" x14ac:dyDescent="0.15">
      <c r="C7046" s="255" t="s">
        <v>1030</v>
      </c>
      <c r="D7046" s="59">
        <v>4.5</v>
      </c>
      <c r="E7046" s="59"/>
    </row>
    <row r="7047" spans="3:5" x14ac:dyDescent="0.15">
      <c r="C7047" s="255" t="s">
        <v>1031</v>
      </c>
      <c r="D7047" s="59">
        <v>1031.7</v>
      </c>
      <c r="E7047" s="59"/>
    </row>
    <row r="7048" spans="3:5" x14ac:dyDescent="0.15">
      <c r="C7048" s="255" t="s">
        <v>1032</v>
      </c>
      <c r="D7048" s="59">
        <v>27.4</v>
      </c>
      <c r="E7048" s="59"/>
    </row>
    <row r="7049" spans="3:5" x14ac:dyDescent="0.15">
      <c r="C7049" s="255" t="s">
        <v>1033</v>
      </c>
      <c r="D7049" s="59">
        <v>0</v>
      </c>
      <c r="E7049" s="59"/>
    </row>
    <row r="7050" spans="3:5" x14ac:dyDescent="0.15">
      <c r="C7050" s="255" t="s">
        <v>1034</v>
      </c>
      <c r="D7050" s="59">
        <v>129.5</v>
      </c>
      <c r="E7050" s="59"/>
    </row>
    <row r="7051" spans="3:5" x14ac:dyDescent="0.15">
      <c r="C7051" s="255" t="s">
        <v>1035</v>
      </c>
      <c r="D7051" s="59">
        <v>7797.1</v>
      </c>
      <c r="E7051" s="59"/>
    </row>
    <row r="7052" spans="3:5" x14ac:dyDescent="0.15">
      <c r="C7052" s="255" t="s">
        <v>1036</v>
      </c>
      <c r="D7052" s="59">
        <v>1.3</v>
      </c>
      <c r="E7052" s="59"/>
    </row>
    <row r="7053" spans="3:5" x14ac:dyDescent="0.15">
      <c r="C7053" s="255" t="s">
        <v>1037</v>
      </c>
      <c r="D7053" s="59">
        <v>2039.2</v>
      </c>
      <c r="E7053" s="59"/>
    </row>
    <row r="7054" spans="3:5" x14ac:dyDescent="0.15">
      <c r="C7054" s="255" t="s">
        <v>1038</v>
      </c>
      <c r="D7054" s="59">
        <v>8459.2000000000007</v>
      </c>
      <c r="E7054" s="59"/>
    </row>
    <row r="7055" spans="3:5" x14ac:dyDescent="0.15">
      <c r="C7055" s="255" t="s">
        <v>1039</v>
      </c>
      <c r="D7055" s="59">
        <v>2061.1</v>
      </c>
      <c r="E7055" s="59"/>
    </row>
    <row r="7056" spans="3:5" x14ac:dyDescent="0.15">
      <c r="C7056" s="255" t="s">
        <v>1040</v>
      </c>
      <c r="D7056" s="59">
        <v>8589.7000000000007</v>
      </c>
      <c r="E7056" s="59"/>
    </row>
    <row r="7057" spans="2:5" x14ac:dyDescent="0.15">
      <c r="C7057" s="255" t="s">
        <v>1041</v>
      </c>
      <c r="D7057" s="59">
        <v>682.4</v>
      </c>
      <c r="E7057" s="59"/>
    </row>
    <row r="7058" spans="2:5" x14ac:dyDescent="0.15">
      <c r="C7058" s="255" t="s">
        <v>1042</v>
      </c>
      <c r="D7058" s="59">
        <v>4939</v>
      </c>
      <c r="E7058" s="59"/>
    </row>
    <row r="7059" spans="2:5" x14ac:dyDescent="0.15">
      <c r="C7059" s="255" t="s">
        <v>1043</v>
      </c>
      <c r="D7059" s="59">
        <v>1342.4</v>
      </c>
      <c r="E7059" s="59"/>
    </row>
    <row r="7060" spans="2:5" x14ac:dyDescent="0.15">
      <c r="C7060" s="255" t="s">
        <v>1044</v>
      </c>
      <c r="D7060" s="59">
        <v>330.5</v>
      </c>
      <c r="E7060" s="59"/>
    </row>
    <row r="7061" spans="2:5" x14ac:dyDescent="0.15">
      <c r="C7061" s="255" t="s">
        <v>1045</v>
      </c>
      <c r="D7061" s="59">
        <v>104.5</v>
      </c>
      <c r="E7061" s="59"/>
    </row>
    <row r="7062" spans="2:5" x14ac:dyDescent="0.15">
      <c r="C7062" s="255" t="s">
        <v>1046</v>
      </c>
      <c r="D7062" s="59">
        <v>362.8</v>
      </c>
      <c r="E7062" s="59"/>
    </row>
    <row r="7063" spans="2:5" x14ac:dyDescent="0.15">
      <c r="C7063" s="255" t="s">
        <v>1047</v>
      </c>
      <c r="D7063" s="59">
        <v>68.599999999999994</v>
      </c>
      <c r="E7063" s="59"/>
    </row>
    <row r="7064" spans="2:5" x14ac:dyDescent="0.15">
      <c r="C7064" s="255" t="s">
        <v>1048</v>
      </c>
      <c r="D7064" s="59">
        <v>52.4</v>
      </c>
      <c r="E7064" s="59"/>
    </row>
    <row r="7065" spans="2:5" x14ac:dyDescent="0.15">
      <c r="B7065" s="255" t="s">
        <v>1067</v>
      </c>
      <c r="C7065" s="255" t="s">
        <v>743</v>
      </c>
      <c r="D7065" s="59">
        <v>2194</v>
      </c>
      <c r="E7065" s="59"/>
    </row>
    <row r="7066" spans="2:5" x14ac:dyDescent="0.15">
      <c r="C7066" s="255" t="s">
        <v>744</v>
      </c>
      <c r="D7066" s="59">
        <v>2686</v>
      </c>
      <c r="E7066" s="59"/>
    </row>
    <row r="7067" spans="2:5" x14ac:dyDescent="0.15">
      <c r="C7067" s="255" t="s">
        <v>745</v>
      </c>
      <c r="D7067" s="59">
        <v>5683.5</v>
      </c>
      <c r="E7067" s="59"/>
    </row>
    <row r="7068" spans="2:5" x14ac:dyDescent="0.15">
      <c r="C7068" s="255" t="s">
        <v>746</v>
      </c>
      <c r="D7068" s="59">
        <v>2.1</v>
      </c>
      <c r="E7068" s="59"/>
    </row>
    <row r="7069" spans="2:5" x14ac:dyDescent="0.15">
      <c r="C7069" s="255" t="s">
        <v>747</v>
      </c>
      <c r="D7069" s="59">
        <v>1.7</v>
      </c>
      <c r="E7069" s="59"/>
    </row>
    <row r="7070" spans="2:5" x14ac:dyDescent="0.15">
      <c r="C7070" s="255" t="s">
        <v>748</v>
      </c>
      <c r="D7070" s="59">
        <v>0.4</v>
      </c>
      <c r="E7070" s="59"/>
    </row>
    <row r="7071" spans="2:5" x14ac:dyDescent="0.15">
      <c r="C7071" s="255" t="s">
        <v>749</v>
      </c>
      <c r="D7071" s="59">
        <v>0.5</v>
      </c>
      <c r="E7071" s="59"/>
    </row>
    <row r="7072" spans="2:5" x14ac:dyDescent="0.15">
      <c r="C7072" s="255" t="s">
        <v>750</v>
      </c>
      <c r="D7072" s="59">
        <v>0.4</v>
      </c>
      <c r="E7072" s="59"/>
    </row>
    <row r="7073" spans="3:5" x14ac:dyDescent="0.15">
      <c r="C7073" s="255" t="s">
        <v>751</v>
      </c>
      <c r="D7073" s="59">
        <v>52.3</v>
      </c>
      <c r="E7073" s="59"/>
    </row>
    <row r="7074" spans="3:5" x14ac:dyDescent="0.15">
      <c r="C7074" s="255" t="s">
        <v>752</v>
      </c>
      <c r="D7074" s="59">
        <v>1.5</v>
      </c>
      <c r="E7074" s="59"/>
    </row>
    <row r="7075" spans="3:5" x14ac:dyDescent="0.15">
      <c r="C7075" s="255" t="s">
        <v>753</v>
      </c>
      <c r="D7075" s="59">
        <v>112.7</v>
      </c>
      <c r="E7075" s="59"/>
    </row>
    <row r="7076" spans="3:5" x14ac:dyDescent="0.15">
      <c r="C7076" s="255" t="s">
        <v>754</v>
      </c>
      <c r="D7076" s="59">
        <v>1953.7</v>
      </c>
      <c r="E7076" s="59"/>
    </row>
    <row r="7077" spans="3:5" x14ac:dyDescent="0.15">
      <c r="C7077" s="255" t="s">
        <v>192</v>
      </c>
      <c r="D7077" s="59">
        <v>300480.3</v>
      </c>
      <c r="E7077" s="59"/>
    </row>
    <row r="7078" spans="3:5" x14ac:dyDescent="0.15">
      <c r="C7078" s="255" t="s">
        <v>755</v>
      </c>
      <c r="D7078" s="59">
        <v>36260.9</v>
      </c>
      <c r="E7078" s="59"/>
    </row>
    <row r="7079" spans="3:5" x14ac:dyDescent="0.15">
      <c r="C7079" s="255" t="s">
        <v>756</v>
      </c>
      <c r="D7079" s="59">
        <v>142.6</v>
      </c>
      <c r="E7079" s="59"/>
    </row>
    <row r="7080" spans="3:5" x14ac:dyDescent="0.15">
      <c r="C7080" s="255" t="s">
        <v>757</v>
      </c>
      <c r="D7080" s="59">
        <v>119.1</v>
      </c>
      <c r="E7080" s="59"/>
    </row>
    <row r="7081" spans="3:5" x14ac:dyDescent="0.15">
      <c r="C7081" s="255" t="s">
        <v>758</v>
      </c>
      <c r="D7081" s="59">
        <v>2221.1999999999998</v>
      </c>
      <c r="E7081" s="59"/>
    </row>
    <row r="7082" spans="3:5" x14ac:dyDescent="0.15">
      <c r="C7082" s="255" t="s">
        <v>759</v>
      </c>
      <c r="D7082" s="59">
        <v>1387</v>
      </c>
      <c r="E7082" s="59"/>
    </row>
    <row r="7083" spans="3:5" x14ac:dyDescent="0.15">
      <c r="C7083" s="255" t="s">
        <v>760</v>
      </c>
      <c r="D7083" s="59">
        <v>165</v>
      </c>
      <c r="E7083" s="59"/>
    </row>
    <row r="7084" spans="3:5" x14ac:dyDescent="0.15">
      <c r="C7084" s="255" t="s">
        <v>761</v>
      </c>
      <c r="D7084" s="59">
        <v>364.4</v>
      </c>
      <c r="E7084" s="59"/>
    </row>
    <row r="7085" spans="3:5" x14ac:dyDescent="0.15">
      <c r="C7085" s="255" t="s">
        <v>762</v>
      </c>
      <c r="D7085" s="59">
        <v>386</v>
      </c>
      <c r="E7085" s="59"/>
    </row>
    <row r="7086" spans="3:5" x14ac:dyDescent="0.15">
      <c r="C7086" s="255" t="s">
        <v>763</v>
      </c>
      <c r="D7086" s="59">
        <v>173.3</v>
      </c>
      <c r="E7086" s="59"/>
    </row>
    <row r="7087" spans="3:5" x14ac:dyDescent="0.15">
      <c r="C7087" s="255" t="s">
        <v>764</v>
      </c>
      <c r="D7087" s="59">
        <v>2187.5</v>
      </c>
      <c r="E7087" s="59"/>
    </row>
    <row r="7088" spans="3:5" x14ac:dyDescent="0.15">
      <c r="C7088" s="255" t="s">
        <v>765</v>
      </c>
      <c r="D7088" s="59">
        <v>1110.7</v>
      </c>
      <c r="E7088" s="59"/>
    </row>
    <row r="7089" spans="3:5" x14ac:dyDescent="0.15">
      <c r="C7089" s="255" t="s">
        <v>766</v>
      </c>
      <c r="D7089" s="59">
        <v>166.9</v>
      </c>
      <c r="E7089" s="59"/>
    </row>
    <row r="7090" spans="3:5" x14ac:dyDescent="0.15">
      <c r="C7090" s="255" t="s">
        <v>767</v>
      </c>
      <c r="D7090" s="59">
        <v>1140.0999999999999</v>
      </c>
      <c r="E7090" s="59"/>
    </row>
    <row r="7091" spans="3:5" x14ac:dyDescent="0.15">
      <c r="C7091" s="255" t="s">
        <v>768</v>
      </c>
      <c r="D7091" s="59">
        <v>36.1</v>
      </c>
      <c r="E7091" s="59"/>
    </row>
    <row r="7092" spans="3:5" x14ac:dyDescent="0.15">
      <c r="C7092" s="255" t="s">
        <v>769</v>
      </c>
      <c r="D7092" s="59">
        <v>27.4</v>
      </c>
      <c r="E7092" s="59"/>
    </row>
    <row r="7093" spans="3:5" x14ac:dyDescent="0.15">
      <c r="C7093" s="255" t="s">
        <v>770</v>
      </c>
      <c r="D7093" s="59">
        <v>1525.8</v>
      </c>
      <c r="E7093" s="59"/>
    </row>
    <row r="7094" spans="3:5" x14ac:dyDescent="0.15">
      <c r="C7094" s="255" t="s">
        <v>771</v>
      </c>
      <c r="D7094" s="59">
        <v>1619.8</v>
      </c>
      <c r="E7094" s="59"/>
    </row>
    <row r="7095" spans="3:5" x14ac:dyDescent="0.15">
      <c r="C7095" s="255" t="s">
        <v>772</v>
      </c>
      <c r="D7095" s="59">
        <v>556.6</v>
      </c>
      <c r="E7095" s="59"/>
    </row>
    <row r="7096" spans="3:5" x14ac:dyDescent="0.15">
      <c r="C7096" s="255" t="s">
        <v>773</v>
      </c>
      <c r="D7096" s="59">
        <v>101.1</v>
      </c>
      <c r="E7096" s="59"/>
    </row>
    <row r="7097" spans="3:5" x14ac:dyDescent="0.15">
      <c r="C7097" s="255" t="s">
        <v>774</v>
      </c>
      <c r="D7097" s="59">
        <v>92.2</v>
      </c>
      <c r="E7097" s="59"/>
    </row>
    <row r="7098" spans="3:5" x14ac:dyDescent="0.15">
      <c r="C7098" s="255" t="s">
        <v>775</v>
      </c>
      <c r="D7098" s="59">
        <v>94.5</v>
      </c>
      <c r="E7098" s="59"/>
    </row>
    <row r="7099" spans="3:5" x14ac:dyDescent="0.15">
      <c r="C7099" s="255" t="s">
        <v>776</v>
      </c>
      <c r="D7099" s="59">
        <v>300.5</v>
      </c>
      <c r="E7099" s="59"/>
    </row>
    <row r="7100" spans="3:5" x14ac:dyDescent="0.15">
      <c r="C7100" s="255" t="s">
        <v>777</v>
      </c>
      <c r="D7100" s="59">
        <v>766.5</v>
      </c>
      <c r="E7100" s="59"/>
    </row>
    <row r="7101" spans="3:5" x14ac:dyDescent="0.15">
      <c r="C7101" s="255" t="s">
        <v>778</v>
      </c>
      <c r="D7101" s="59">
        <v>430.3</v>
      </c>
      <c r="E7101" s="59"/>
    </row>
    <row r="7102" spans="3:5" x14ac:dyDescent="0.15">
      <c r="C7102" s="255" t="s">
        <v>779</v>
      </c>
      <c r="D7102" s="59">
        <v>539.70000000000005</v>
      </c>
      <c r="E7102" s="59"/>
    </row>
    <row r="7103" spans="3:5" x14ac:dyDescent="0.15">
      <c r="C7103" s="255" t="s">
        <v>780</v>
      </c>
      <c r="D7103" s="59">
        <v>9</v>
      </c>
      <c r="E7103" s="59"/>
    </row>
    <row r="7104" spans="3:5" x14ac:dyDescent="0.15">
      <c r="C7104" s="255" t="s">
        <v>781</v>
      </c>
      <c r="D7104" s="59">
        <v>756.7</v>
      </c>
      <c r="E7104" s="59"/>
    </row>
    <row r="7105" spans="3:5" x14ac:dyDescent="0.15">
      <c r="C7105" s="255" t="s">
        <v>782</v>
      </c>
      <c r="D7105" s="59">
        <v>1883.8</v>
      </c>
      <c r="E7105" s="59"/>
    </row>
    <row r="7106" spans="3:5" x14ac:dyDescent="0.15">
      <c r="C7106" s="255" t="s">
        <v>783</v>
      </c>
      <c r="D7106" s="59">
        <v>722.6</v>
      </c>
      <c r="E7106" s="59"/>
    </row>
    <row r="7107" spans="3:5" x14ac:dyDescent="0.15">
      <c r="C7107" s="255" t="s">
        <v>784</v>
      </c>
      <c r="D7107" s="59">
        <v>619.1</v>
      </c>
      <c r="E7107" s="59"/>
    </row>
    <row r="7108" spans="3:5" x14ac:dyDescent="0.15">
      <c r="C7108" s="255" t="s">
        <v>785</v>
      </c>
      <c r="D7108" s="59">
        <v>554.6</v>
      </c>
      <c r="E7108" s="59"/>
    </row>
    <row r="7109" spans="3:5" x14ac:dyDescent="0.15">
      <c r="C7109" s="255" t="s">
        <v>786</v>
      </c>
      <c r="D7109" s="59">
        <v>149</v>
      </c>
      <c r="E7109" s="59"/>
    </row>
    <row r="7110" spans="3:5" x14ac:dyDescent="0.15">
      <c r="C7110" s="255" t="s">
        <v>787</v>
      </c>
      <c r="D7110" s="59">
        <v>112.1</v>
      </c>
      <c r="E7110" s="59"/>
    </row>
    <row r="7111" spans="3:5" x14ac:dyDescent="0.15">
      <c r="C7111" s="255" t="s">
        <v>788</v>
      </c>
      <c r="D7111" s="59">
        <v>91.8</v>
      </c>
      <c r="E7111" s="59"/>
    </row>
    <row r="7112" spans="3:5" x14ac:dyDescent="0.15">
      <c r="C7112" s="255" t="s">
        <v>789</v>
      </c>
      <c r="D7112" s="59">
        <v>9.8000000000000007</v>
      </c>
      <c r="E7112" s="59"/>
    </row>
    <row r="7113" spans="3:5" x14ac:dyDescent="0.15">
      <c r="C7113" s="255" t="s">
        <v>790</v>
      </c>
      <c r="D7113" s="59">
        <v>2245.9</v>
      </c>
      <c r="E7113" s="59"/>
    </row>
    <row r="7114" spans="3:5" x14ac:dyDescent="0.15">
      <c r="C7114" s="255" t="s">
        <v>791</v>
      </c>
      <c r="D7114" s="59">
        <v>64.2</v>
      </c>
      <c r="E7114" s="59"/>
    </row>
    <row r="7115" spans="3:5" x14ac:dyDescent="0.15">
      <c r="C7115" s="255" t="s">
        <v>792</v>
      </c>
      <c r="D7115" s="59">
        <v>772.3</v>
      </c>
      <c r="E7115" s="59"/>
    </row>
    <row r="7116" spans="3:5" x14ac:dyDescent="0.15">
      <c r="C7116" s="255" t="s">
        <v>793</v>
      </c>
      <c r="D7116" s="59">
        <v>180.1</v>
      </c>
      <c r="E7116" s="59"/>
    </row>
    <row r="7117" spans="3:5" x14ac:dyDescent="0.15">
      <c r="C7117" s="255" t="s">
        <v>794</v>
      </c>
      <c r="D7117" s="59">
        <v>2353.3000000000002</v>
      </c>
      <c r="E7117" s="59"/>
    </row>
    <row r="7118" spans="3:5" x14ac:dyDescent="0.15">
      <c r="C7118" s="255" t="s">
        <v>795</v>
      </c>
      <c r="D7118" s="59">
        <v>237.6</v>
      </c>
      <c r="E7118" s="59"/>
    </row>
    <row r="7119" spans="3:5" x14ac:dyDescent="0.15">
      <c r="C7119" s="255" t="s">
        <v>796</v>
      </c>
      <c r="D7119" s="59">
        <v>565</v>
      </c>
      <c r="E7119" s="59"/>
    </row>
    <row r="7120" spans="3:5" x14ac:dyDescent="0.15">
      <c r="C7120" s="255" t="s">
        <v>797</v>
      </c>
      <c r="D7120" s="59">
        <v>628.9</v>
      </c>
      <c r="E7120" s="59"/>
    </row>
    <row r="7121" spans="3:5" x14ac:dyDescent="0.15">
      <c r="C7121" s="255" t="s">
        <v>798</v>
      </c>
      <c r="D7121" s="59">
        <v>303.60000000000002</v>
      </c>
      <c r="E7121" s="59"/>
    </row>
    <row r="7122" spans="3:5" x14ac:dyDescent="0.15">
      <c r="C7122" s="255" t="s">
        <v>799</v>
      </c>
      <c r="D7122" s="59">
        <v>99.4</v>
      </c>
      <c r="E7122" s="59"/>
    </row>
    <row r="7123" spans="3:5" x14ac:dyDescent="0.15">
      <c r="C7123" s="255" t="s">
        <v>800</v>
      </c>
      <c r="D7123" s="59">
        <v>112.7</v>
      </c>
      <c r="E7123" s="59"/>
    </row>
    <row r="7124" spans="3:5" x14ac:dyDescent="0.15">
      <c r="C7124" s="255" t="s">
        <v>801</v>
      </c>
      <c r="D7124" s="59">
        <v>266.60000000000002</v>
      </c>
      <c r="E7124" s="59"/>
    </row>
    <row r="7125" spans="3:5" x14ac:dyDescent="0.15">
      <c r="C7125" s="255" t="s">
        <v>802</v>
      </c>
      <c r="D7125" s="59">
        <v>1058.3</v>
      </c>
      <c r="E7125" s="59"/>
    </row>
    <row r="7126" spans="3:5" x14ac:dyDescent="0.15">
      <c r="C7126" s="255" t="s">
        <v>803</v>
      </c>
      <c r="D7126" s="59">
        <v>1289.2</v>
      </c>
      <c r="E7126" s="59"/>
    </row>
    <row r="7127" spans="3:5" x14ac:dyDescent="0.15">
      <c r="C7127" s="255" t="s">
        <v>804</v>
      </c>
      <c r="D7127" s="59">
        <v>724.5</v>
      </c>
      <c r="E7127" s="59"/>
    </row>
    <row r="7128" spans="3:5" x14ac:dyDescent="0.15">
      <c r="C7128" s="255" t="s">
        <v>805</v>
      </c>
      <c r="D7128" s="59">
        <v>16.100000000000001</v>
      </c>
      <c r="E7128" s="59"/>
    </row>
    <row r="7129" spans="3:5" x14ac:dyDescent="0.15">
      <c r="C7129" s="255" t="s">
        <v>806</v>
      </c>
      <c r="D7129" s="59">
        <v>755</v>
      </c>
      <c r="E7129" s="59"/>
    </row>
    <row r="7130" spans="3:5" x14ac:dyDescent="0.15">
      <c r="C7130" s="255" t="s">
        <v>807</v>
      </c>
      <c r="D7130" s="59">
        <v>360.2</v>
      </c>
      <c r="E7130" s="59"/>
    </row>
    <row r="7131" spans="3:5" x14ac:dyDescent="0.15">
      <c r="C7131" s="255" t="s">
        <v>808</v>
      </c>
      <c r="D7131" s="59">
        <v>53.8</v>
      </c>
      <c r="E7131" s="59"/>
    </row>
    <row r="7132" spans="3:5" x14ac:dyDescent="0.15">
      <c r="C7132" s="255" t="s">
        <v>809</v>
      </c>
      <c r="D7132" s="59">
        <v>348.6</v>
      </c>
      <c r="E7132" s="59"/>
    </row>
    <row r="7133" spans="3:5" x14ac:dyDescent="0.15">
      <c r="C7133" s="255" t="s">
        <v>810</v>
      </c>
      <c r="D7133" s="59">
        <v>224.6</v>
      </c>
      <c r="E7133" s="59"/>
    </row>
    <row r="7134" spans="3:5" x14ac:dyDescent="0.15">
      <c r="C7134" s="255" t="s">
        <v>811</v>
      </c>
      <c r="D7134" s="59">
        <v>1015.7</v>
      </c>
      <c r="E7134" s="59"/>
    </row>
    <row r="7135" spans="3:5" x14ac:dyDescent="0.15">
      <c r="C7135" s="255" t="s">
        <v>812</v>
      </c>
      <c r="D7135" s="59">
        <v>161.69999999999999</v>
      </c>
      <c r="E7135" s="59"/>
    </row>
    <row r="7136" spans="3:5" x14ac:dyDescent="0.15">
      <c r="C7136" s="255" t="s">
        <v>813</v>
      </c>
      <c r="D7136" s="59">
        <v>37.700000000000003</v>
      </c>
      <c r="E7136" s="59"/>
    </row>
    <row r="7137" spans="3:5" x14ac:dyDescent="0.15">
      <c r="C7137" s="255" t="s">
        <v>814</v>
      </c>
      <c r="D7137" s="59">
        <v>183.9</v>
      </c>
      <c r="E7137" s="59"/>
    </row>
    <row r="7138" spans="3:5" x14ac:dyDescent="0.15">
      <c r="C7138" s="255" t="s">
        <v>815</v>
      </c>
      <c r="D7138" s="59">
        <v>1036.3</v>
      </c>
      <c r="E7138" s="59"/>
    </row>
    <row r="7139" spans="3:5" x14ac:dyDescent="0.15">
      <c r="C7139" s="255" t="s">
        <v>816</v>
      </c>
      <c r="D7139" s="59">
        <v>603.1</v>
      </c>
      <c r="E7139" s="59"/>
    </row>
    <row r="7140" spans="3:5" x14ac:dyDescent="0.15">
      <c r="C7140" s="255" t="s">
        <v>817</v>
      </c>
      <c r="D7140" s="59">
        <v>6700.4</v>
      </c>
      <c r="E7140" s="59"/>
    </row>
    <row r="7141" spans="3:5" x14ac:dyDescent="0.15">
      <c r="C7141" s="255" t="s">
        <v>818</v>
      </c>
      <c r="D7141" s="59">
        <v>629.6</v>
      </c>
      <c r="E7141" s="59"/>
    </row>
    <row r="7142" spans="3:5" x14ac:dyDescent="0.15">
      <c r="C7142" s="255" t="s">
        <v>819</v>
      </c>
      <c r="D7142" s="59">
        <v>11</v>
      </c>
      <c r="E7142" s="59"/>
    </row>
    <row r="7143" spans="3:5" x14ac:dyDescent="0.15">
      <c r="C7143" s="255" t="s">
        <v>820</v>
      </c>
      <c r="D7143" s="59">
        <v>2409.6999999999998</v>
      </c>
      <c r="E7143" s="59"/>
    </row>
    <row r="7144" spans="3:5" x14ac:dyDescent="0.15">
      <c r="C7144" s="255" t="s">
        <v>821</v>
      </c>
      <c r="D7144" s="59">
        <v>39.700000000000003</v>
      </c>
      <c r="E7144" s="59"/>
    </row>
    <row r="7145" spans="3:5" x14ac:dyDescent="0.15">
      <c r="C7145" s="255" t="s">
        <v>822</v>
      </c>
      <c r="D7145" s="59">
        <v>140.19999999999999</v>
      </c>
      <c r="E7145" s="59"/>
    </row>
    <row r="7146" spans="3:5" x14ac:dyDescent="0.15">
      <c r="C7146" s="255" t="s">
        <v>823</v>
      </c>
      <c r="D7146" s="59">
        <v>2.7</v>
      </c>
      <c r="E7146" s="59"/>
    </row>
    <row r="7147" spans="3:5" x14ac:dyDescent="0.15">
      <c r="C7147" s="255" t="s">
        <v>824</v>
      </c>
      <c r="D7147" s="59">
        <v>578.1</v>
      </c>
      <c r="E7147" s="59"/>
    </row>
    <row r="7148" spans="3:5" x14ac:dyDescent="0.15">
      <c r="C7148" s="255" t="s">
        <v>825</v>
      </c>
      <c r="D7148" s="59">
        <v>549.5</v>
      </c>
      <c r="E7148" s="59"/>
    </row>
    <row r="7149" spans="3:5" x14ac:dyDescent="0.15">
      <c r="C7149" s="255" t="s">
        <v>826</v>
      </c>
      <c r="D7149" s="59">
        <v>5.9</v>
      </c>
      <c r="E7149" s="59"/>
    </row>
    <row r="7150" spans="3:5" x14ac:dyDescent="0.15">
      <c r="C7150" s="255" t="s">
        <v>827</v>
      </c>
      <c r="D7150" s="59">
        <v>2.4</v>
      </c>
      <c r="E7150" s="59"/>
    </row>
    <row r="7151" spans="3:5" x14ac:dyDescent="0.15">
      <c r="C7151" s="255" t="s">
        <v>828</v>
      </c>
      <c r="D7151" s="59">
        <v>1882.4</v>
      </c>
      <c r="E7151" s="59"/>
    </row>
    <row r="7152" spans="3:5" x14ac:dyDescent="0.15">
      <c r="C7152" s="255" t="s">
        <v>829</v>
      </c>
      <c r="D7152" s="59">
        <v>10</v>
      </c>
      <c r="E7152" s="59"/>
    </row>
    <row r="7153" spans="3:5" x14ac:dyDescent="0.15">
      <c r="C7153" s="255" t="s">
        <v>830</v>
      </c>
      <c r="D7153" s="59">
        <v>439</v>
      </c>
      <c r="E7153" s="59"/>
    </row>
    <row r="7154" spans="3:5" x14ac:dyDescent="0.15">
      <c r="C7154" s="255" t="s">
        <v>831</v>
      </c>
      <c r="D7154" s="59">
        <v>0</v>
      </c>
      <c r="E7154" s="59"/>
    </row>
    <row r="7155" spans="3:5" x14ac:dyDescent="0.15">
      <c r="C7155" s="255" t="s">
        <v>832</v>
      </c>
      <c r="D7155" s="59">
        <v>11324.8</v>
      </c>
      <c r="E7155" s="59"/>
    </row>
    <row r="7156" spans="3:5" x14ac:dyDescent="0.15">
      <c r="C7156" s="255" t="s">
        <v>833</v>
      </c>
      <c r="D7156" s="59">
        <v>59.7</v>
      </c>
      <c r="E7156" s="59"/>
    </row>
    <row r="7157" spans="3:5" x14ac:dyDescent="0.15">
      <c r="C7157" s="255" t="s">
        <v>834</v>
      </c>
      <c r="D7157" s="59">
        <v>2715.8</v>
      </c>
      <c r="E7157" s="59"/>
    </row>
    <row r="7158" spans="3:5" x14ac:dyDescent="0.15">
      <c r="C7158" s="255" t="s">
        <v>835</v>
      </c>
      <c r="D7158" s="59">
        <v>4500.2</v>
      </c>
      <c r="E7158" s="59"/>
    </row>
    <row r="7159" spans="3:5" x14ac:dyDescent="0.15">
      <c r="C7159" s="255" t="s">
        <v>836</v>
      </c>
      <c r="D7159" s="59">
        <v>1184.4000000000001</v>
      </c>
      <c r="E7159" s="59"/>
    </row>
    <row r="7160" spans="3:5" x14ac:dyDescent="0.15">
      <c r="C7160" s="255" t="s">
        <v>837</v>
      </c>
      <c r="D7160" s="59">
        <v>330</v>
      </c>
      <c r="E7160" s="59"/>
    </row>
    <row r="7161" spans="3:5" x14ac:dyDescent="0.15">
      <c r="C7161" s="255" t="s">
        <v>838</v>
      </c>
      <c r="D7161" s="59">
        <v>184.2</v>
      </c>
      <c r="E7161" s="59"/>
    </row>
    <row r="7162" spans="3:5" x14ac:dyDescent="0.15">
      <c r="C7162" s="255" t="s">
        <v>839</v>
      </c>
      <c r="D7162" s="59">
        <v>125</v>
      </c>
      <c r="E7162" s="59"/>
    </row>
    <row r="7163" spans="3:5" x14ac:dyDescent="0.15">
      <c r="C7163" s="255" t="s">
        <v>840</v>
      </c>
      <c r="D7163" s="59">
        <v>16.3</v>
      </c>
      <c r="E7163" s="59"/>
    </row>
    <row r="7164" spans="3:5" x14ac:dyDescent="0.15">
      <c r="C7164" s="255" t="s">
        <v>841</v>
      </c>
      <c r="D7164" s="59">
        <v>738.8</v>
      </c>
      <c r="E7164" s="59"/>
    </row>
    <row r="7165" spans="3:5" x14ac:dyDescent="0.15">
      <c r="C7165" s="255" t="s">
        <v>842</v>
      </c>
      <c r="D7165" s="59">
        <v>1203.2</v>
      </c>
      <c r="E7165" s="59"/>
    </row>
    <row r="7166" spans="3:5" x14ac:dyDescent="0.15">
      <c r="C7166" s="255" t="s">
        <v>843</v>
      </c>
      <c r="D7166" s="59">
        <v>252.3</v>
      </c>
      <c r="E7166" s="59"/>
    </row>
    <row r="7167" spans="3:5" x14ac:dyDescent="0.15">
      <c r="C7167" s="255" t="s">
        <v>844</v>
      </c>
      <c r="D7167" s="59">
        <v>14.8</v>
      </c>
      <c r="E7167" s="59"/>
    </row>
    <row r="7168" spans="3:5" x14ac:dyDescent="0.15">
      <c r="C7168" s="255" t="s">
        <v>845</v>
      </c>
      <c r="D7168" s="59">
        <v>98046</v>
      </c>
      <c r="E7168" s="59"/>
    </row>
    <row r="7169" spans="3:5" x14ac:dyDescent="0.15">
      <c r="C7169" s="255" t="s">
        <v>846</v>
      </c>
      <c r="D7169" s="59">
        <v>27080.400000000001</v>
      </c>
      <c r="E7169" s="59"/>
    </row>
    <row r="7170" spans="3:5" x14ac:dyDescent="0.15">
      <c r="C7170" s="255" t="s">
        <v>847</v>
      </c>
      <c r="D7170" s="59">
        <v>69.8</v>
      </c>
      <c r="E7170" s="59"/>
    </row>
    <row r="7171" spans="3:5" x14ac:dyDescent="0.15">
      <c r="C7171" s="255" t="s">
        <v>848</v>
      </c>
      <c r="D7171" s="59">
        <v>33878.699999999997</v>
      </c>
      <c r="E7171" s="59"/>
    </row>
    <row r="7172" spans="3:5" x14ac:dyDescent="0.15">
      <c r="C7172" s="255" t="s">
        <v>849</v>
      </c>
      <c r="D7172" s="59">
        <v>2035.1</v>
      </c>
      <c r="E7172" s="59"/>
    </row>
    <row r="7173" spans="3:5" x14ac:dyDescent="0.15">
      <c r="C7173" s="255" t="s">
        <v>850</v>
      </c>
      <c r="D7173" s="59">
        <v>1669.2</v>
      </c>
      <c r="E7173" s="59"/>
    </row>
    <row r="7174" spans="3:5" x14ac:dyDescent="0.15">
      <c r="C7174" s="255" t="s">
        <v>851</v>
      </c>
      <c r="D7174" s="59">
        <v>0</v>
      </c>
      <c r="E7174" s="59"/>
    </row>
    <row r="7175" spans="3:5" x14ac:dyDescent="0.15">
      <c r="C7175" s="255" t="s">
        <v>852</v>
      </c>
      <c r="D7175" s="59">
        <v>0</v>
      </c>
      <c r="E7175" s="59"/>
    </row>
    <row r="7176" spans="3:5" x14ac:dyDescent="0.15">
      <c r="C7176" s="255" t="s">
        <v>853</v>
      </c>
      <c r="D7176" s="59">
        <v>203.1</v>
      </c>
      <c r="E7176" s="59"/>
    </row>
    <row r="7177" spans="3:5" x14ac:dyDescent="0.15">
      <c r="C7177" s="255" t="s">
        <v>854</v>
      </c>
      <c r="D7177" s="59">
        <v>0</v>
      </c>
      <c r="E7177" s="59"/>
    </row>
    <row r="7178" spans="3:5" x14ac:dyDescent="0.15">
      <c r="C7178" s="255" t="s">
        <v>855</v>
      </c>
      <c r="D7178" s="59">
        <v>283.3</v>
      </c>
      <c r="E7178" s="59"/>
    </row>
    <row r="7179" spans="3:5" x14ac:dyDescent="0.15">
      <c r="C7179" s="255" t="s">
        <v>856</v>
      </c>
      <c r="D7179" s="59">
        <v>2389.1999999999998</v>
      </c>
      <c r="E7179" s="59"/>
    </row>
    <row r="7180" spans="3:5" x14ac:dyDescent="0.15">
      <c r="C7180" s="255" t="s">
        <v>857</v>
      </c>
      <c r="D7180" s="59">
        <v>2237.6999999999998</v>
      </c>
      <c r="E7180" s="59"/>
    </row>
    <row r="7181" spans="3:5" x14ac:dyDescent="0.15">
      <c r="C7181" s="255" t="s">
        <v>858</v>
      </c>
      <c r="D7181" s="59">
        <v>2479.1</v>
      </c>
      <c r="E7181" s="59"/>
    </row>
    <row r="7182" spans="3:5" x14ac:dyDescent="0.15">
      <c r="C7182" s="255" t="s">
        <v>859</v>
      </c>
      <c r="D7182" s="59">
        <v>2315.1999999999998</v>
      </c>
      <c r="E7182" s="59"/>
    </row>
    <row r="7183" spans="3:5" x14ac:dyDescent="0.15">
      <c r="C7183" s="255" t="s">
        <v>860</v>
      </c>
      <c r="D7183" s="59">
        <v>211.8</v>
      </c>
      <c r="E7183" s="59"/>
    </row>
    <row r="7184" spans="3:5" x14ac:dyDescent="0.15">
      <c r="C7184" s="255" t="s">
        <v>861</v>
      </c>
      <c r="D7184" s="59">
        <v>1937.2</v>
      </c>
      <c r="E7184" s="59"/>
    </row>
    <row r="7185" spans="3:5" x14ac:dyDescent="0.15">
      <c r="C7185" s="255" t="s">
        <v>862</v>
      </c>
      <c r="D7185" s="59">
        <v>7501</v>
      </c>
      <c r="E7185" s="59"/>
    </row>
    <row r="7186" spans="3:5" x14ac:dyDescent="0.15">
      <c r="C7186" s="255" t="s">
        <v>863</v>
      </c>
      <c r="D7186" s="59">
        <v>1696.7</v>
      </c>
      <c r="E7186" s="59"/>
    </row>
    <row r="7187" spans="3:5" x14ac:dyDescent="0.15">
      <c r="C7187" s="255" t="s">
        <v>864</v>
      </c>
      <c r="D7187" s="59">
        <v>93.1</v>
      </c>
      <c r="E7187" s="59"/>
    </row>
    <row r="7188" spans="3:5" x14ac:dyDescent="0.15">
      <c r="C7188" s="255" t="s">
        <v>865</v>
      </c>
      <c r="D7188" s="59">
        <v>757</v>
      </c>
      <c r="E7188" s="59"/>
    </row>
    <row r="7189" spans="3:5" x14ac:dyDescent="0.15">
      <c r="C7189" s="255" t="s">
        <v>866</v>
      </c>
      <c r="D7189" s="59">
        <v>41.3</v>
      </c>
      <c r="E7189" s="59"/>
    </row>
    <row r="7190" spans="3:5" x14ac:dyDescent="0.15">
      <c r="C7190" s="255" t="s">
        <v>867</v>
      </c>
      <c r="D7190" s="59">
        <v>1210.3</v>
      </c>
      <c r="E7190" s="59"/>
    </row>
    <row r="7191" spans="3:5" x14ac:dyDescent="0.15">
      <c r="C7191" s="255" t="s">
        <v>868</v>
      </c>
      <c r="D7191" s="59">
        <v>9956.7999999999993</v>
      </c>
      <c r="E7191" s="59"/>
    </row>
    <row r="7192" spans="3:5" x14ac:dyDescent="0.15">
      <c r="C7192" s="255" t="s">
        <v>869</v>
      </c>
      <c r="D7192" s="59">
        <v>15884.1</v>
      </c>
      <c r="E7192" s="59"/>
    </row>
    <row r="7193" spans="3:5" x14ac:dyDescent="0.15">
      <c r="C7193" s="255" t="s">
        <v>870</v>
      </c>
      <c r="D7193" s="59">
        <v>3670.6</v>
      </c>
      <c r="E7193" s="59"/>
    </row>
    <row r="7194" spans="3:5" x14ac:dyDescent="0.15">
      <c r="C7194" s="255" t="s">
        <v>871</v>
      </c>
      <c r="D7194" s="59">
        <v>576.6</v>
      </c>
      <c r="E7194" s="59"/>
    </row>
    <row r="7195" spans="3:5" x14ac:dyDescent="0.15">
      <c r="C7195" s="255" t="s">
        <v>872</v>
      </c>
      <c r="D7195" s="59">
        <v>495.5</v>
      </c>
      <c r="E7195" s="59"/>
    </row>
    <row r="7196" spans="3:5" x14ac:dyDescent="0.15">
      <c r="C7196" s="255" t="s">
        <v>873</v>
      </c>
      <c r="D7196" s="59">
        <v>850.6</v>
      </c>
      <c r="E7196" s="59"/>
    </row>
    <row r="7197" spans="3:5" x14ac:dyDescent="0.15">
      <c r="C7197" s="255" t="s">
        <v>874</v>
      </c>
      <c r="D7197" s="59">
        <v>251</v>
      </c>
      <c r="E7197" s="59"/>
    </row>
    <row r="7198" spans="3:5" x14ac:dyDescent="0.15">
      <c r="C7198" s="255" t="s">
        <v>875</v>
      </c>
      <c r="D7198" s="59">
        <v>28</v>
      </c>
      <c r="E7198" s="59"/>
    </row>
    <row r="7199" spans="3:5" x14ac:dyDescent="0.15">
      <c r="C7199" s="255" t="s">
        <v>876</v>
      </c>
      <c r="D7199" s="59">
        <v>16.100000000000001</v>
      </c>
      <c r="E7199" s="59"/>
    </row>
    <row r="7200" spans="3:5" x14ac:dyDescent="0.15">
      <c r="C7200" s="255" t="s">
        <v>877</v>
      </c>
      <c r="D7200" s="59">
        <v>20.8</v>
      </c>
      <c r="E7200" s="59"/>
    </row>
    <row r="7201" spans="3:5" x14ac:dyDescent="0.15">
      <c r="C7201" s="255" t="s">
        <v>878</v>
      </c>
      <c r="D7201" s="59">
        <v>186.4</v>
      </c>
      <c r="E7201" s="59"/>
    </row>
    <row r="7202" spans="3:5" x14ac:dyDescent="0.15">
      <c r="C7202" s="255" t="s">
        <v>879</v>
      </c>
      <c r="D7202" s="59">
        <v>837.9</v>
      </c>
      <c r="E7202" s="59"/>
    </row>
    <row r="7203" spans="3:5" x14ac:dyDescent="0.15">
      <c r="C7203" s="255" t="s">
        <v>880</v>
      </c>
      <c r="D7203" s="59">
        <v>87.1</v>
      </c>
      <c r="E7203" s="59"/>
    </row>
    <row r="7204" spans="3:5" x14ac:dyDescent="0.15">
      <c r="C7204" s="255" t="s">
        <v>881</v>
      </c>
      <c r="D7204" s="59">
        <v>0.4</v>
      </c>
      <c r="E7204" s="59"/>
    </row>
    <row r="7205" spans="3:5" x14ac:dyDescent="0.15">
      <c r="C7205" s="255" t="s">
        <v>882</v>
      </c>
      <c r="D7205" s="59">
        <v>185.6</v>
      </c>
      <c r="E7205" s="59"/>
    </row>
    <row r="7206" spans="3:5" x14ac:dyDescent="0.15">
      <c r="C7206" s="255" t="s">
        <v>883</v>
      </c>
      <c r="D7206" s="59">
        <v>454</v>
      </c>
      <c r="E7206" s="59"/>
    </row>
    <row r="7207" spans="3:5" x14ac:dyDescent="0.15">
      <c r="C7207" s="255" t="s">
        <v>884</v>
      </c>
      <c r="D7207" s="59">
        <v>784.5</v>
      </c>
      <c r="E7207" s="59"/>
    </row>
    <row r="7208" spans="3:5" x14ac:dyDescent="0.15">
      <c r="C7208" s="255" t="s">
        <v>885</v>
      </c>
      <c r="D7208" s="59">
        <v>326.5</v>
      </c>
      <c r="E7208" s="59"/>
    </row>
    <row r="7209" spans="3:5" x14ac:dyDescent="0.15">
      <c r="C7209" s="255" t="s">
        <v>886</v>
      </c>
      <c r="D7209" s="59">
        <v>149.4</v>
      </c>
      <c r="E7209" s="59"/>
    </row>
    <row r="7210" spans="3:5" x14ac:dyDescent="0.15">
      <c r="C7210" s="255" t="s">
        <v>887</v>
      </c>
      <c r="D7210" s="59">
        <v>202</v>
      </c>
      <c r="E7210" s="59"/>
    </row>
    <row r="7211" spans="3:5" x14ac:dyDescent="0.15">
      <c r="C7211" s="255" t="s">
        <v>888</v>
      </c>
      <c r="D7211" s="59">
        <v>25.8</v>
      </c>
      <c r="E7211" s="59"/>
    </row>
    <row r="7212" spans="3:5" x14ac:dyDescent="0.15">
      <c r="C7212" s="255" t="s">
        <v>889</v>
      </c>
      <c r="D7212" s="59">
        <v>198.6</v>
      </c>
      <c r="E7212" s="59"/>
    </row>
    <row r="7213" spans="3:5" x14ac:dyDescent="0.15">
      <c r="C7213" s="255" t="s">
        <v>890</v>
      </c>
      <c r="D7213" s="59">
        <v>91.7</v>
      </c>
      <c r="E7213" s="59"/>
    </row>
    <row r="7214" spans="3:5" x14ac:dyDescent="0.15">
      <c r="C7214" s="255" t="s">
        <v>891</v>
      </c>
      <c r="D7214" s="59">
        <v>19.7</v>
      </c>
      <c r="E7214" s="59"/>
    </row>
    <row r="7215" spans="3:5" x14ac:dyDescent="0.15">
      <c r="C7215" s="255" t="s">
        <v>892</v>
      </c>
      <c r="D7215" s="59">
        <v>12.9</v>
      </c>
      <c r="E7215" s="59"/>
    </row>
    <row r="7216" spans="3:5" x14ac:dyDescent="0.15">
      <c r="C7216" s="255" t="s">
        <v>893</v>
      </c>
      <c r="D7216" s="59">
        <v>166.5</v>
      </c>
      <c r="E7216" s="59"/>
    </row>
    <row r="7217" spans="3:5" x14ac:dyDescent="0.15">
      <c r="C7217" s="255" t="s">
        <v>894</v>
      </c>
      <c r="D7217" s="59">
        <v>27.6</v>
      </c>
      <c r="E7217" s="59"/>
    </row>
    <row r="7218" spans="3:5" x14ac:dyDescent="0.15">
      <c r="C7218" s="255" t="s">
        <v>895</v>
      </c>
      <c r="D7218" s="59">
        <v>453.1</v>
      </c>
      <c r="E7218" s="59"/>
    </row>
    <row r="7219" spans="3:5" x14ac:dyDescent="0.15">
      <c r="C7219" s="255" t="s">
        <v>896</v>
      </c>
      <c r="D7219" s="59">
        <v>57.5</v>
      </c>
      <c r="E7219" s="59"/>
    </row>
    <row r="7220" spans="3:5" x14ac:dyDescent="0.15">
      <c r="C7220" s="255" t="s">
        <v>897</v>
      </c>
      <c r="D7220" s="59">
        <v>1008</v>
      </c>
      <c r="E7220" s="59"/>
    </row>
    <row r="7221" spans="3:5" x14ac:dyDescent="0.15">
      <c r="C7221" s="255" t="s">
        <v>898</v>
      </c>
      <c r="D7221" s="59">
        <v>402</v>
      </c>
      <c r="E7221" s="59"/>
    </row>
    <row r="7222" spans="3:5" x14ac:dyDescent="0.15">
      <c r="C7222" s="255" t="s">
        <v>899</v>
      </c>
      <c r="D7222" s="59">
        <v>91.3</v>
      </c>
      <c r="E7222" s="59"/>
    </row>
    <row r="7223" spans="3:5" x14ac:dyDescent="0.15">
      <c r="C7223" s="255" t="s">
        <v>900</v>
      </c>
      <c r="D7223" s="59">
        <v>348</v>
      </c>
      <c r="E7223" s="59"/>
    </row>
    <row r="7224" spans="3:5" x14ac:dyDescent="0.15">
      <c r="C7224" s="255" t="s">
        <v>901</v>
      </c>
      <c r="D7224" s="59">
        <v>812.6</v>
      </c>
      <c r="E7224" s="59"/>
    </row>
    <row r="7225" spans="3:5" x14ac:dyDescent="0.15">
      <c r="C7225" s="255" t="s">
        <v>902</v>
      </c>
      <c r="D7225" s="59">
        <v>22</v>
      </c>
      <c r="E7225" s="59"/>
    </row>
    <row r="7226" spans="3:5" x14ac:dyDescent="0.15">
      <c r="C7226" s="255" t="s">
        <v>903</v>
      </c>
      <c r="D7226" s="59">
        <v>852.3</v>
      </c>
      <c r="E7226" s="59"/>
    </row>
    <row r="7227" spans="3:5" x14ac:dyDescent="0.15">
      <c r="C7227" s="255" t="s">
        <v>904</v>
      </c>
      <c r="D7227" s="59">
        <v>1134.9000000000001</v>
      </c>
      <c r="E7227" s="59"/>
    </row>
    <row r="7228" spans="3:5" x14ac:dyDescent="0.15">
      <c r="C7228" s="255" t="s">
        <v>905</v>
      </c>
      <c r="D7228" s="59">
        <v>278.39999999999998</v>
      </c>
      <c r="E7228" s="59"/>
    </row>
    <row r="7229" spans="3:5" x14ac:dyDescent="0.15">
      <c r="C7229" s="255" t="s">
        <v>906</v>
      </c>
      <c r="D7229" s="59">
        <v>86.2</v>
      </c>
      <c r="E7229" s="59"/>
    </row>
    <row r="7230" spans="3:5" x14ac:dyDescent="0.15">
      <c r="C7230" s="255" t="s">
        <v>907</v>
      </c>
      <c r="D7230" s="59">
        <v>672</v>
      </c>
      <c r="E7230" s="59"/>
    </row>
    <row r="7231" spans="3:5" x14ac:dyDescent="0.15">
      <c r="C7231" s="255" t="s">
        <v>908</v>
      </c>
      <c r="D7231" s="59">
        <v>7715.7</v>
      </c>
      <c r="E7231" s="59"/>
    </row>
    <row r="7232" spans="3:5" x14ac:dyDescent="0.15">
      <c r="C7232" s="255" t="s">
        <v>909</v>
      </c>
      <c r="D7232" s="59">
        <v>2250</v>
      </c>
      <c r="E7232" s="59"/>
    </row>
    <row r="7233" spans="3:5" x14ac:dyDescent="0.15">
      <c r="C7233" s="255" t="s">
        <v>910</v>
      </c>
      <c r="D7233" s="59">
        <v>7.3</v>
      </c>
      <c r="E7233" s="59"/>
    </row>
    <row r="7234" spans="3:5" x14ac:dyDescent="0.15">
      <c r="C7234" s="255" t="s">
        <v>911</v>
      </c>
      <c r="D7234" s="59">
        <v>232.3</v>
      </c>
      <c r="E7234" s="59"/>
    </row>
    <row r="7235" spans="3:5" x14ac:dyDescent="0.15">
      <c r="C7235" s="255" t="s">
        <v>912</v>
      </c>
      <c r="D7235" s="59">
        <v>1054.2</v>
      </c>
      <c r="E7235" s="59"/>
    </row>
    <row r="7236" spans="3:5" x14ac:dyDescent="0.15">
      <c r="C7236" s="255" t="s">
        <v>913</v>
      </c>
      <c r="D7236" s="59">
        <v>0</v>
      </c>
      <c r="E7236" s="59"/>
    </row>
    <row r="7237" spans="3:5" x14ac:dyDescent="0.15">
      <c r="C7237" s="255" t="s">
        <v>914</v>
      </c>
      <c r="D7237" s="59">
        <v>2.2000000000000002</v>
      </c>
      <c r="E7237" s="59"/>
    </row>
    <row r="7238" spans="3:5" x14ac:dyDescent="0.15">
      <c r="C7238" s="255" t="s">
        <v>915</v>
      </c>
      <c r="D7238" s="59">
        <v>38.9</v>
      </c>
      <c r="E7238" s="59"/>
    </row>
    <row r="7239" spans="3:5" x14ac:dyDescent="0.15">
      <c r="C7239" s="255" t="s">
        <v>916</v>
      </c>
      <c r="D7239" s="59">
        <v>213.3</v>
      </c>
      <c r="E7239" s="59"/>
    </row>
    <row r="7240" spans="3:5" x14ac:dyDescent="0.15">
      <c r="C7240" s="255" t="s">
        <v>917</v>
      </c>
      <c r="D7240" s="59">
        <v>97.2</v>
      </c>
      <c r="E7240" s="59"/>
    </row>
    <row r="7241" spans="3:5" x14ac:dyDescent="0.15">
      <c r="C7241" s="255" t="s">
        <v>918</v>
      </c>
      <c r="D7241" s="59">
        <v>2629.1</v>
      </c>
      <c r="E7241" s="59"/>
    </row>
    <row r="7242" spans="3:5" x14ac:dyDescent="0.15">
      <c r="C7242" s="255" t="s">
        <v>919</v>
      </c>
      <c r="D7242" s="59">
        <v>1.9</v>
      </c>
      <c r="E7242" s="59"/>
    </row>
    <row r="7243" spans="3:5" x14ac:dyDescent="0.15">
      <c r="C7243" s="255" t="s">
        <v>920</v>
      </c>
      <c r="D7243" s="59">
        <v>1189.3</v>
      </c>
      <c r="E7243" s="59"/>
    </row>
    <row r="7244" spans="3:5" x14ac:dyDescent="0.15">
      <c r="C7244" s="255" t="s">
        <v>921</v>
      </c>
      <c r="D7244" s="59">
        <v>0</v>
      </c>
      <c r="E7244" s="59"/>
    </row>
    <row r="7245" spans="3:5" x14ac:dyDescent="0.15">
      <c r="C7245" s="255" t="s">
        <v>922</v>
      </c>
      <c r="D7245" s="59">
        <v>40731.699999999997</v>
      </c>
      <c r="E7245" s="59"/>
    </row>
    <row r="7246" spans="3:5" x14ac:dyDescent="0.15">
      <c r="C7246" s="255" t="s">
        <v>923</v>
      </c>
      <c r="D7246" s="59">
        <v>11013.6</v>
      </c>
      <c r="E7246" s="59"/>
    </row>
    <row r="7247" spans="3:5" x14ac:dyDescent="0.15">
      <c r="C7247" s="255" t="s">
        <v>924</v>
      </c>
      <c r="D7247" s="59">
        <v>3506.1</v>
      </c>
      <c r="E7247" s="59"/>
    </row>
    <row r="7248" spans="3:5" x14ac:dyDescent="0.15">
      <c r="C7248" s="255" t="s">
        <v>925</v>
      </c>
      <c r="D7248" s="59">
        <v>354.3</v>
      </c>
      <c r="E7248" s="59"/>
    </row>
    <row r="7249" spans="3:5" x14ac:dyDescent="0.15">
      <c r="C7249" s="255" t="s">
        <v>926</v>
      </c>
      <c r="D7249" s="59">
        <v>941.4</v>
      </c>
      <c r="E7249" s="59"/>
    </row>
    <row r="7250" spans="3:5" x14ac:dyDescent="0.15">
      <c r="C7250" s="255" t="s">
        <v>927</v>
      </c>
      <c r="D7250" s="59">
        <v>559</v>
      </c>
      <c r="E7250" s="59"/>
    </row>
    <row r="7251" spans="3:5" x14ac:dyDescent="0.15">
      <c r="C7251" s="255" t="s">
        <v>928</v>
      </c>
      <c r="D7251" s="59">
        <v>827.8</v>
      </c>
      <c r="E7251" s="59"/>
    </row>
    <row r="7252" spans="3:5" x14ac:dyDescent="0.15">
      <c r="C7252" s="255" t="s">
        <v>929</v>
      </c>
      <c r="D7252" s="59">
        <v>220.8</v>
      </c>
      <c r="E7252" s="59"/>
    </row>
    <row r="7253" spans="3:5" x14ac:dyDescent="0.15">
      <c r="C7253" s="255" t="s">
        <v>930</v>
      </c>
      <c r="D7253" s="59">
        <v>1793.2</v>
      </c>
      <c r="E7253" s="59"/>
    </row>
    <row r="7254" spans="3:5" x14ac:dyDescent="0.15">
      <c r="C7254" s="255" t="s">
        <v>931</v>
      </c>
      <c r="D7254" s="59">
        <v>5455.7</v>
      </c>
      <c r="E7254" s="59"/>
    </row>
    <row r="7255" spans="3:5" x14ac:dyDescent="0.15">
      <c r="C7255" s="255" t="s">
        <v>932</v>
      </c>
      <c r="D7255" s="59">
        <v>0</v>
      </c>
      <c r="E7255" s="59"/>
    </row>
    <row r="7256" spans="3:5" x14ac:dyDescent="0.15">
      <c r="C7256" s="255" t="s">
        <v>933</v>
      </c>
      <c r="D7256" s="59">
        <v>41.3</v>
      </c>
      <c r="E7256" s="59"/>
    </row>
    <row r="7257" spans="3:5" x14ac:dyDescent="0.15">
      <c r="C7257" s="255" t="s">
        <v>934</v>
      </c>
      <c r="D7257" s="59">
        <v>4822.6000000000004</v>
      </c>
      <c r="E7257" s="59"/>
    </row>
    <row r="7258" spans="3:5" x14ac:dyDescent="0.15">
      <c r="C7258" s="255" t="s">
        <v>935</v>
      </c>
      <c r="D7258" s="59">
        <v>2433.9</v>
      </c>
      <c r="E7258" s="59"/>
    </row>
    <row r="7259" spans="3:5" x14ac:dyDescent="0.15">
      <c r="C7259" s="255" t="s">
        <v>936</v>
      </c>
      <c r="D7259" s="59">
        <v>3599.4</v>
      </c>
      <c r="E7259" s="59"/>
    </row>
    <row r="7260" spans="3:5" x14ac:dyDescent="0.15">
      <c r="C7260" s="255" t="s">
        <v>937</v>
      </c>
      <c r="D7260" s="59">
        <v>679.9</v>
      </c>
      <c r="E7260" s="59"/>
    </row>
    <row r="7261" spans="3:5" x14ac:dyDescent="0.15">
      <c r="C7261" s="255" t="s">
        <v>938</v>
      </c>
      <c r="D7261" s="59">
        <v>350.4</v>
      </c>
      <c r="E7261" s="59"/>
    </row>
    <row r="7262" spans="3:5" x14ac:dyDescent="0.15">
      <c r="C7262" s="255" t="s">
        <v>939</v>
      </c>
      <c r="D7262" s="59">
        <v>4.5</v>
      </c>
      <c r="E7262" s="59"/>
    </row>
    <row r="7263" spans="3:5" x14ac:dyDescent="0.15">
      <c r="C7263" s="255" t="s">
        <v>940</v>
      </c>
      <c r="D7263" s="59">
        <v>110.4</v>
      </c>
      <c r="E7263" s="59"/>
    </row>
    <row r="7264" spans="3:5" x14ac:dyDescent="0.15">
      <c r="C7264" s="255" t="s">
        <v>941</v>
      </c>
      <c r="D7264" s="59">
        <v>329.3</v>
      </c>
      <c r="E7264" s="59"/>
    </row>
    <row r="7265" spans="3:5" x14ac:dyDescent="0.15">
      <c r="C7265" s="255" t="s">
        <v>942</v>
      </c>
      <c r="D7265" s="59">
        <v>17.3</v>
      </c>
      <c r="E7265" s="59"/>
    </row>
    <row r="7266" spans="3:5" x14ac:dyDescent="0.15">
      <c r="C7266" s="255" t="s">
        <v>943</v>
      </c>
      <c r="D7266" s="59">
        <v>1456.4</v>
      </c>
      <c r="E7266" s="59"/>
    </row>
    <row r="7267" spans="3:5" x14ac:dyDescent="0.15">
      <c r="C7267" s="255" t="s">
        <v>944</v>
      </c>
      <c r="D7267" s="59">
        <v>442.1</v>
      </c>
      <c r="E7267" s="59"/>
    </row>
    <row r="7268" spans="3:5" x14ac:dyDescent="0.15">
      <c r="C7268" s="255" t="s">
        <v>945</v>
      </c>
      <c r="D7268" s="59">
        <v>1678.6</v>
      </c>
      <c r="E7268" s="59"/>
    </row>
    <row r="7269" spans="3:5" x14ac:dyDescent="0.15">
      <c r="C7269" s="255" t="s">
        <v>946</v>
      </c>
      <c r="D7269" s="59">
        <v>70.3</v>
      </c>
      <c r="E7269" s="59"/>
    </row>
    <row r="7270" spans="3:5" x14ac:dyDescent="0.15">
      <c r="C7270" s="255" t="s">
        <v>947</v>
      </c>
      <c r="D7270" s="59">
        <v>23.4</v>
      </c>
      <c r="E7270" s="59"/>
    </row>
    <row r="7271" spans="3:5" x14ac:dyDescent="0.15">
      <c r="C7271" s="255" t="s">
        <v>948</v>
      </c>
      <c r="D7271" s="59">
        <v>8497.1</v>
      </c>
      <c r="E7271" s="59"/>
    </row>
    <row r="7272" spans="3:5" x14ac:dyDescent="0.15">
      <c r="C7272" s="255" t="s">
        <v>949</v>
      </c>
      <c r="D7272" s="59">
        <v>175.5</v>
      </c>
      <c r="E7272" s="59"/>
    </row>
    <row r="7273" spans="3:5" x14ac:dyDescent="0.15">
      <c r="C7273" s="255" t="s">
        <v>950</v>
      </c>
      <c r="D7273" s="59">
        <v>1</v>
      </c>
      <c r="E7273" s="59"/>
    </row>
    <row r="7274" spans="3:5" x14ac:dyDescent="0.15">
      <c r="C7274" s="255" t="s">
        <v>951</v>
      </c>
      <c r="D7274" s="59">
        <v>1360.2</v>
      </c>
      <c r="E7274" s="59"/>
    </row>
    <row r="7275" spans="3:5" x14ac:dyDescent="0.15">
      <c r="C7275" s="255" t="s">
        <v>952</v>
      </c>
      <c r="D7275" s="59">
        <v>53.6</v>
      </c>
      <c r="E7275" s="59"/>
    </row>
    <row r="7276" spans="3:5" x14ac:dyDescent="0.15">
      <c r="C7276" s="255" t="s">
        <v>953</v>
      </c>
      <c r="D7276" s="59">
        <v>246.5</v>
      </c>
      <c r="E7276" s="59"/>
    </row>
    <row r="7277" spans="3:5" x14ac:dyDescent="0.15">
      <c r="C7277" s="255" t="s">
        <v>954</v>
      </c>
      <c r="D7277" s="59">
        <v>2576.6</v>
      </c>
      <c r="E7277" s="59"/>
    </row>
    <row r="7278" spans="3:5" x14ac:dyDescent="0.15">
      <c r="C7278" s="255" t="s">
        <v>955</v>
      </c>
      <c r="D7278" s="59">
        <v>1561.6</v>
      </c>
      <c r="E7278" s="59"/>
    </row>
    <row r="7279" spans="3:5" x14ac:dyDescent="0.15">
      <c r="C7279" s="255" t="s">
        <v>956</v>
      </c>
      <c r="D7279" s="59">
        <v>2522.1</v>
      </c>
      <c r="E7279" s="59"/>
    </row>
    <row r="7280" spans="3:5" x14ac:dyDescent="0.15">
      <c r="C7280" s="255" t="s">
        <v>957</v>
      </c>
      <c r="D7280" s="59">
        <v>29052.6</v>
      </c>
      <c r="E7280" s="59"/>
    </row>
    <row r="7281" spans="3:5" x14ac:dyDescent="0.15">
      <c r="C7281" s="255" t="s">
        <v>958</v>
      </c>
      <c r="D7281" s="59">
        <v>153.1</v>
      </c>
      <c r="E7281" s="59"/>
    </row>
    <row r="7282" spans="3:5" x14ac:dyDescent="0.15">
      <c r="C7282" s="255" t="s">
        <v>959</v>
      </c>
      <c r="D7282" s="59">
        <v>978.6</v>
      </c>
      <c r="E7282" s="59"/>
    </row>
    <row r="7283" spans="3:5" x14ac:dyDescent="0.15">
      <c r="C7283" s="255" t="s">
        <v>960</v>
      </c>
      <c r="D7283" s="59">
        <v>91.6</v>
      </c>
      <c r="E7283" s="59"/>
    </row>
    <row r="7284" spans="3:5" x14ac:dyDescent="0.15">
      <c r="C7284" s="255" t="s">
        <v>961</v>
      </c>
      <c r="D7284" s="59">
        <v>90.4</v>
      </c>
      <c r="E7284" s="59"/>
    </row>
    <row r="7285" spans="3:5" x14ac:dyDescent="0.15">
      <c r="C7285" s="255" t="s">
        <v>962</v>
      </c>
      <c r="D7285" s="59">
        <v>1.9</v>
      </c>
      <c r="E7285" s="59"/>
    </row>
    <row r="7286" spans="3:5" x14ac:dyDescent="0.15">
      <c r="C7286" s="255" t="s">
        <v>963</v>
      </c>
      <c r="D7286" s="59">
        <v>1125</v>
      </c>
      <c r="E7286" s="59"/>
    </row>
    <row r="7287" spans="3:5" x14ac:dyDescent="0.15">
      <c r="C7287" s="255" t="s">
        <v>964</v>
      </c>
      <c r="D7287" s="59">
        <v>577.70000000000005</v>
      </c>
      <c r="E7287" s="59"/>
    </row>
    <row r="7288" spans="3:5" x14ac:dyDescent="0.15">
      <c r="C7288" s="255" t="s">
        <v>965</v>
      </c>
      <c r="D7288" s="59">
        <v>90.9</v>
      </c>
      <c r="E7288" s="59"/>
    </row>
    <row r="7289" spans="3:5" x14ac:dyDescent="0.15">
      <c r="C7289" s="255" t="s">
        <v>966</v>
      </c>
      <c r="D7289" s="59">
        <v>10.1</v>
      </c>
      <c r="E7289" s="59"/>
    </row>
    <row r="7290" spans="3:5" x14ac:dyDescent="0.15">
      <c r="C7290" s="255" t="s">
        <v>967</v>
      </c>
      <c r="D7290" s="59">
        <v>179.3</v>
      </c>
      <c r="E7290" s="59"/>
    </row>
    <row r="7291" spans="3:5" x14ac:dyDescent="0.15">
      <c r="C7291" s="255" t="s">
        <v>968</v>
      </c>
      <c r="D7291" s="59">
        <v>2.2999999999999998</v>
      </c>
      <c r="E7291" s="59"/>
    </row>
    <row r="7292" spans="3:5" x14ac:dyDescent="0.15">
      <c r="C7292" s="255" t="s">
        <v>969</v>
      </c>
      <c r="D7292" s="59">
        <v>33.299999999999997</v>
      </c>
      <c r="E7292" s="59"/>
    </row>
    <row r="7293" spans="3:5" x14ac:dyDescent="0.15">
      <c r="C7293" s="255" t="s">
        <v>970</v>
      </c>
      <c r="D7293" s="59">
        <v>113.9</v>
      </c>
      <c r="E7293" s="59"/>
    </row>
    <row r="7294" spans="3:5" x14ac:dyDescent="0.15">
      <c r="C7294" s="255" t="s">
        <v>971</v>
      </c>
      <c r="D7294" s="59">
        <v>444.9</v>
      </c>
      <c r="E7294" s="59"/>
    </row>
    <row r="7295" spans="3:5" x14ac:dyDescent="0.15">
      <c r="C7295" s="255" t="s">
        <v>972</v>
      </c>
      <c r="D7295" s="59">
        <v>601.79999999999995</v>
      </c>
      <c r="E7295" s="59"/>
    </row>
    <row r="7296" spans="3:5" x14ac:dyDescent="0.15">
      <c r="C7296" s="255" t="s">
        <v>973</v>
      </c>
      <c r="D7296" s="59">
        <v>42.5</v>
      </c>
      <c r="E7296" s="59"/>
    </row>
    <row r="7297" spans="3:5" x14ac:dyDescent="0.15">
      <c r="C7297" s="255" t="s">
        <v>974</v>
      </c>
      <c r="D7297" s="59">
        <v>68</v>
      </c>
      <c r="E7297" s="59"/>
    </row>
    <row r="7298" spans="3:5" x14ac:dyDescent="0.15">
      <c r="C7298" s="255" t="s">
        <v>975</v>
      </c>
      <c r="D7298" s="59">
        <v>168.3</v>
      </c>
      <c r="E7298" s="59"/>
    </row>
    <row r="7299" spans="3:5" x14ac:dyDescent="0.15">
      <c r="C7299" s="255" t="s">
        <v>976</v>
      </c>
      <c r="D7299" s="59">
        <v>30.9</v>
      </c>
      <c r="E7299" s="59"/>
    </row>
    <row r="7300" spans="3:5" x14ac:dyDescent="0.15">
      <c r="C7300" s="255" t="s">
        <v>977</v>
      </c>
      <c r="D7300" s="59">
        <v>584</v>
      </c>
      <c r="E7300" s="59"/>
    </row>
    <row r="7301" spans="3:5" x14ac:dyDescent="0.15">
      <c r="C7301" s="255" t="s">
        <v>978</v>
      </c>
      <c r="D7301" s="59">
        <v>1129</v>
      </c>
      <c r="E7301" s="59"/>
    </row>
    <row r="7302" spans="3:5" x14ac:dyDescent="0.15">
      <c r="C7302" s="255" t="s">
        <v>979</v>
      </c>
      <c r="D7302" s="59">
        <v>352.8</v>
      </c>
      <c r="E7302" s="59"/>
    </row>
    <row r="7303" spans="3:5" x14ac:dyDescent="0.15">
      <c r="C7303" s="255" t="s">
        <v>980</v>
      </c>
      <c r="D7303" s="59">
        <v>320.8</v>
      </c>
      <c r="E7303" s="59"/>
    </row>
    <row r="7304" spans="3:5" x14ac:dyDescent="0.15">
      <c r="C7304" s="255" t="s">
        <v>981</v>
      </c>
      <c r="D7304" s="59">
        <v>0</v>
      </c>
      <c r="E7304" s="59"/>
    </row>
    <row r="7305" spans="3:5" x14ac:dyDescent="0.15">
      <c r="C7305" s="255" t="s">
        <v>982</v>
      </c>
      <c r="D7305" s="59">
        <v>411.9</v>
      </c>
      <c r="E7305" s="59"/>
    </row>
    <row r="7306" spans="3:5" x14ac:dyDescent="0.15">
      <c r="C7306" s="255" t="s">
        <v>983</v>
      </c>
      <c r="D7306" s="59">
        <v>1788.9</v>
      </c>
      <c r="E7306" s="59"/>
    </row>
    <row r="7307" spans="3:5" x14ac:dyDescent="0.15">
      <c r="C7307" s="255" t="s">
        <v>984</v>
      </c>
      <c r="D7307" s="59">
        <v>42.4</v>
      </c>
      <c r="E7307" s="59"/>
    </row>
    <row r="7308" spans="3:5" x14ac:dyDescent="0.15">
      <c r="C7308" s="255" t="s">
        <v>985</v>
      </c>
      <c r="D7308" s="59">
        <v>1002.7</v>
      </c>
      <c r="E7308" s="59"/>
    </row>
    <row r="7309" spans="3:5" x14ac:dyDescent="0.15">
      <c r="C7309" s="255" t="s">
        <v>986</v>
      </c>
      <c r="D7309" s="59">
        <v>657.8</v>
      </c>
      <c r="E7309" s="59"/>
    </row>
    <row r="7310" spans="3:5" x14ac:dyDescent="0.15">
      <c r="C7310" s="255" t="s">
        <v>987</v>
      </c>
      <c r="D7310" s="59">
        <v>406.1</v>
      </c>
      <c r="E7310" s="59"/>
    </row>
    <row r="7311" spans="3:5" x14ac:dyDescent="0.15">
      <c r="C7311" s="255" t="s">
        <v>988</v>
      </c>
      <c r="D7311" s="59">
        <v>1440.8</v>
      </c>
      <c r="E7311" s="59"/>
    </row>
    <row r="7312" spans="3:5" x14ac:dyDescent="0.15">
      <c r="C7312" s="255" t="s">
        <v>989</v>
      </c>
      <c r="D7312" s="59">
        <v>1233.7</v>
      </c>
      <c r="E7312" s="59"/>
    </row>
    <row r="7313" spans="3:5" x14ac:dyDescent="0.15">
      <c r="C7313" s="255" t="s">
        <v>990</v>
      </c>
      <c r="D7313" s="59">
        <v>371.6</v>
      </c>
      <c r="E7313" s="59"/>
    </row>
    <row r="7314" spans="3:5" x14ac:dyDescent="0.15">
      <c r="C7314" s="255" t="s">
        <v>991</v>
      </c>
      <c r="D7314" s="59">
        <v>5360.4</v>
      </c>
      <c r="E7314" s="59"/>
    </row>
    <row r="7315" spans="3:5" x14ac:dyDescent="0.15">
      <c r="C7315" s="255" t="s">
        <v>992</v>
      </c>
      <c r="D7315" s="59">
        <v>13.2</v>
      </c>
      <c r="E7315" s="59"/>
    </row>
    <row r="7316" spans="3:5" x14ac:dyDescent="0.15">
      <c r="C7316" s="255" t="s">
        <v>993</v>
      </c>
      <c r="D7316" s="59">
        <v>151.5</v>
      </c>
      <c r="E7316" s="59"/>
    </row>
    <row r="7317" spans="3:5" x14ac:dyDescent="0.15">
      <c r="C7317" s="255" t="s">
        <v>994</v>
      </c>
      <c r="D7317" s="59">
        <v>0</v>
      </c>
      <c r="E7317" s="59"/>
    </row>
    <row r="7318" spans="3:5" x14ac:dyDescent="0.15">
      <c r="C7318" s="255" t="s">
        <v>995</v>
      </c>
      <c r="D7318" s="59">
        <v>899.9</v>
      </c>
      <c r="E7318" s="59"/>
    </row>
    <row r="7319" spans="3:5" x14ac:dyDescent="0.15">
      <c r="C7319" s="255" t="s">
        <v>996</v>
      </c>
      <c r="D7319" s="59">
        <v>413.3</v>
      </c>
      <c r="E7319" s="59"/>
    </row>
    <row r="7320" spans="3:5" x14ac:dyDescent="0.15">
      <c r="C7320" s="255" t="s">
        <v>997</v>
      </c>
      <c r="D7320" s="59">
        <v>299.10000000000002</v>
      </c>
      <c r="E7320" s="59"/>
    </row>
    <row r="7321" spans="3:5" x14ac:dyDescent="0.15">
      <c r="C7321" s="255" t="s">
        <v>998</v>
      </c>
      <c r="D7321" s="59">
        <v>104.9</v>
      </c>
      <c r="E7321" s="59"/>
    </row>
    <row r="7322" spans="3:5" x14ac:dyDescent="0.15">
      <c r="C7322" s="255" t="s">
        <v>999</v>
      </c>
      <c r="D7322" s="59">
        <v>5.4</v>
      </c>
      <c r="E7322" s="59"/>
    </row>
    <row r="7323" spans="3:5" x14ac:dyDescent="0.15">
      <c r="C7323" s="255" t="s">
        <v>1000</v>
      </c>
      <c r="D7323" s="59">
        <v>1015.9</v>
      </c>
      <c r="E7323" s="59"/>
    </row>
    <row r="7324" spans="3:5" x14ac:dyDescent="0.15">
      <c r="C7324" s="255" t="s">
        <v>1001</v>
      </c>
      <c r="D7324" s="59">
        <v>447</v>
      </c>
      <c r="E7324" s="59"/>
    </row>
    <row r="7325" spans="3:5" x14ac:dyDescent="0.15">
      <c r="C7325" s="255" t="s">
        <v>1002</v>
      </c>
      <c r="D7325" s="59">
        <v>154.4</v>
      </c>
      <c r="E7325" s="59"/>
    </row>
    <row r="7326" spans="3:5" x14ac:dyDescent="0.15">
      <c r="C7326" s="255" t="s">
        <v>1003</v>
      </c>
      <c r="D7326" s="59">
        <v>110.9</v>
      </c>
      <c r="E7326" s="59"/>
    </row>
    <row r="7327" spans="3:5" x14ac:dyDescent="0.15">
      <c r="C7327" s="255" t="s">
        <v>1004</v>
      </c>
      <c r="D7327" s="59">
        <v>95</v>
      </c>
      <c r="E7327" s="59"/>
    </row>
    <row r="7328" spans="3:5" x14ac:dyDescent="0.15">
      <c r="C7328" s="255" t="s">
        <v>1005</v>
      </c>
      <c r="D7328" s="59">
        <v>133.19999999999999</v>
      </c>
      <c r="E7328" s="59"/>
    </row>
    <row r="7329" spans="3:5" x14ac:dyDescent="0.15">
      <c r="C7329" s="255" t="s">
        <v>1006</v>
      </c>
      <c r="D7329" s="59">
        <v>5301.8</v>
      </c>
      <c r="E7329" s="59"/>
    </row>
    <row r="7330" spans="3:5" x14ac:dyDescent="0.15">
      <c r="C7330" s="255" t="s">
        <v>1007</v>
      </c>
      <c r="D7330" s="59">
        <v>1446</v>
      </c>
      <c r="E7330" s="59"/>
    </row>
    <row r="7331" spans="3:5" x14ac:dyDescent="0.15">
      <c r="C7331" s="255" t="s">
        <v>1008</v>
      </c>
      <c r="D7331" s="59">
        <v>556</v>
      </c>
      <c r="E7331" s="59"/>
    </row>
    <row r="7332" spans="3:5" x14ac:dyDescent="0.15">
      <c r="C7332" s="255" t="s">
        <v>1009</v>
      </c>
      <c r="D7332" s="59">
        <v>341.7</v>
      </c>
      <c r="E7332" s="59"/>
    </row>
    <row r="7333" spans="3:5" x14ac:dyDescent="0.15">
      <c r="C7333" s="255" t="s">
        <v>1010</v>
      </c>
      <c r="D7333" s="59">
        <v>179.1</v>
      </c>
      <c r="E7333" s="59"/>
    </row>
    <row r="7334" spans="3:5" x14ac:dyDescent="0.15">
      <c r="C7334" s="255" t="s">
        <v>1011</v>
      </c>
      <c r="D7334" s="59">
        <v>369.2</v>
      </c>
      <c r="E7334" s="59"/>
    </row>
    <row r="7335" spans="3:5" x14ac:dyDescent="0.15">
      <c r="C7335" s="255" t="s">
        <v>1012</v>
      </c>
      <c r="D7335" s="59">
        <v>16942.400000000001</v>
      </c>
      <c r="E7335" s="59"/>
    </row>
    <row r="7336" spans="3:5" x14ac:dyDescent="0.15">
      <c r="C7336" s="255" t="s">
        <v>1013</v>
      </c>
      <c r="D7336" s="59">
        <v>9249.1</v>
      </c>
      <c r="E7336" s="59"/>
    </row>
    <row r="7337" spans="3:5" x14ac:dyDescent="0.15">
      <c r="C7337" s="255" t="s">
        <v>1014</v>
      </c>
      <c r="D7337" s="59">
        <v>3029.9</v>
      </c>
      <c r="E7337" s="59"/>
    </row>
    <row r="7338" spans="3:5" x14ac:dyDescent="0.15">
      <c r="C7338" s="255" t="s">
        <v>1015</v>
      </c>
      <c r="D7338" s="59">
        <v>791.1</v>
      </c>
      <c r="E7338" s="59"/>
    </row>
    <row r="7339" spans="3:5" x14ac:dyDescent="0.15">
      <c r="C7339" s="255" t="s">
        <v>1016</v>
      </c>
      <c r="D7339" s="59">
        <v>2071.5</v>
      </c>
      <c r="E7339" s="59"/>
    </row>
    <row r="7340" spans="3:5" x14ac:dyDescent="0.15">
      <c r="C7340" s="255" t="s">
        <v>1017</v>
      </c>
      <c r="D7340" s="59">
        <v>1779</v>
      </c>
      <c r="E7340" s="59"/>
    </row>
    <row r="7341" spans="3:5" x14ac:dyDescent="0.15">
      <c r="C7341" s="255" t="s">
        <v>1018</v>
      </c>
      <c r="D7341" s="59">
        <v>21.8</v>
      </c>
      <c r="E7341" s="59"/>
    </row>
    <row r="7342" spans="3:5" x14ac:dyDescent="0.15">
      <c r="C7342" s="255" t="s">
        <v>1019</v>
      </c>
      <c r="D7342" s="59">
        <v>27878.5</v>
      </c>
      <c r="E7342" s="59"/>
    </row>
    <row r="7343" spans="3:5" x14ac:dyDescent="0.15">
      <c r="C7343" s="255" t="s">
        <v>1020</v>
      </c>
      <c r="D7343" s="59">
        <v>470.7</v>
      </c>
      <c r="E7343" s="59"/>
    </row>
    <row r="7344" spans="3:5" x14ac:dyDescent="0.15">
      <c r="C7344" s="255" t="s">
        <v>1021</v>
      </c>
      <c r="D7344" s="59">
        <v>1295.8</v>
      </c>
      <c r="E7344" s="59"/>
    </row>
    <row r="7345" spans="3:5" x14ac:dyDescent="0.15">
      <c r="C7345" s="255" t="s">
        <v>1022</v>
      </c>
      <c r="D7345" s="59">
        <v>402.2</v>
      </c>
      <c r="E7345" s="59"/>
    </row>
    <row r="7346" spans="3:5" x14ac:dyDescent="0.15">
      <c r="C7346" s="255" t="s">
        <v>1023</v>
      </c>
      <c r="D7346" s="59">
        <v>137.69999999999999</v>
      </c>
      <c r="E7346" s="59"/>
    </row>
    <row r="7347" spans="3:5" x14ac:dyDescent="0.15">
      <c r="C7347" s="255" t="s">
        <v>1024</v>
      </c>
      <c r="D7347" s="59">
        <v>22.4</v>
      </c>
      <c r="E7347" s="59"/>
    </row>
    <row r="7348" spans="3:5" x14ac:dyDescent="0.15">
      <c r="C7348" s="255" t="s">
        <v>1025</v>
      </c>
      <c r="D7348" s="59">
        <v>249.4</v>
      </c>
      <c r="E7348" s="59"/>
    </row>
    <row r="7349" spans="3:5" x14ac:dyDescent="0.15">
      <c r="C7349" s="255" t="s">
        <v>1026</v>
      </c>
      <c r="D7349" s="59">
        <v>3423.4</v>
      </c>
      <c r="E7349" s="59"/>
    </row>
    <row r="7350" spans="3:5" x14ac:dyDescent="0.15">
      <c r="C7350" s="255" t="s">
        <v>1027</v>
      </c>
      <c r="D7350" s="59">
        <v>0</v>
      </c>
      <c r="E7350" s="59"/>
    </row>
    <row r="7351" spans="3:5" x14ac:dyDescent="0.15">
      <c r="C7351" s="255" t="s">
        <v>1028</v>
      </c>
      <c r="D7351" s="59">
        <v>571.70000000000005</v>
      </c>
      <c r="E7351" s="59"/>
    </row>
    <row r="7352" spans="3:5" x14ac:dyDescent="0.15">
      <c r="C7352" s="255" t="s">
        <v>1029</v>
      </c>
      <c r="D7352" s="59">
        <v>371</v>
      </c>
      <c r="E7352" s="59"/>
    </row>
    <row r="7353" spans="3:5" x14ac:dyDescent="0.15">
      <c r="C7353" s="255" t="s">
        <v>1030</v>
      </c>
      <c r="D7353" s="59">
        <v>39.9</v>
      </c>
      <c r="E7353" s="59"/>
    </row>
    <row r="7354" spans="3:5" x14ac:dyDescent="0.15">
      <c r="C7354" s="255" t="s">
        <v>1031</v>
      </c>
      <c r="D7354" s="59">
        <v>544.6</v>
      </c>
      <c r="E7354" s="59"/>
    </row>
    <row r="7355" spans="3:5" x14ac:dyDescent="0.15">
      <c r="C7355" s="255" t="s">
        <v>1032</v>
      </c>
      <c r="D7355" s="59">
        <v>202.9</v>
      </c>
      <c r="E7355" s="59"/>
    </row>
    <row r="7356" spans="3:5" x14ac:dyDescent="0.15">
      <c r="C7356" s="255" t="s">
        <v>1033</v>
      </c>
      <c r="D7356" s="59">
        <v>2.8</v>
      </c>
      <c r="E7356" s="59"/>
    </row>
    <row r="7357" spans="3:5" x14ac:dyDescent="0.15">
      <c r="C7357" s="255" t="s">
        <v>1034</v>
      </c>
      <c r="D7357" s="59">
        <v>126.9</v>
      </c>
      <c r="E7357" s="59"/>
    </row>
    <row r="7358" spans="3:5" x14ac:dyDescent="0.15">
      <c r="C7358" s="255" t="s">
        <v>1035</v>
      </c>
      <c r="D7358" s="59">
        <v>3405.6</v>
      </c>
      <c r="E7358" s="59"/>
    </row>
    <row r="7359" spans="3:5" x14ac:dyDescent="0.15">
      <c r="C7359" s="255" t="s">
        <v>1036</v>
      </c>
      <c r="D7359" s="59">
        <v>303.39999999999998</v>
      </c>
      <c r="E7359" s="59"/>
    </row>
    <row r="7360" spans="3:5" x14ac:dyDescent="0.15">
      <c r="C7360" s="255" t="s">
        <v>1037</v>
      </c>
      <c r="D7360" s="59">
        <v>887.8</v>
      </c>
      <c r="E7360" s="59"/>
    </row>
    <row r="7361" spans="2:5" x14ac:dyDescent="0.15">
      <c r="C7361" s="255" t="s">
        <v>1038</v>
      </c>
      <c r="D7361" s="59">
        <v>4874.5</v>
      </c>
      <c r="E7361" s="59"/>
    </row>
    <row r="7362" spans="2:5" x14ac:dyDescent="0.15">
      <c r="C7362" s="255" t="s">
        <v>1039</v>
      </c>
      <c r="D7362" s="59">
        <v>1235.8</v>
      </c>
      <c r="E7362" s="59"/>
    </row>
    <row r="7363" spans="2:5" x14ac:dyDescent="0.15">
      <c r="C7363" s="255" t="s">
        <v>1040</v>
      </c>
      <c r="D7363" s="59">
        <v>4924</v>
      </c>
      <c r="E7363" s="59"/>
    </row>
    <row r="7364" spans="2:5" x14ac:dyDescent="0.15">
      <c r="C7364" s="255" t="s">
        <v>1041</v>
      </c>
      <c r="D7364" s="59">
        <v>394.2</v>
      </c>
      <c r="E7364" s="59"/>
    </row>
    <row r="7365" spans="2:5" x14ac:dyDescent="0.15">
      <c r="C7365" s="255" t="s">
        <v>1042</v>
      </c>
      <c r="D7365" s="59">
        <v>2485.4</v>
      </c>
      <c r="E7365" s="59"/>
    </row>
    <row r="7366" spans="2:5" x14ac:dyDescent="0.15">
      <c r="C7366" s="255" t="s">
        <v>1043</v>
      </c>
      <c r="D7366" s="59">
        <v>719.1</v>
      </c>
      <c r="E7366" s="59"/>
    </row>
    <row r="7367" spans="2:5" x14ac:dyDescent="0.15">
      <c r="C7367" s="255" t="s">
        <v>1044</v>
      </c>
      <c r="D7367" s="59">
        <v>187.8</v>
      </c>
      <c r="E7367" s="59"/>
    </row>
    <row r="7368" spans="2:5" x14ac:dyDescent="0.15">
      <c r="C7368" s="255" t="s">
        <v>1045</v>
      </c>
      <c r="D7368" s="59">
        <v>56.7</v>
      </c>
      <c r="E7368" s="59"/>
    </row>
    <row r="7369" spans="2:5" x14ac:dyDescent="0.15">
      <c r="C7369" s="255" t="s">
        <v>1046</v>
      </c>
      <c r="D7369" s="59">
        <v>215.7</v>
      </c>
      <c r="E7369" s="59"/>
    </row>
    <row r="7370" spans="2:5" x14ac:dyDescent="0.15">
      <c r="C7370" s="255" t="s">
        <v>1047</v>
      </c>
      <c r="D7370" s="59">
        <v>250.6</v>
      </c>
      <c r="E7370" s="59"/>
    </row>
    <row r="7371" spans="2:5" x14ac:dyDescent="0.15">
      <c r="C7371" s="255" t="s">
        <v>1048</v>
      </c>
      <c r="D7371" s="59">
        <v>76.400000000000006</v>
      </c>
      <c r="E7371" s="59"/>
    </row>
    <row r="7372" spans="2:5" x14ac:dyDescent="0.15">
      <c r="B7372" s="255" t="s">
        <v>303</v>
      </c>
      <c r="C7372" s="255" t="s">
        <v>743</v>
      </c>
      <c r="D7372" s="59">
        <v>1253</v>
      </c>
      <c r="E7372" s="59"/>
    </row>
    <row r="7373" spans="2:5" x14ac:dyDescent="0.15">
      <c r="C7373" s="255" t="s">
        <v>744</v>
      </c>
      <c r="D7373" s="59">
        <v>1250.3</v>
      </c>
      <c r="E7373" s="59"/>
    </row>
    <row r="7374" spans="2:5" x14ac:dyDescent="0.15">
      <c r="C7374" s="255" t="s">
        <v>745</v>
      </c>
      <c r="D7374" s="59">
        <v>3248.1</v>
      </c>
      <c r="E7374" s="59"/>
    </row>
    <row r="7375" spans="2:5" x14ac:dyDescent="0.15">
      <c r="C7375" s="255" t="s">
        <v>746</v>
      </c>
      <c r="D7375" s="59">
        <v>2.6</v>
      </c>
      <c r="E7375" s="59"/>
    </row>
    <row r="7376" spans="2:5" x14ac:dyDescent="0.15">
      <c r="C7376" s="255" t="s">
        <v>747</v>
      </c>
      <c r="D7376" s="59">
        <v>2</v>
      </c>
      <c r="E7376" s="59"/>
    </row>
    <row r="7377" spans="3:5" x14ac:dyDescent="0.15">
      <c r="C7377" s="255" t="s">
        <v>748</v>
      </c>
      <c r="D7377" s="59">
        <v>0.6</v>
      </c>
      <c r="E7377" s="59"/>
    </row>
    <row r="7378" spans="3:5" x14ac:dyDescent="0.15">
      <c r="C7378" s="255" t="s">
        <v>749</v>
      </c>
      <c r="D7378" s="59">
        <v>1</v>
      </c>
      <c r="E7378" s="59"/>
    </row>
    <row r="7379" spans="3:5" x14ac:dyDescent="0.15">
      <c r="C7379" s="255" t="s">
        <v>750</v>
      </c>
      <c r="D7379" s="59">
        <v>0.3</v>
      </c>
      <c r="E7379" s="59"/>
    </row>
    <row r="7380" spans="3:5" x14ac:dyDescent="0.15">
      <c r="C7380" s="255" t="s">
        <v>751</v>
      </c>
      <c r="D7380" s="59">
        <v>56.1</v>
      </c>
      <c r="E7380" s="59"/>
    </row>
    <row r="7381" spans="3:5" x14ac:dyDescent="0.15">
      <c r="C7381" s="255" t="s">
        <v>752</v>
      </c>
      <c r="D7381" s="59">
        <v>1.7</v>
      </c>
      <c r="E7381" s="59"/>
    </row>
    <row r="7382" spans="3:5" x14ac:dyDescent="0.15">
      <c r="C7382" s="255" t="s">
        <v>753</v>
      </c>
      <c r="D7382" s="59">
        <v>145.69999999999999</v>
      </c>
      <c r="E7382" s="59"/>
    </row>
    <row r="7383" spans="3:5" x14ac:dyDescent="0.15">
      <c r="C7383" s="255" t="s">
        <v>754</v>
      </c>
      <c r="D7383" s="59">
        <v>1952.3</v>
      </c>
      <c r="E7383" s="59"/>
    </row>
    <row r="7384" spans="3:5" x14ac:dyDescent="0.15">
      <c r="C7384" s="255" t="s">
        <v>192</v>
      </c>
      <c r="D7384" s="59">
        <v>370196.8</v>
      </c>
      <c r="E7384" s="59"/>
    </row>
    <row r="7385" spans="3:5" x14ac:dyDescent="0.15">
      <c r="C7385" s="255" t="s">
        <v>755</v>
      </c>
      <c r="D7385" s="59">
        <v>44300.800000000003</v>
      </c>
      <c r="E7385" s="59"/>
    </row>
    <row r="7386" spans="3:5" x14ac:dyDescent="0.15">
      <c r="C7386" s="255" t="s">
        <v>756</v>
      </c>
      <c r="D7386" s="59">
        <v>136.5</v>
      </c>
      <c r="E7386" s="59"/>
    </row>
    <row r="7387" spans="3:5" x14ac:dyDescent="0.15">
      <c r="C7387" s="255" t="s">
        <v>757</v>
      </c>
      <c r="D7387" s="59">
        <v>153.6</v>
      </c>
      <c r="E7387" s="59"/>
    </row>
    <row r="7388" spans="3:5" x14ac:dyDescent="0.15">
      <c r="C7388" s="255" t="s">
        <v>758</v>
      </c>
      <c r="D7388" s="59">
        <v>2762</v>
      </c>
      <c r="E7388" s="59"/>
    </row>
    <row r="7389" spans="3:5" x14ac:dyDescent="0.15">
      <c r="C7389" s="255" t="s">
        <v>759</v>
      </c>
      <c r="D7389" s="59">
        <v>1672</v>
      </c>
      <c r="E7389" s="59"/>
    </row>
    <row r="7390" spans="3:5" x14ac:dyDescent="0.15">
      <c r="C7390" s="255" t="s">
        <v>760</v>
      </c>
      <c r="D7390" s="59">
        <v>164.6</v>
      </c>
      <c r="E7390" s="59"/>
    </row>
    <row r="7391" spans="3:5" x14ac:dyDescent="0.15">
      <c r="C7391" s="255" t="s">
        <v>761</v>
      </c>
      <c r="D7391" s="59">
        <v>436.1</v>
      </c>
      <c r="E7391" s="59"/>
    </row>
    <row r="7392" spans="3:5" x14ac:dyDescent="0.15">
      <c r="C7392" s="255" t="s">
        <v>762</v>
      </c>
      <c r="D7392" s="59">
        <v>481.6</v>
      </c>
      <c r="E7392" s="59"/>
    </row>
    <row r="7393" spans="3:5" x14ac:dyDescent="0.15">
      <c r="C7393" s="255" t="s">
        <v>763</v>
      </c>
      <c r="D7393" s="59">
        <v>225.9</v>
      </c>
      <c r="E7393" s="59"/>
    </row>
    <row r="7394" spans="3:5" x14ac:dyDescent="0.15">
      <c r="C7394" s="255" t="s">
        <v>764</v>
      </c>
      <c r="D7394" s="59">
        <v>2932.7</v>
      </c>
      <c r="E7394" s="59"/>
    </row>
    <row r="7395" spans="3:5" x14ac:dyDescent="0.15">
      <c r="C7395" s="255" t="s">
        <v>765</v>
      </c>
      <c r="D7395" s="59">
        <v>1533.6</v>
      </c>
      <c r="E7395" s="59"/>
    </row>
    <row r="7396" spans="3:5" x14ac:dyDescent="0.15">
      <c r="C7396" s="255" t="s">
        <v>766</v>
      </c>
      <c r="D7396" s="59">
        <v>185.9</v>
      </c>
      <c r="E7396" s="59"/>
    </row>
    <row r="7397" spans="3:5" x14ac:dyDescent="0.15">
      <c r="C7397" s="255" t="s">
        <v>767</v>
      </c>
      <c r="D7397" s="59">
        <v>1370.4</v>
      </c>
      <c r="E7397" s="59"/>
    </row>
    <row r="7398" spans="3:5" x14ac:dyDescent="0.15">
      <c r="C7398" s="255" t="s">
        <v>768</v>
      </c>
      <c r="D7398" s="59">
        <v>53.4</v>
      </c>
      <c r="E7398" s="59"/>
    </row>
    <row r="7399" spans="3:5" x14ac:dyDescent="0.15">
      <c r="C7399" s="255" t="s">
        <v>769</v>
      </c>
      <c r="D7399" s="59">
        <v>44</v>
      </c>
      <c r="E7399" s="59"/>
    </row>
    <row r="7400" spans="3:5" x14ac:dyDescent="0.15">
      <c r="C7400" s="255" t="s">
        <v>770</v>
      </c>
      <c r="D7400" s="59">
        <v>1983.7</v>
      </c>
      <c r="E7400" s="59"/>
    </row>
    <row r="7401" spans="3:5" x14ac:dyDescent="0.15">
      <c r="C7401" s="255" t="s">
        <v>771</v>
      </c>
      <c r="D7401" s="59">
        <v>2053</v>
      </c>
      <c r="E7401" s="59"/>
    </row>
    <row r="7402" spans="3:5" x14ac:dyDescent="0.15">
      <c r="C7402" s="255" t="s">
        <v>772</v>
      </c>
      <c r="D7402" s="59">
        <v>712.7</v>
      </c>
      <c r="E7402" s="59"/>
    </row>
    <row r="7403" spans="3:5" x14ac:dyDescent="0.15">
      <c r="C7403" s="255" t="s">
        <v>773</v>
      </c>
      <c r="D7403" s="59">
        <v>120.2</v>
      </c>
      <c r="E7403" s="59"/>
    </row>
    <row r="7404" spans="3:5" x14ac:dyDescent="0.15">
      <c r="C7404" s="255" t="s">
        <v>774</v>
      </c>
      <c r="D7404" s="59">
        <v>124.1</v>
      </c>
      <c r="E7404" s="59"/>
    </row>
    <row r="7405" spans="3:5" x14ac:dyDescent="0.15">
      <c r="C7405" s="255" t="s">
        <v>775</v>
      </c>
      <c r="D7405" s="59">
        <v>110.1</v>
      </c>
      <c r="E7405" s="59"/>
    </row>
    <row r="7406" spans="3:5" x14ac:dyDescent="0.15">
      <c r="C7406" s="255" t="s">
        <v>776</v>
      </c>
      <c r="D7406" s="59">
        <v>397.3</v>
      </c>
      <c r="E7406" s="59"/>
    </row>
    <row r="7407" spans="3:5" x14ac:dyDescent="0.15">
      <c r="C7407" s="255" t="s">
        <v>777</v>
      </c>
      <c r="D7407" s="59">
        <v>983.9</v>
      </c>
      <c r="E7407" s="59"/>
    </row>
    <row r="7408" spans="3:5" x14ac:dyDescent="0.15">
      <c r="C7408" s="255" t="s">
        <v>778</v>
      </c>
      <c r="D7408" s="59">
        <v>514.6</v>
      </c>
      <c r="E7408" s="59"/>
    </row>
    <row r="7409" spans="3:5" x14ac:dyDescent="0.15">
      <c r="C7409" s="255" t="s">
        <v>779</v>
      </c>
      <c r="D7409" s="59">
        <v>676.9</v>
      </c>
      <c r="E7409" s="59"/>
    </row>
    <row r="7410" spans="3:5" x14ac:dyDescent="0.15">
      <c r="C7410" s="255" t="s">
        <v>780</v>
      </c>
      <c r="D7410" s="59">
        <v>11</v>
      </c>
      <c r="E7410" s="59"/>
    </row>
    <row r="7411" spans="3:5" x14ac:dyDescent="0.15">
      <c r="C7411" s="255" t="s">
        <v>781</v>
      </c>
      <c r="D7411" s="59">
        <v>917.4</v>
      </c>
      <c r="E7411" s="59"/>
    </row>
    <row r="7412" spans="3:5" x14ac:dyDescent="0.15">
      <c r="C7412" s="255" t="s">
        <v>782</v>
      </c>
      <c r="D7412" s="59">
        <v>2374.1999999999998</v>
      </c>
      <c r="E7412" s="59"/>
    </row>
    <row r="7413" spans="3:5" x14ac:dyDescent="0.15">
      <c r="C7413" s="255" t="s">
        <v>783</v>
      </c>
      <c r="D7413" s="59">
        <v>883.3</v>
      </c>
      <c r="E7413" s="59"/>
    </row>
    <row r="7414" spans="3:5" x14ac:dyDescent="0.15">
      <c r="C7414" s="255" t="s">
        <v>784</v>
      </c>
      <c r="D7414" s="59">
        <v>731.4</v>
      </c>
      <c r="E7414" s="59"/>
    </row>
    <row r="7415" spans="3:5" x14ac:dyDescent="0.15">
      <c r="C7415" s="255" t="s">
        <v>785</v>
      </c>
      <c r="D7415" s="59">
        <v>683.1</v>
      </c>
      <c r="E7415" s="59"/>
    </row>
    <row r="7416" spans="3:5" x14ac:dyDescent="0.15">
      <c r="C7416" s="255" t="s">
        <v>786</v>
      </c>
      <c r="D7416" s="59">
        <v>183.1</v>
      </c>
      <c r="E7416" s="59"/>
    </row>
    <row r="7417" spans="3:5" x14ac:dyDescent="0.15">
      <c r="C7417" s="255" t="s">
        <v>787</v>
      </c>
      <c r="D7417" s="59">
        <v>142.1</v>
      </c>
      <c r="E7417" s="59"/>
    </row>
    <row r="7418" spans="3:5" x14ac:dyDescent="0.15">
      <c r="C7418" s="255" t="s">
        <v>788</v>
      </c>
      <c r="D7418" s="59">
        <v>86.2</v>
      </c>
      <c r="E7418" s="59"/>
    </row>
    <row r="7419" spans="3:5" x14ac:dyDescent="0.15">
      <c r="C7419" s="255" t="s">
        <v>789</v>
      </c>
      <c r="D7419" s="59">
        <v>7.9</v>
      </c>
      <c r="E7419" s="59"/>
    </row>
    <row r="7420" spans="3:5" x14ac:dyDescent="0.15">
      <c r="C7420" s="255" t="s">
        <v>790</v>
      </c>
      <c r="D7420" s="59">
        <v>2677.8</v>
      </c>
      <c r="E7420" s="59"/>
    </row>
    <row r="7421" spans="3:5" x14ac:dyDescent="0.15">
      <c r="C7421" s="255" t="s">
        <v>791</v>
      </c>
      <c r="D7421" s="59">
        <v>73.099999999999994</v>
      </c>
      <c r="E7421" s="59"/>
    </row>
    <row r="7422" spans="3:5" x14ac:dyDescent="0.15">
      <c r="C7422" s="255" t="s">
        <v>792</v>
      </c>
      <c r="D7422" s="59">
        <v>905.7</v>
      </c>
      <c r="E7422" s="59"/>
    </row>
    <row r="7423" spans="3:5" x14ac:dyDescent="0.15">
      <c r="C7423" s="255" t="s">
        <v>793</v>
      </c>
      <c r="D7423" s="59">
        <v>239.3</v>
      </c>
      <c r="E7423" s="59"/>
    </row>
    <row r="7424" spans="3:5" x14ac:dyDescent="0.15">
      <c r="C7424" s="255" t="s">
        <v>794</v>
      </c>
      <c r="D7424" s="59">
        <v>2822.4</v>
      </c>
      <c r="E7424" s="59"/>
    </row>
    <row r="7425" spans="3:5" x14ac:dyDescent="0.15">
      <c r="C7425" s="255" t="s">
        <v>795</v>
      </c>
      <c r="D7425" s="59">
        <v>279.7</v>
      </c>
      <c r="E7425" s="59"/>
    </row>
    <row r="7426" spans="3:5" x14ac:dyDescent="0.15">
      <c r="C7426" s="255" t="s">
        <v>796</v>
      </c>
      <c r="D7426" s="59">
        <v>667.1</v>
      </c>
      <c r="E7426" s="59"/>
    </row>
    <row r="7427" spans="3:5" x14ac:dyDescent="0.15">
      <c r="C7427" s="255" t="s">
        <v>797</v>
      </c>
      <c r="D7427" s="59">
        <v>826.1</v>
      </c>
      <c r="E7427" s="59"/>
    </row>
    <row r="7428" spans="3:5" x14ac:dyDescent="0.15">
      <c r="C7428" s="255" t="s">
        <v>798</v>
      </c>
      <c r="D7428" s="59">
        <v>331.6</v>
      </c>
      <c r="E7428" s="59"/>
    </row>
    <row r="7429" spans="3:5" x14ac:dyDescent="0.15">
      <c r="C7429" s="255" t="s">
        <v>799</v>
      </c>
      <c r="D7429" s="59">
        <v>119.3</v>
      </c>
      <c r="E7429" s="59"/>
    </row>
    <row r="7430" spans="3:5" x14ac:dyDescent="0.15">
      <c r="C7430" s="255" t="s">
        <v>800</v>
      </c>
      <c r="D7430" s="59">
        <v>141.5</v>
      </c>
      <c r="E7430" s="59"/>
    </row>
    <row r="7431" spans="3:5" x14ac:dyDescent="0.15">
      <c r="C7431" s="255" t="s">
        <v>801</v>
      </c>
      <c r="D7431" s="59">
        <v>318.39999999999998</v>
      </c>
      <c r="E7431" s="59"/>
    </row>
    <row r="7432" spans="3:5" x14ac:dyDescent="0.15">
      <c r="C7432" s="255" t="s">
        <v>802</v>
      </c>
      <c r="D7432" s="59">
        <v>1232.0999999999999</v>
      </c>
      <c r="E7432" s="59"/>
    </row>
    <row r="7433" spans="3:5" x14ac:dyDescent="0.15">
      <c r="C7433" s="255" t="s">
        <v>803</v>
      </c>
      <c r="D7433" s="59">
        <v>1530</v>
      </c>
      <c r="E7433" s="59"/>
    </row>
    <row r="7434" spans="3:5" x14ac:dyDescent="0.15">
      <c r="C7434" s="255" t="s">
        <v>804</v>
      </c>
      <c r="D7434" s="59">
        <v>845.3</v>
      </c>
      <c r="E7434" s="59"/>
    </row>
    <row r="7435" spans="3:5" x14ac:dyDescent="0.15">
      <c r="C7435" s="255" t="s">
        <v>805</v>
      </c>
      <c r="D7435" s="59">
        <v>19.600000000000001</v>
      </c>
      <c r="E7435" s="59"/>
    </row>
    <row r="7436" spans="3:5" x14ac:dyDescent="0.15">
      <c r="C7436" s="255" t="s">
        <v>806</v>
      </c>
      <c r="D7436" s="59">
        <v>908.1</v>
      </c>
      <c r="E7436" s="59"/>
    </row>
    <row r="7437" spans="3:5" x14ac:dyDescent="0.15">
      <c r="C7437" s="255" t="s">
        <v>807</v>
      </c>
      <c r="D7437" s="59">
        <v>425.6</v>
      </c>
      <c r="E7437" s="59"/>
    </row>
    <row r="7438" spans="3:5" x14ac:dyDescent="0.15">
      <c r="C7438" s="255" t="s">
        <v>808</v>
      </c>
      <c r="D7438" s="59">
        <v>42.5</v>
      </c>
      <c r="E7438" s="59"/>
    </row>
    <row r="7439" spans="3:5" x14ac:dyDescent="0.15">
      <c r="C7439" s="255" t="s">
        <v>809</v>
      </c>
      <c r="D7439" s="59">
        <v>379</v>
      </c>
      <c r="E7439" s="59"/>
    </row>
    <row r="7440" spans="3:5" x14ac:dyDescent="0.15">
      <c r="C7440" s="255" t="s">
        <v>810</v>
      </c>
      <c r="D7440" s="59">
        <v>262.89999999999998</v>
      </c>
      <c r="E7440" s="59"/>
    </row>
    <row r="7441" spans="3:5" x14ac:dyDescent="0.15">
      <c r="C7441" s="255" t="s">
        <v>811</v>
      </c>
      <c r="D7441" s="59">
        <v>1245.7</v>
      </c>
      <c r="E7441" s="59"/>
    </row>
    <row r="7442" spans="3:5" x14ac:dyDescent="0.15">
      <c r="C7442" s="255" t="s">
        <v>812</v>
      </c>
      <c r="D7442" s="59">
        <v>185.7</v>
      </c>
      <c r="E7442" s="59"/>
    </row>
    <row r="7443" spans="3:5" x14ac:dyDescent="0.15">
      <c r="C7443" s="255" t="s">
        <v>813</v>
      </c>
      <c r="D7443" s="59">
        <v>50.8</v>
      </c>
      <c r="E7443" s="59"/>
    </row>
    <row r="7444" spans="3:5" x14ac:dyDescent="0.15">
      <c r="C7444" s="255" t="s">
        <v>814</v>
      </c>
      <c r="D7444" s="59">
        <v>208.4</v>
      </c>
      <c r="E7444" s="59"/>
    </row>
    <row r="7445" spans="3:5" x14ac:dyDescent="0.15">
      <c r="C7445" s="255" t="s">
        <v>815</v>
      </c>
      <c r="D7445" s="59">
        <v>1025.0999999999999</v>
      </c>
      <c r="E7445" s="59"/>
    </row>
    <row r="7446" spans="3:5" x14ac:dyDescent="0.15">
      <c r="C7446" s="255" t="s">
        <v>816</v>
      </c>
      <c r="D7446" s="59">
        <v>689.6</v>
      </c>
      <c r="E7446" s="59"/>
    </row>
    <row r="7447" spans="3:5" x14ac:dyDescent="0.15">
      <c r="C7447" s="255" t="s">
        <v>817</v>
      </c>
      <c r="D7447" s="59">
        <v>7654.1</v>
      </c>
      <c r="E7447" s="59"/>
    </row>
    <row r="7448" spans="3:5" x14ac:dyDescent="0.15">
      <c r="C7448" s="255" t="s">
        <v>818</v>
      </c>
      <c r="D7448" s="59">
        <v>723.1</v>
      </c>
      <c r="E7448" s="59"/>
    </row>
    <row r="7449" spans="3:5" x14ac:dyDescent="0.15">
      <c r="C7449" s="255" t="s">
        <v>819</v>
      </c>
      <c r="D7449" s="59">
        <v>8.3000000000000007</v>
      </c>
      <c r="E7449" s="59"/>
    </row>
    <row r="7450" spans="3:5" x14ac:dyDescent="0.15">
      <c r="C7450" s="255" t="s">
        <v>820</v>
      </c>
      <c r="D7450" s="59">
        <v>3254.2</v>
      </c>
      <c r="E7450" s="59"/>
    </row>
    <row r="7451" spans="3:5" x14ac:dyDescent="0.15">
      <c r="C7451" s="255" t="s">
        <v>821</v>
      </c>
      <c r="D7451" s="59">
        <v>31.9</v>
      </c>
      <c r="E7451" s="59"/>
    </row>
    <row r="7452" spans="3:5" x14ac:dyDescent="0.15">
      <c r="C7452" s="255" t="s">
        <v>822</v>
      </c>
      <c r="D7452" s="59">
        <v>150.4</v>
      </c>
      <c r="E7452" s="59"/>
    </row>
    <row r="7453" spans="3:5" x14ac:dyDescent="0.15">
      <c r="C7453" s="255" t="s">
        <v>823</v>
      </c>
      <c r="D7453" s="59">
        <v>2.8</v>
      </c>
      <c r="E7453" s="59"/>
    </row>
    <row r="7454" spans="3:5" x14ac:dyDescent="0.15">
      <c r="C7454" s="255" t="s">
        <v>824</v>
      </c>
      <c r="D7454" s="59">
        <v>681.2</v>
      </c>
      <c r="E7454" s="59"/>
    </row>
    <row r="7455" spans="3:5" x14ac:dyDescent="0.15">
      <c r="C7455" s="255" t="s">
        <v>825</v>
      </c>
      <c r="D7455" s="59">
        <v>631.1</v>
      </c>
      <c r="E7455" s="59"/>
    </row>
    <row r="7456" spans="3:5" x14ac:dyDescent="0.15">
      <c r="C7456" s="255" t="s">
        <v>826</v>
      </c>
      <c r="D7456" s="59">
        <v>4.5</v>
      </c>
      <c r="E7456" s="59"/>
    </row>
    <row r="7457" spans="3:5" x14ac:dyDescent="0.15">
      <c r="C7457" s="255" t="s">
        <v>827</v>
      </c>
      <c r="D7457" s="59">
        <v>0.2</v>
      </c>
      <c r="E7457" s="59"/>
    </row>
    <row r="7458" spans="3:5" x14ac:dyDescent="0.15">
      <c r="C7458" s="255" t="s">
        <v>828</v>
      </c>
      <c r="D7458" s="59">
        <v>1697.6</v>
      </c>
      <c r="E7458" s="59"/>
    </row>
    <row r="7459" spans="3:5" x14ac:dyDescent="0.15">
      <c r="C7459" s="255" t="s">
        <v>829</v>
      </c>
      <c r="D7459" s="59">
        <v>17.3</v>
      </c>
      <c r="E7459" s="59"/>
    </row>
    <row r="7460" spans="3:5" x14ac:dyDescent="0.15">
      <c r="C7460" s="255" t="s">
        <v>830</v>
      </c>
      <c r="D7460" s="59">
        <v>451.4</v>
      </c>
      <c r="E7460" s="59"/>
    </row>
    <row r="7461" spans="3:5" x14ac:dyDescent="0.15">
      <c r="C7461" s="255" t="s">
        <v>831</v>
      </c>
      <c r="D7461" s="59">
        <v>0</v>
      </c>
      <c r="E7461" s="59"/>
    </row>
    <row r="7462" spans="3:5" x14ac:dyDescent="0.15">
      <c r="C7462" s="255" t="s">
        <v>832</v>
      </c>
      <c r="D7462" s="59">
        <v>13655.2</v>
      </c>
      <c r="E7462" s="59"/>
    </row>
    <row r="7463" spans="3:5" x14ac:dyDescent="0.15">
      <c r="C7463" s="255" t="s">
        <v>833</v>
      </c>
      <c r="D7463" s="59">
        <v>59.1</v>
      </c>
      <c r="E7463" s="59"/>
    </row>
    <row r="7464" spans="3:5" x14ac:dyDescent="0.15">
      <c r="C7464" s="255" t="s">
        <v>834</v>
      </c>
      <c r="D7464" s="59">
        <v>3425.8</v>
      </c>
      <c r="E7464" s="59"/>
    </row>
    <row r="7465" spans="3:5" x14ac:dyDescent="0.15">
      <c r="C7465" s="255" t="s">
        <v>835</v>
      </c>
      <c r="D7465" s="59">
        <v>4889</v>
      </c>
      <c r="E7465" s="59"/>
    </row>
    <row r="7466" spans="3:5" x14ac:dyDescent="0.15">
      <c r="C7466" s="255" t="s">
        <v>836</v>
      </c>
      <c r="D7466" s="59">
        <v>1533</v>
      </c>
      <c r="E7466" s="59"/>
    </row>
    <row r="7467" spans="3:5" x14ac:dyDescent="0.15">
      <c r="C7467" s="255" t="s">
        <v>837</v>
      </c>
      <c r="D7467" s="59">
        <v>445.9</v>
      </c>
      <c r="E7467" s="59"/>
    </row>
    <row r="7468" spans="3:5" x14ac:dyDescent="0.15">
      <c r="C7468" s="255" t="s">
        <v>838</v>
      </c>
      <c r="D7468" s="59">
        <v>184.1</v>
      </c>
      <c r="E7468" s="59"/>
    </row>
    <row r="7469" spans="3:5" x14ac:dyDescent="0.15">
      <c r="C7469" s="255" t="s">
        <v>839</v>
      </c>
      <c r="D7469" s="59">
        <v>192.6</v>
      </c>
      <c r="E7469" s="59"/>
    </row>
    <row r="7470" spans="3:5" x14ac:dyDescent="0.15">
      <c r="C7470" s="255" t="s">
        <v>840</v>
      </c>
      <c r="D7470" s="59">
        <v>22.4</v>
      </c>
      <c r="E7470" s="59"/>
    </row>
    <row r="7471" spans="3:5" x14ac:dyDescent="0.15">
      <c r="C7471" s="255" t="s">
        <v>841</v>
      </c>
      <c r="D7471" s="59">
        <v>1003.8</v>
      </c>
      <c r="E7471" s="59"/>
    </row>
    <row r="7472" spans="3:5" x14ac:dyDescent="0.15">
      <c r="C7472" s="255" t="s">
        <v>842</v>
      </c>
      <c r="D7472" s="59">
        <v>1579.9</v>
      </c>
      <c r="E7472" s="59"/>
    </row>
    <row r="7473" spans="3:5" x14ac:dyDescent="0.15">
      <c r="C7473" s="255" t="s">
        <v>843</v>
      </c>
      <c r="D7473" s="59">
        <v>293.60000000000002</v>
      </c>
      <c r="E7473" s="59"/>
    </row>
    <row r="7474" spans="3:5" x14ac:dyDescent="0.15">
      <c r="C7474" s="255" t="s">
        <v>844</v>
      </c>
      <c r="D7474" s="59">
        <v>25.8</v>
      </c>
      <c r="E7474" s="59"/>
    </row>
    <row r="7475" spans="3:5" x14ac:dyDescent="0.15">
      <c r="C7475" s="255" t="s">
        <v>845</v>
      </c>
      <c r="D7475" s="59">
        <v>113898.1</v>
      </c>
      <c r="E7475" s="59"/>
    </row>
    <row r="7476" spans="3:5" x14ac:dyDescent="0.15">
      <c r="C7476" s="255" t="s">
        <v>846</v>
      </c>
      <c r="D7476" s="59">
        <v>-30.5</v>
      </c>
      <c r="E7476" s="59"/>
    </row>
    <row r="7477" spans="3:5" x14ac:dyDescent="0.15">
      <c r="C7477" s="255" t="s">
        <v>847</v>
      </c>
      <c r="D7477" s="59">
        <v>29.9</v>
      </c>
      <c r="E7477" s="59"/>
    </row>
    <row r="7478" spans="3:5" x14ac:dyDescent="0.15">
      <c r="C7478" s="255" t="s">
        <v>848</v>
      </c>
      <c r="D7478" s="59">
        <v>66434</v>
      </c>
      <c r="E7478" s="59"/>
    </row>
    <row r="7479" spans="3:5" x14ac:dyDescent="0.15">
      <c r="C7479" s="255" t="s">
        <v>849</v>
      </c>
      <c r="D7479" s="59">
        <v>2679.2</v>
      </c>
      <c r="E7479" s="59"/>
    </row>
    <row r="7480" spans="3:5" x14ac:dyDescent="0.15">
      <c r="C7480" s="255" t="s">
        <v>850</v>
      </c>
      <c r="D7480" s="59">
        <v>3016.7</v>
      </c>
      <c r="E7480" s="59"/>
    </row>
    <row r="7481" spans="3:5" x14ac:dyDescent="0.15">
      <c r="C7481" s="255" t="s">
        <v>851</v>
      </c>
      <c r="D7481" s="59">
        <v>0</v>
      </c>
      <c r="E7481" s="59"/>
    </row>
    <row r="7482" spans="3:5" x14ac:dyDescent="0.15">
      <c r="C7482" s="255" t="s">
        <v>852</v>
      </c>
      <c r="D7482" s="59">
        <v>0</v>
      </c>
      <c r="E7482" s="59"/>
    </row>
    <row r="7483" spans="3:5" x14ac:dyDescent="0.15">
      <c r="C7483" s="255" t="s">
        <v>853</v>
      </c>
      <c r="D7483" s="59">
        <v>431</v>
      </c>
      <c r="E7483" s="59"/>
    </row>
    <row r="7484" spans="3:5" x14ac:dyDescent="0.15">
      <c r="C7484" s="255" t="s">
        <v>854</v>
      </c>
      <c r="D7484" s="59">
        <v>0</v>
      </c>
      <c r="E7484" s="59"/>
    </row>
    <row r="7485" spans="3:5" x14ac:dyDescent="0.15">
      <c r="C7485" s="255" t="s">
        <v>855</v>
      </c>
      <c r="D7485" s="59">
        <v>587</v>
      </c>
      <c r="E7485" s="59"/>
    </row>
    <row r="7486" spans="3:5" x14ac:dyDescent="0.15">
      <c r="C7486" s="255" t="s">
        <v>856</v>
      </c>
      <c r="D7486" s="59">
        <v>3801.7</v>
      </c>
      <c r="E7486" s="59"/>
    </row>
    <row r="7487" spans="3:5" x14ac:dyDescent="0.15">
      <c r="C7487" s="255" t="s">
        <v>857</v>
      </c>
      <c r="D7487" s="59">
        <v>2309.1999999999998</v>
      </c>
      <c r="E7487" s="59"/>
    </row>
    <row r="7488" spans="3:5" x14ac:dyDescent="0.15">
      <c r="C7488" s="255" t="s">
        <v>858</v>
      </c>
      <c r="D7488" s="59">
        <v>2856.9</v>
      </c>
      <c r="E7488" s="59"/>
    </row>
    <row r="7489" spans="3:5" x14ac:dyDescent="0.15">
      <c r="C7489" s="255" t="s">
        <v>859</v>
      </c>
      <c r="D7489" s="59">
        <v>3577.7</v>
      </c>
      <c r="E7489" s="59"/>
    </row>
    <row r="7490" spans="3:5" x14ac:dyDescent="0.15">
      <c r="C7490" s="255" t="s">
        <v>860</v>
      </c>
      <c r="D7490" s="59">
        <v>401.3</v>
      </c>
      <c r="E7490" s="59"/>
    </row>
    <row r="7491" spans="3:5" x14ac:dyDescent="0.15">
      <c r="C7491" s="255" t="s">
        <v>861</v>
      </c>
      <c r="D7491" s="59">
        <v>2380.6999999999998</v>
      </c>
      <c r="E7491" s="59"/>
    </row>
    <row r="7492" spans="3:5" x14ac:dyDescent="0.15">
      <c r="C7492" s="255" t="s">
        <v>862</v>
      </c>
      <c r="D7492" s="59">
        <v>9848.2000000000007</v>
      </c>
      <c r="E7492" s="59"/>
    </row>
    <row r="7493" spans="3:5" x14ac:dyDescent="0.15">
      <c r="C7493" s="255" t="s">
        <v>863</v>
      </c>
      <c r="D7493" s="59">
        <v>2911.2</v>
      </c>
      <c r="E7493" s="59"/>
    </row>
    <row r="7494" spans="3:5" x14ac:dyDescent="0.15">
      <c r="C7494" s="255" t="s">
        <v>864</v>
      </c>
      <c r="D7494" s="59">
        <v>111.3</v>
      </c>
      <c r="E7494" s="59"/>
    </row>
    <row r="7495" spans="3:5" x14ac:dyDescent="0.15">
      <c r="C7495" s="255" t="s">
        <v>865</v>
      </c>
      <c r="D7495" s="59">
        <v>1290.0999999999999</v>
      </c>
      <c r="E7495" s="59"/>
    </row>
    <row r="7496" spans="3:5" x14ac:dyDescent="0.15">
      <c r="C7496" s="255" t="s">
        <v>866</v>
      </c>
      <c r="D7496" s="59">
        <v>47.7</v>
      </c>
      <c r="E7496" s="59"/>
    </row>
    <row r="7497" spans="3:5" x14ac:dyDescent="0.15">
      <c r="C7497" s="255" t="s">
        <v>867</v>
      </c>
      <c r="D7497" s="59">
        <v>2264</v>
      </c>
      <c r="E7497" s="59"/>
    </row>
    <row r="7498" spans="3:5" x14ac:dyDescent="0.15">
      <c r="C7498" s="255" t="s">
        <v>868</v>
      </c>
      <c r="D7498" s="59">
        <v>8950.7000000000007</v>
      </c>
      <c r="E7498" s="59"/>
    </row>
    <row r="7499" spans="3:5" x14ac:dyDescent="0.15">
      <c r="C7499" s="255" t="s">
        <v>869</v>
      </c>
      <c r="D7499" s="59">
        <v>21410.799999999999</v>
      </c>
      <c r="E7499" s="59"/>
    </row>
    <row r="7500" spans="3:5" x14ac:dyDescent="0.15">
      <c r="C7500" s="255" t="s">
        <v>870</v>
      </c>
      <c r="D7500" s="59">
        <v>4182.7</v>
      </c>
      <c r="E7500" s="59"/>
    </row>
    <row r="7501" spans="3:5" x14ac:dyDescent="0.15">
      <c r="C7501" s="255" t="s">
        <v>871</v>
      </c>
      <c r="D7501" s="59">
        <v>966.7</v>
      </c>
      <c r="E7501" s="59"/>
    </row>
    <row r="7502" spans="3:5" x14ac:dyDescent="0.15">
      <c r="C7502" s="255" t="s">
        <v>872</v>
      </c>
      <c r="D7502" s="59">
        <v>738.3</v>
      </c>
      <c r="E7502" s="59"/>
    </row>
    <row r="7503" spans="3:5" x14ac:dyDescent="0.15">
      <c r="C7503" s="255" t="s">
        <v>873</v>
      </c>
      <c r="D7503" s="59">
        <v>923.4</v>
      </c>
      <c r="E7503" s="59"/>
    </row>
    <row r="7504" spans="3:5" x14ac:dyDescent="0.15">
      <c r="C7504" s="255" t="s">
        <v>874</v>
      </c>
      <c r="D7504" s="59">
        <v>240.3</v>
      </c>
      <c r="E7504" s="59"/>
    </row>
    <row r="7505" spans="3:5" x14ac:dyDescent="0.15">
      <c r="C7505" s="255" t="s">
        <v>875</v>
      </c>
      <c r="D7505" s="59">
        <v>32.799999999999997</v>
      </c>
      <c r="E7505" s="59"/>
    </row>
    <row r="7506" spans="3:5" x14ac:dyDescent="0.15">
      <c r="C7506" s="255" t="s">
        <v>876</v>
      </c>
      <c r="D7506" s="59">
        <v>17.5</v>
      </c>
      <c r="E7506" s="59"/>
    </row>
    <row r="7507" spans="3:5" x14ac:dyDescent="0.15">
      <c r="C7507" s="255" t="s">
        <v>877</v>
      </c>
      <c r="D7507" s="59">
        <v>26.2</v>
      </c>
      <c r="E7507" s="59"/>
    </row>
    <row r="7508" spans="3:5" x14ac:dyDescent="0.15">
      <c r="C7508" s="255" t="s">
        <v>878</v>
      </c>
      <c r="D7508" s="59">
        <v>376</v>
      </c>
      <c r="E7508" s="59"/>
    </row>
    <row r="7509" spans="3:5" x14ac:dyDescent="0.15">
      <c r="C7509" s="255" t="s">
        <v>879</v>
      </c>
      <c r="D7509" s="59">
        <v>1176.5</v>
      </c>
      <c r="E7509" s="59"/>
    </row>
    <row r="7510" spans="3:5" x14ac:dyDescent="0.15">
      <c r="C7510" s="255" t="s">
        <v>880</v>
      </c>
      <c r="D7510" s="59">
        <v>148.19999999999999</v>
      </c>
      <c r="E7510" s="59"/>
    </row>
    <row r="7511" spans="3:5" x14ac:dyDescent="0.15">
      <c r="C7511" s="255" t="s">
        <v>881</v>
      </c>
      <c r="D7511" s="59">
        <v>0.8</v>
      </c>
      <c r="E7511" s="59"/>
    </row>
    <row r="7512" spans="3:5" x14ac:dyDescent="0.15">
      <c r="C7512" s="255" t="s">
        <v>882</v>
      </c>
      <c r="D7512" s="59">
        <v>260.2</v>
      </c>
      <c r="E7512" s="59"/>
    </row>
    <row r="7513" spans="3:5" x14ac:dyDescent="0.15">
      <c r="C7513" s="255" t="s">
        <v>883</v>
      </c>
      <c r="D7513" s="59">
        <v>588.5</v>
      </c>
      <c r="E7513" s="59"/>
    </row>
    <row r="7514" spans="3:5" x14ac:dyDescent="0.15">
      <c r="C7514" s="255" t="s">
        <v>884</v>
      </c>
      <c r="D7514" s="59">
        <v>1037</v>
      </c>
      <c r="E7514" s="59"/>
    </row>
    <row r="7515" spans="3:5" x14ac:dyDescent="0.15">
      <c r="C7515" s="255" t="s">
        <v>885</v>
      </c>
      <c r="D7515" s="59">
        <v>505.3</v>
      </c>
      <c r="E7515" s="59"/>
    </row>
    <row r="7516" spans="3:5" x14ac:dyDescent="0.15">
      <c r="C7516" s="255" t="s">
        <v>886</v>
      </c>
      <c r="D7516" s="59">
        <v>238.1</v>
      </c>
      <c r="E7516" s="59"/>
    </row>
    <row r="7517" spans="3:5" x14ac:dyDescent="0.15">
      <c r="C7517" s="255" t="s">
        <v>887</v>
      </c>
      <c r="D7517" s="59">
        <v>315.60000000000002</v>
      </c>
      <c r="E7517" s="59"/>
    </row>
    <row r="7518" spans="3:5" x14ac:dyDescent="0.15">
      <c r="C7518" s="255" t="s">
        <v>888</v>
      </c>
      <c r="D7518" s="59">
        <v>1.7</v>
      </c>
      <c r="E7518" s="59"/>
    </row>
    <row r="7519" spans="3:5" x14ac:dyDescent="0.15">
      <c r="C7519" s="255" t="s">
        <v>889</v>
      </c>
      <c r="D7519" s="59">
        <v>268</v>
      </c>
      <c r="E7519" s="59"/>
    </row>
    <row r="7520" spans="3:5" x14ac:dyDescent="0.15">
      <c r="C7520" s="255" t="s">
        <v>890</v>
      </c>
      <c r="D7520" s="59">
        <v>34.5</v>
      </c>
      <c r="E7520" s="59"/>
    </row>
    <row r="7521" spans="3:5" x14ac:dyDescent="0.15">
      <c r="C7521" s="255" t="s">
        <v>891</v>
      </c>
      <c r="D7521" s="59">
        <v>29.6</v>
      </c>
      <c r="E7521" s="59"/>
    </row>
    <row r="7522" spans="3:5" x14ac:dyDescent="0.15">
      <c r="C7522" s="255" t="s">
        <v>892</v>
      </c>
      <c r="D7522" s="59">
        <v>22.3</v>
      </c>
      <c r="E7522" s="59"/>
    </row>
    <row r="7523" spans="3:5" x14ac:dyDescent="0.15">
      <c r="C7523" s="255" t="s">
        <v>893</v>
      </c>
      <c r="D7523" s="59">
        <v>229.6</v>
      </c>
      <c r="E7523" s="59"/>
    </row>
    <row r="7524" spans="3:5" x14ac:dyDescent="0.15">
      <c r="C7524" s="255" t="s">
        <v>894</v>
      </c>
      <c r="D7524" s="59">
        <v>59.2</v>
      </c>
      <c r="E7524" s="59"/>
    </row>
    <row r="7525" spans="3:5" x14ac:dyDescent="0.15">
      <c r="C7525" s="255" t="s">
        <v>895</v>
      </c>
      <c r="D7525" s="59">
        <v>661.4</v>
      </c>
      <c r="E7525" s="59"/>
    </row>
    <row r="7526" spans="3:5" x14ac:dyDescent="0.15">
      <c r="C7526" s="255" t="s">
        <v>896</v>
      </c>
      <c r="D7526" s="59">
        <v>60.8</v>
      </c>
      <c r="E7526" s="59"/>
    </row>
    <row r="7527" spans="3:5" x14ac:dyDescent="0.15">
      <c r="C7527" s="255" t="s">
        <v>897</v>
      </c>
      <c r="D7527" s="59">
        <v>1390.4</v>
      </c>
      <c r="E7527" s="59"/>
    </row>
    <row r="7528" spans="3:5" x14ac:dyDescent="0.15">
      <c r="C7528" s="255" t="s">
        <v>898</v>
      </c>
      <c r="D7528" s="59">
        <v>784.2</v>
      </c>
      <c r="E7528" s="59"/>
    </row>
    <row r="7529" spans="3:5" x14ac:dyDescent="0.15">
      <c r="C7529" s="255" t="s">
        <v>899</v>
      </c>
      <c r="D7529" s="59">
        <v>174.4</v>
      </c>
      <c r="E7529" s="59"/>
    </row>
    <row r="7530" spans="3:5" x14ac:dyDescent="0.15">
      <c r="C7530" s="255" t="s">
        <v>900</v>
      </c>
      <c r="D7530" s="59">
        <v>561.29999999999995</v>
      </c>
      <c r="E7530" s="59"/>
    </row>
    <row r="7531" spans="3:5" x14ac:dyDescent="0.15">
      <c r="C7531" s="255" t="s">
        <v>901</v>
      </c>
      <c r="D7531" s="59">
        <v>1138.3</v>
      </c>
      <c r="E7531" s="59"/>
    </row>
    <row r="7532" spans="3:5" x14ac:dyDescent="0.15">
      <c r="C7532" s="255" t="s">
        <v>902</v>
      </c>
      <c r="D7532" s="59">
        <v>41.1</v>
      </c>
      <c r="E7532" s="59"/>
    </row>
    <row r="7533" spans="3:5" x14ac:dyDescent="0.15">
      <c r="C7533" s="255" t="s">
        <v>903</v>
      </c>
      <c r="D7533" s="59">
        <v>1147.0999999999999</v>
      </c>
      <c r="E7533" s="59"/>
    </row>
    <row r="7534" spans="3:5" x14ac:dyDescent="0.15">
      <c r="C7534" s="255" t="s">
        <v>904</v>
      </c>
      <c r="D7534" s="59">
        <v>1445.9</v>
      </c>
      <c r="E7534" s="59"/>
    </row>
    <row r="7535" spans="3:5" x14ac:dyDescent="0.15">
      <c r="C7535" s="255" t="s">
        <v>905</v>
      </c>
      <c r="D7535" s="59">
        <v>493.9</v>
      </c>
      <c r="E7535" s="59"/>
    </row>
    <row r="7536" spans="3:5" x14ac:dyDescent="0.15">
      <c r="C7536" s="255" t="s">
        <v>906</v>
      </c>
      <c r="D7536" s="59">
        <v>106.3</v>
      </c>
      <c r="E7536" s="59"/>
    </row>
    <row r="7537" spans="3:5" x14ac:dyDescent="0.15">
      <c r="C7537" s="255" t="s">
        <v>907</v>
      </c>
      <c r="D7537" s="59">
        <v>986.8</v>
      </c>
      <c r="E7537" s="59"/>
    </row>
    <row r="7538" spans="3:5" x14ac:dyDescent="0.15">
      <c r="C7538" s="255" t="s">
        <v>908</v>
      </c>
      <c r="D7538" s="59">
        <v>8407.9</v>
      </c>
      <c r="E7538" s="59"/>
    </row>
    <row r="7539" spans="3:5" x14ac:dyDescent="0.15">
      <c r="C7539" s="255" t="s">
        <v>909</v>
      </c>
      <c r="D7539" s="59">
        <v>2550.1999999999998</v>
      </c>
      <c r="E7539" s="59"/>
    </row>
    <row r="7540" spans="3:5" x14ac:dyDescent="0.15">
      <c r="C7540" s="255" t="s">
        <v>910</v>
      </c>
      <c r="D7540" s="59">
        <v>5</v>
      </c>
      <c r="E7540" s="59"/>
    </row>
    <row r="7541" spans="3:5" x14ac:dyDescent="0.15">
      <c r="C7541" s="255" t="s">
        <v>911</v>
      </c>
      <c r="D7541" s="59">
        <v>306.89999999999998</v>
      </c>
      <c r="E7541" s="59"/>
    </row>
    <row r="7542" spans="3:5" x14ac:dyDescent="0.15">
      <c r="C7542" s="255" t="s">
        <v>912</v>
      </c>
      <c r="D7542" s="59">
        <v>842.5</v>
      </c>
      <c r="E7542" s="59"/>
    </row>
    <row r="7543" spans="3:5" x14ac:dyDescent="0.15">
      <c r="C7543" s="255" t="s">
        <v>913</v>
      </c>
      <c r="D7543" s="59">
        <v>0</v>
      </c>
      <c r="E7543" s="59"/>
    </row>
    <row r="7544" spans="3:5" x14ac:dyDescent="0.15">
      <c r="C7544" s="255" t="s">
        <v>914</v>
      </c>
      <c r="D7544" s="59">
        <v>3.6</v>
      </c>
      <c r="E7544" s="59"/>
    </row>
    <row r="7545" spans="3:5" x14ac:dyDescent="0.15">
      <c r="C7545" s="255" t="s">
        <v>915</v>
      </c>
      <c r="D7545" s="59">
        <v>29.8</v>
      </c>
      <c r="E7545" s="59"/>
    </row>
    <row r="7546" spans="3:5" x14ac:dyDescent="0.15">
      <c r="C7546" s="255" t="s">
        <v>916</v>
      </c>
      <c r="D7546" s="59">
        <v>296.8</v>
      </c>
      <c r="E7546" s="59"/>
    </row>
    <row r="7547" spans="3:5" x14ac:dyDescent="0.15">
      <c r="C7547" s="255" t="s">
        <v>917</v>
      </c>
      <c r="D7547" s="59">
        <v>34</v>
      </c>
      <c r="E7547" s="59"/>
    </row>
    <row r="7548" spans="3:5" x14ac:dyDescent="0.15">
      <c r="C7548" s="255" t="s">
        <v>918</v>
      </c>
      <c r="D7548" s="59">
        <v>3029.5</v>
      </c>
      <c r="E7548" s="59"/>
    </row>
    <row r="7549" spans="3:5" x14ac:dyDescent="0.15">
      <c r="C7549" s="255" t="s">
        <v>919</v>
      </c>
      <c r="D7549" s="59">
        <v>2</v>
      </c>
      <c r="E7549" s="59"/>
    </row>
    <row r="7550" spans="3:5" x14ac:dyDescent="0.15">
      <c r="C7550" s="255" t="s">
        <v>920</v>
      </c>
      <c r="D7550" s="59">
        <v>1307.8</v>
      </c>
      <c r="E7550" s="59"/>
    </row>
    <row r="7551" spans="3:5" x14ac:dyDescent="0.15">
      <c r="C7551" s="255" t="s">
        <v>921</v>
      </c>
      <c r="D7551" s="59">
        <v>0</v>
      </c>
      <c r="E7551" s="59"/>
    </row>
    <row r="7552" spans="3:5" x14ac:dyDescent="0.15">
      <c r="C7552" s="255" t="s">
        <v>922</v>
      </c>
      <c r="D7552" s="59">
        <v>55023.7</v>
      </c>
      <c r="E7552" s="59"/>
    </row>
    <row r="7553" spans="3:5" x14ac:dyDescent="0.15">
      <c r="C7553" s="255" t="s">
        <v>923</v>
      </c>
      <c r="D7553" s="59">
        <v>14726.5</v>
      </c>
      <c r="E7553" s="59"/>
    </row>
    <row r="7554" spans="3:5" x14ac:dyDescent="0.15">
      <c r="C7554" s="255" t="s">
        <v>924</v>
      </c>
      <c r="D7554" s="59">
        <v>5100.8999999999996</v>
      </c>
      <c r="E7554" s="59"/>
    </row>
    <row r="7555" spans="3:5" x14ac:dyDescent="0.15">
      <c r="C7555" s="255" t="s">
        <v>925</v>
      </c>
      <c r="D7555" s="59">
        <v>504.1</v>
      </c>
      <c r="E7555" s="59"/>
    </row>
    <row r="7556" spans="3:5" x14ac:dyDescent="0.15">
      <c r="C7556" s="255" t="s">
        <v>926</v>
      </c>
      <c r="D7556" s="59">
        <v>1144.9000000000001</v>
      </c>
      <c r="E7556" s="59"/>
    </row>
    <row r="7557" spans="3:5" x14ac:dyDescent="0.15">
      <c r="C7557" s="255" t="s">
        <v>927</v>
      </c>
      <c r="D7557" s="59">
        <v>897.5</v>
      </c>
      <c r="E7557" s="59"/>
    </row>
    <row r="7558" spans="3:5" x14ac:dyDescent="0.15">
      <c r="C7558" s="255" t="s">
        <v>928</v>
      </c>
      <c r="D7558" s="59">
        <v>828.4</v>
      </c>
      <c r="E7558" s="59"/>
    </row>
    <row r="7559" spans="3:5" x14ac:dyDescent="0.15">
      <c r="C7559" s="255" t="s">
        <v>929</v>
      </c>
      <c r="D7559" s="59">
        <v>377.7</v>
      </c>
      <c r="E7559" s="59"/>
    </row>
    <row r="7560" spans="3:5" x14ac:dyDescent="0.15">
      <c r="C7560" s="255" t="s">
        <v>930</v>
      </c>
      <c r="D7560" s="59">
        <v>3045.1</v>
      </c>
      <c r="E7560" s="59"/>
    </row>
    <row r="7561" spans="3:5" x14ac:dyDescent="0.15">
      <c r="C7561" s="255" t="s">
        <v>931</v>
      </c>
      <c r="D7561" s="59">
        <v>7228.1</v>
      </c>
      <c r="E7561" s="59"/>
    </row>
    <row r="7562" spans="3:5" x14ac:dyDescent="0.15">
      <c r="C7562" s="255" t="s">
        <v>932</v>
      </c>
      <c r="D7562" s="59">
        <v>0</v>
      </c>
      <c r="E7562" s="59"/>
    </row>
    <row r="7563" spans="3:5" x14ac:dyDescent="0.15">
      <c r="C7563" s="255" t="s">
        <v>933</v>
      </c>
      <c r="D7563" s="59">
        <v>63.8</v>
      </c>
      <c r="E7563" s="59"/>
    </row>
    <row r="7564" spans="3:5" x14ac:dyDescent="0.15">
      <c r="C7564" s="255" t="s">
        <v>934</v>
      </c>
      <c r="D7564" s="59">
        <v>7007</v>
      </c>
      <c r="E7564" s="59"/>
    </row>
    <row r="7565" spans="3:5" x14ac:dyDescent="0.15">
      <c r="C7565" s="255" t="s">
        <v>935</v>
      </c>
      <c r="D7565" s="59">
        <v>3486.4</v>
      </c>
      <c r="E7565" s="59"/>
    </row>
    <row r="7566" spans="3:5" x14ac:dyDescent="0.15">
      <c r="C7566" s="255" t="s">
        <v>936</v>
      </c>
      <c r="D7566" s="59">
        <v>5334.9</v>
      </c>
      <c r="E7566" s="59"/>
    </row>
    <row r="7567" spans="3:5" x14ac:dyDescent="0.15">
      <c r="C7567" s="255" t="s">
        <v>937</v>
      </c>
      <c r="D7567" s="59">
        <v>932</v>
      </c>
      <c r="E7567" s="59"/>
    </row>
    <row r="7568" spans="3:5" x14ac:dyDescent="0.15">
      <c r="C7568" s="255" t="s">
        <v>938</v>
      </c>
      <c r="D7568" s="59">
        <v>314.5</v>
      </c>
      <c r="E7568" s="59"/>
    </row>
    <row r="7569" spans="3:5" x14ac:dyDescent="0.15">
      <c r="C7569" s="255" t="s">
        <v>939</v>
      </c>
      <c r="D7569" s="59">
        <v>4.5999999999999996</v>
      </c>
      <c r="E7569" s="59"/>
    </row>
    <row r="7570" spans="3:5" x14ac:dyDescent="0.15">
      <c r="C7570" s="255" t="s">
        <v>940</v>
      </c>
      <c r="D7570" s="59">
        <v>51.4</v>
      </c>
      <c r="E7570" s="59"/>
    </row>
    <row r="7571" spans="3:5" x14ac:dyDescent="0.15">
      <c r="C7571" s="255" t="s">
        <v>941</v>
      </c>
      <c r="D7571" s="59">
        <v>272.60000000000002</v>
      </c>
      <c r="E7571" s="59"/>
    </row>
    <row r="7572" spans="3:5" x14ac:dyDescent="0.15">
      <c r="C7572" s="255" t="s">
        <v>942</v>
      </c>
      <c r="D7572" s="59">
        <v>37.200000000000003</v>
      </c>
      <c r="E7572" s="59"/>
    </row>
    <row r="7573" spans="3:5" x14ac:dyDescent="0.15">
      <c r="C7573" s="255" t="s">
        <v>943</v>
      </c>
      <c r="D7573" s="59">
        <v>1584.6</v>
      </c>
      <c r="E7573" s="59"/>
    </row>
    <row r="7574" spans="3:5" x14ac:dyDescent="0.15">
      <c r="C7574" s="255" t="s">
        <v>944</v>
      </c>
      <c r="D7574" s="59">
        <v>506.7</v>
      </c>
      <c r="E7574" s="59"/>
    </row>
    <row r="7575" spans="3:5" x14ac:dyDescent="0.15">
      <c r="C7575" s="255" t="s">
        <v>945</v>
      </c>
      <c r="D7575" s="59">
        <v>1514</v>
      </c>
      <c r="E7575" s="59"/>
    </row>
    <row r="7576" spans="3:5" x14ac:dyDescent="0.15">
      <c r="C7576" s="255" t="s">
        <v>946</v>
      </c>
      <c r="D7576" s="59">
        <v>44.8</v>
      </c>
      <c r="E7576" s="59"/>
    </row>
    <row r="7577" spans="3:5" x14ac:dyDescent="0.15">
      <c r="C7577" s="255" t="s">
        <v>947</v>
      </c>
      <c r="D7577" s="59">
        <v>16.2</v>
      </c>
      <c r="E7577" s="59"/>
    </row>
    <row r="7578" spans="3:5" x14ac:dyDescent="0.15">
      <c r="C7578" s="255" t="s">
        <v>948</v>
      </c>
      <c r="D7578" s="59">
        <v>9801.7000000000007</v>
      </c>
      <c r="E7578" s="59"/>
    </row>
    <row r="7579" spans="3:5" x14ac:dyDescent="0.15">
      <c r="C7579" s="255" t="s">
        <v>949</v>
      </c>
      <c r="D7579" s="59">
        <v>233.7</v>
      </c>
      <c r="E7579" s="59"/>
    </row>
    <row r="7580" spans="3:5" x14ac:dyDescent="0.15">
      <c r="C7580" s="255" t="s">
        <v>950</v>
      </c>
      <c r="D7580" s="59">
        <v>1.1000000000000001</v>
      </c>
      <c r="E7580" s="59"/>
    </row>
    <row r="7581" spans="3:5" x14ac:dyDescent="0.15">
      <c r="C7581" s="255" t="s">
        <v>951</v>
      </c>
      <c r="D7581" s="59">
        <v>1471.9</v>
      </c>
      <c r="E7581" s="59"/>
    </row>
    <row r="7582" spans="3:5" x14ac:dyDescent="0.15">
      <c r="C7582" s="255" t="s">
        <v>952</v>
      </c>
      <c r="D7582" s="59">
        <v>102.5</v>
      </c>
      <c r="E7582" s="59"/>
    </row>
    <row r="7583" spans="3:5" x14ac:dyDescent="0.15">
      <c r="C7583" s="255" t="s">
        <v>953</v>
      </c>
      <c r="D7583" s="59">
        <v>278.10000000000002</v>
      </c>
      <c r="E7583" s="59"/>
    </row>
    <row r="7584" spans="3:5" x14ac:dyDescent="0.15">
      <c r="C7584" s="255" t="s">
        <v>954</v>
      </c>
      <c r="D7584" s="59">
        <v>2801.8</v>
      </c>
      <c r="E7584" s="59"/>
    </row>
    <row r="7585" spans="3:5" x14ac:dyDescent="0.15">
      <c r="C7585" s="255" t="s">
        <v>955</v>
      </c>
      <c r="D7585" s="59">
        <v>1518.8</v>
      </c>
      <c r="E7585" s="59"/>
    </row>
    <row r="7586" spans="3:5" x14ac:dyDescent="0.15">
      <c r="C7586" s="255" t="s">
        <v>956</v>
      </c>
      <c r="D7586" s="59">
        <v>3393.8</v>
      </c>
      <c r="E7586" s="59"/>
    </row>
    <row r="7587" spans="3:5" x14ac:dyDescent="0.15">
      <c r="C7587" s="255" t="s">
        <v>957</v>
      </c>
      <c r="D7587" s="59">
        <v>36765.599999999999</v>
      </c>
      <c r="E7587" s="59"/>
    </row>
    <row r="7588" spans="3:5" x14ac:dyDescent="0.15">
      <c r="C7588" s="255" t="s">
        <v>958</v>
      </c>
      <c r="D7588" s="59">
        <v>134.5</v>
      </c>
      <c r="E7588" s="59"/>
    </row>
    <row r="7589" spans="3:5" x14ac:dyDescent="0.15">
      <c r="C7589" s="255" t="s">
        <v>959</v>
      </c>
      <c r="D7589" s="59">
        <v>1134.5</v>
      </c>
      <c r="E7589" s="59"/>
    </row>
    <row r="7590" spans="3:5" x14ac:dyDescent="0.15">
      <c r="C7590" s="255" t="s">
        <v>960</v>
      </c>
      <c r="D7590" s="59">
        <v>61.4</v>
      </c>
      <c r="E7590" s="59"/>
    </row>
    <row r="7591" spans="3:5" x14ac:dyDescent="0.15">
      <c r="C7591" s="255" t="s">
        <v>961</v>
      </c>
      <c r="D7591" s="59">
        <v>94.6</v>
      </c>
      <c r="E7591" s="59"/>
    </row>
    <row r="7592" spans="3:5" x14ac:dyDescent="0.15">
      <c r="C7592" s="255" t="s">
        <v>962</v>
      </c>
      <c r="D7592" s="59">
        <v>0.1</v>
      </c>
      <c r="E7592" s="59"/>
    </row>
    <row r="7593" spans="3:5" x14ac:dyDescent="0.15">
      <c r="C7593" s="255" t="s">
        <v>963</v>
      </c>
      <c r="D7593" s="59">
        <v>1085.4000000000001</v>
      </c>
      <c r="E7593" s="59"/>
    </row>
    <row r="7594" spans="3:5" x14ac:dyDescent="0.15">
      <c r="C7594" s="255" t="s">
        <v>964</v>
      </c>
      <c r="D7594" s="59">
        <v>754</v>
      </c>
      <c r="E7594" s="59"/>
    </row>
    <row r="7595" spans="3:5" x14ac:dyDescent="0.15">
      <c r="C7595" s="255" t="s">
        <v>965</v>
      </c>
      <c r="D7595" s="59">
        <v>99.1</v>
      </c>
      <c r="E7595" s="59"/>
    </row>
    <row r="7596" spans="3:5" x14ac:dyDescent="0.15">
      <c r="C7596" s="255" t="s">
        <v>966</v>
      </c>
      <c r="D7596" s="59">
        <v>18.7</v>
      </c>
      <c r="E7596" s="59"/>
    </row>
    <row r="7597" spans="3:5" x14ac:dyDescent="0.15">
      <c r="C7597" s="255" t="s">
        <v>967</v>
      </c>
      <c r="D7597" s="59">
        <v>138.30000000000001</v>
      </c>
      <c r="E7597" s="59"/>
    </row>
    <row r="7598" spans="3:5" x14ac:dyDescent="0.15">
      <c r="C7598" s="255" t="s">
        <v>968</v>
      </c>
      <c r="D7598" s="59">
        <v>2.1</v>
      </c>
      <c r="E7598" s="59"/>
    </row>
    <row r="7599" spans="3:5" x14ac:dyDescent="0.15">
      <c r="C7599" s="255" t="s">
        <v>969</v>
      </c>
      <c r="D7599" s="59">
        <v>38.1</v>
      </c>
      <c r="E7599" s="59"/>
    </row>
    <row r="7600" spans="3:5" x14ac:dyDescent="0.15">
      <c r="C7600" s="255" t="s">
        <v>970</v>
      </c>
      <c r="D7600" s="59">
        <v>68.900000000000006</v>
      </c>
      <c r="E7600" s="59"/>
    </row>
    <row r="7601" spans="3:5" x14ac:dyDescent="0.15">
      <c r="C7601" s="255" t="s">
        <v>971</v>
      </c>
      <c r="D7601" s="59">
        <v>883.9</v>
      </c>
      <c r="E7601" s="59"/>
    </row>
    <row r="7602" spans="3:5" x14ac:dyDescent="0.15">
      <c r="C7602" s="255" t="s">
        <v>972</v>
      </c>
      <c r="D7602" s="59">
        <v>1387.8</v>
      </c>
      <c r="E7602" s="59"/>
    </row>
    <row r="7603" spans="3:5" x14ac:dyDescent="0.15">
      <c r="C7603" s="255" t="s">
        <v>973</v>
      </c>
      <c r="D7603" s="59">
        <v>67.5</v>
      </c>
      <c r="E7603" s="59"/>
    </row>
    <row r="7604" spans="3:5" x14ac:dyDescent="0.15">
      <c r="C7604" s="255" t="s">
        <v>974</v>
      </c>
      <c r="D7604" s="59">
        <v>133.69999999999999</v>
      </c>
      <c r="E7604" s="59"/>
    </row>
    <row r="7605" spans="3:5" x14ac:dyDescent="0.15">
      <c r="C7605" s="255" t="s">
        <v>975</v>
      </c>
      <c r="D7605" s="59">
        <v>16.600000000000001</v>
      </c>
      <c r="E7605" s="59"/>
    </row>
    <row r="7606" spans="3:5" x14ac:dyDescent="0.15">
      <c r="C7606" s="255" t="s">
        <v>976</v>
      </c>
      <c r="D7606" s="59">
        <v>58.7</v>
      </c>
      <c r="E7606" s="59"/>
    </row>
    <row r="7607" spans="3:5" x14ac:dyDescent="0.15">
      <c r="C7607" s="255" t="s">
        <v>977</v>
      </c>
      <c r="D7607" s="59">
        <v>737.1</v>
      </c>
      <c r="E7607" s="59"/>
    </row>
    <row r="7608" spans="3:5" x14ac:dyDescent="0.15">
      <c r="C7608" s="255" t="s">
        <v>978</v>
      </c>
      <c r="D7608" s="59">
        <v>1626.6</v>
      </c>
      <c r="E7608" s="59"/>
    </row>
    <row r="7609" spans="3:5" x14ac:dyDescent="0.15">
      <c r="C7609" s="255" t="s">
        <v>979</v>
      </c>
      <c r="D7609" s="59">
        <v>618.5</v>
      </c>
      <c r="E7609" s="59"/>
    </row>
    <row r="7610" spans="3:5" x14ac:dyDescent="0.15">
      <c r="C7610" s="255" t="s">
        <v>980</v>
      </c>
      <c r="D7610" s="59">
        <v>452.4</v>
      </c>
      <c r="E7610" s="59"/>
    </row>
    <row r="7611" spans="3:5" x14ac:dyDescent="0.15">
      <c r="C7611" s="255" t="s">
        <v>981</v>
      </c>
      <c r="D7611" s="59">
        <v>0</v>
      </c>
      <c r="E7611" s="59"/>
    </row>
    <row r="7612" spans="3:5" x14ac:dyDescent="0.15">
      <c r="C7612" s="255" t="s">
        <v>982</v>
      </c>
      <c r="D7612" s="59">
        <v>702.6</v>
      </c>
      <c r="E7612" s="59"/>
    </row>
    <row r="7613" spans="3:5" x14ac:dyDescent="0.15">
      <c r="C7613" s="255" t="s">
        <v>983</v>
      </c>
      <c r="D7613" s="59">
        <v>2444.9</v>
      </c>
      <c r="E7613" s="59"/>
    </row>
    <row r="7614" spans="3:5" x14ac:dyDescent="0.15">
      <c r="C7614" s="255" t="s">
        <v>984</v>
      </c>
      <c r="D7614" s="59">
        <v>54.8</v>
      </c>
      <c r="E7614" s="59"/>
    </row>
    <row r="7615" spans="3:5" x14ac:dyDescent="0.15">
      <c r="C7615" s="255" t="s">
        <v>985</v>
      </c>
      <c r="D7615" s="59">
        <v>1396.5</v>
      </c>
      <c r="E7615" s="59"/>
    </row>
    <row r="7616" spans="3:5" x14ac:dyDescent="0.15">
      <c r="C7616" s="255" t="s">
        <v>986</v>
      </c>
      <c r="D7616" s="59">
        <v>829.6</v>
      </c>
      <c r="E7616" s="59"/>
    </row>
    <row r="7617" spans="3:5" x14ac:dyDescent="0.15">
      <c r="C7617" s="255" t="s">
        <v>987</v>
      </c>
      <c r="D7617" s="59">
        <v>420.4</v>
      </c>
      <c r="E7617" s="59"/>
    </row>
    <row r="7618" spans="3:5" x14ac:dyDescent="0.15">
      <c r="C7618" s="255" t="s">
        <v>988</v>
      </c>
      <c r="D7618" s="59">
        <v>1660.5</v>
      </c>
      <c r="E7618" s="59"/>
    </row>
    <row r="7619" spans="3:5" x14ac:dyDescent="0.15">
      <c r="C7619" s="255" t="s">
        <v>989</v>
      </c>
      <c r="D7619" s="59">
        <v>1593.7</v>
      </c>
      <c r="E7619" s="59"/>
    </row>
    <row r="7620" spans="3:5" x14ac:dyDescent="0.15">
      <c r="C7620" s="255" t="s">
        <v>990</v>
      </c>
      <c r="D7620" s="59">
        <v>334.3</v>
      </c>
      <c r="E7620" s="59"/>
    </row>
    <row r="7621" spans="3:5" x14ac:dyDescent="0.15">
      <c r="C7621" s="255" t="s">
        <v>991</v>
      </c>
      <c r="D7621" s="59">
        <v>5471.4</v>
      </c>
      <c r="E7621" s="59"/>
    </row>
    <row r="7622" spans="3:5" x14ac:dyDescent="0.15">
      <c r="C7622" s="255" t="s">
        <v>992</v>
      </c>
      <c r="D7622" s="59">
        <v>7.4</v>
      </c>
      <c r="E7622" s="59"/>
    </row>
    <row r="7623" spans="3:5" x14ac:dyDescent="0.15">
      <c r="C7623" s="255" t="s">
        <v>993</v>
      </c>
      <c r="D7623" s="59">
        <v>209.5</v>
      </c>
      <c r="E7623" s="59"/>
    </row>
    <row r="7624" spans="3:5" x14ac:dyDescent="0.15">
      <c r="C7624" s="255" t="s">
        <v>994</v>
      </c>
      <c r="D7624" s="59">
        <v>0</v>
      </c>
      <c r="E7624" s="59"/>
    </row>
    <row r="7625" spans="3:5" x14ac:dyDescent="0.15">
      <c r="C7625" s="255" t="s">
        <v>995</v>
      </c>
      <c r="D7625" s="59">
        <v>1059.5</v>
      </c>
      <c r="E7625" s="59"/>
    </row>
    <row r="7626" spans="3:5" x14ac:dyDescent="0.15">
      <c r="C7626" s="255" t="s">
        <v>996</v>
      </c>
      <c r="D7626" s="59">
        <v>504.5</v>
      </c>
      <c r="E7626" s="59"/>
    </row>
    <row r="7627" spans="3:5" x14ac:dyDescent="0.15">
      <c r="C7627" s="255" t="s">
        <v>997</v>
      </c>
      <c r="D7627" s="59">
        <v>298.3</v>
      </c>
      <c r="E7627" s="59"/>
    </row>
    <row r="7628" spans="3:5" x14ac:dyDescent="0.15">
      <c r="C7628" s="255" t="s">
        <v>998</v>
      </c>
      <c r="D7628" s="59">
        <v>126.7</v>
      </c>
      <c r="E7628" s="59"/>
    </row>
    <row r="7629" spans="3:5" x14ac:dyDescent="0.15">
      <c r="C7629" s="255" t="s">
        <v>999</v>
      </c>
      <c r="D7629" s="59">
        <v>0.2</v>
      </c>
      <c r="E7629" s="59"/>
    </row>
    <row r="7630" spans="3:5" x14ac:dyDescent="0.15">
      <c r="C7630" s="255" t="s">
        <v>1000</v>
      </c>
      <c r="D7630" s="59">
        <v>1495.5</v>
      </c>
      <c r="E7630" s="59"/>
    </row>
    <row r="7631" spans="3:5" x14ac:dyDescent="0.15">
      <c r="C7631" s="255" t="s">
        <v>1001</v>
      </c>
      <c r="D7631" s="59">
        <v>527.6</v>
      </c>
      <c r="E7631" s="59"/>
    </row>
    <row r="7632" spans="3:5" x14ac:dyDescent="0.15">
      <c r="C7632" s="255" t="s">
        <v>1002</v>
      </c>
      <c r="D7632" s="59">
        <v>204.5</v>
      </c>
      <c r="E7632" s="59"/>
    </row>
    <row r="7633" spans="3:5" x14ac:dyDescent="0.15">
      <c r="C7633" s="255" t="s">
        <v>1003</v>
      </c>
      <c r="D7633" s="59">
        <v>118.2</v>
      </c>
      <c r="E7633" s="59"/>
    </row>
    <row r="7634" spans="3:5" x14ac:dyDescent="0.15">
      <c r="C7634" s="255" t="s">
        <v>1004</v>
      </c>
      <c r="D7634" s="59">
        <v>86.8</v>
      </c>
      <c r="E7634" s="59"/>
    </row>
    <row r="7635" spans="3:5" x14ac:dyDescent="0.15">
      <c r="C7635" s="255" t="s">
        <v>1005</v>
      </c>
      <c r="D7635" s="59">
        <v>196.2</v>
      </c>
      <c r="E7635" s="59"/>
    </row>
    <row r="7636" spans="3:5" x14ac:dyDescent="0.15">
      <c r="C7636" s="255" t="s">
        <v>1006</v>
      </c>
      <c r="D7636" s="59">
        <v>7409.6</v>
      </c>
      <c r="E7636" s="59"/>
    </row>
    <row r="7637" spans="3:5" x14ac:dyDescent="0.15">
      <c r="C7637" s="255" t="s">
        <v>1007</v>
      </c>
      <c r="D7637" s="59">
        <v>1662</v>
      </c>
      <c r="E7637" s="59"/>
    </row>
    <row r="7638" spans="3:5" x14ac:dyDescent="0.15">
      <c r="C7638" s="255" t="s">
        <v>1008</v>
      </c>
      <c r="D7638" s="59">
        <v>898</v>
      </c>
      <c r="E7638" s="59"/>
    </row>
    <row r="7639" spans="3:5" x14ac:dyDescent="0.15">
      <c r="C7639" s="255" t="s">
        <v>1009</v>
      </c>
      <c r="D7639" s="59">
        <v>590</v>
      </c>
      <c r="E7639" s="59"/>
    </row>
    <row r="7640" spans="3:5" x14ac:dyDescent="0.15">
      <c r="C7640" s="255" t="s">
        <v>1010</v>
      </c>
      <c r="D7640" s="59">
        <v>57</v>
      </c>
      <c r="E7640" s="59"/>
    </row>
    <row r="7641" spans="3:5" x14ac:dyDescent="0.15">
      <c r="C7641" s="255" t="s">
        <v>1011</v>
      </c>
      <c r="D7641" s="59">
        <v>116.9</v>
      </c>
      <c r="E7641" s="59"/>
    </row>
    <row r="7642" spans="3:5" x14ac:dyDescent="0.15">
      <c r="C7642" s="255" t="s">
        <v>1012</v>
      </c>
      <c r="D7642" s="59">
        <v>19940.3</v>
      </c>
      <c r="E7642" s="59"/>
    </row>
    <row r="7643" spans="3:5" x14ac:dyDescent="0.15">
      <c r="C7643" s="255" t="s">
        <v>1013</v>
      </c>
      <c r="D7643" s="59">
        <v>10735</v>
      </c>
      <c r="E7643" s="59"/>
    </row>
    <row r="7644" spans="3:5" x14ac:dyDescent="0.15">
      <c r="C7644" s="255" t="s">
        <v>1014</v>
      </c>
      <c r="D7644" s="59">
        <v>3154.6</v>
      </c>
      <c r="E7644" s="59"/>
    </row>
    <row r="7645" spans="3:5" x14ac:dyDescent="0.15">
      <c r="C7645" s="255" t="s">
        <v>1015</v>
      </c>
      <c r="D7645" s="59">
        <v>901.8</v>
      </c>
      <c r="E7645" s="59"/>
    </row>
    <row r="7646" spans="3:5" x14ac:dyDescent="0.15">
      <c r="C7646" s="255" t="s">
        <v>1016</v>
      </c>
      <c r="D7646" s="59">
        <v>2666.9</v>
      </c>
      <c r="E7646" s="59"/>
    </row>
    <row r="7647" spans="3:5" x14ac:dyDescent="0.15">
      <c r="C7647" s="255" t="s">
        <v>1017</v>
      </c>
      <c r="D7647" s="59">
        <v>2435.1</v>
      </c>
      <c r="E7647" s="59"/>
    </row>
    <row r="7648" spans="3:5" x14ac:dyDescent="0.15">
      <c r="C7648" s="255" t="s">
        <v>1018</v>
      </c>
      <c r="D7648" s="59">
        <v>46.9</v>
      </c>
      <c r="E7648" s="59"/>
    </row>
    <row r="7649" spans="3:5" x14ac:dyDescent="0.15">
      <c r="C7649" s="255" t="s">
        <v>1019</v>
      </c>
      <c r="D7649" s="59">
        <v>37676.699999999997</v>
      </c>
      <c r="E7649" s="59"/>
    </row>
    <row r="7650" spans="3:5" x14ac:dyDescent="0.15">
      <c r="C7650" s="255" t="s">
        <v>1020</v>
      </c>
      <c r="D7650" s="59">
        <v>570.1</v>
      </c>
      <c r="E7650" s="59"/>
    </row>
    <row r="7651" spans="3:5" x14ac:dyDescent="0.15">
      <c r="C7651" s="255" t="s">
        <v>1021</v>
      </c>
      <c r="D7651" s="59">
        <v>1356.6</v>
      </c>
      <c r="E7651" s="59"/>
    </row>
    <row r="7652" spans="3:5" x14ac:dyDescent="0.15">
      <c r="C7652" s="255" t="s">
        <v>1022</v>
      </c>
      <c r="D7652" s="59">
        <v>412.4</v>
      </c>
      <c r="E7652" s="59"/>
    </row>
    <row r="7653" spans="3:5" x14ac:dyDescent="0.15">
      <c r="C7653" s="255" t="s">
        <v>1023</v>
      </c>
      <c r="D7653" s="59">
        <v>213.4</v>
      </c>
      <c r="E7653" s="59"/>
    </row>
    <row r="7654" spans="3:5" x14ac:dyDescent="0.15">
      <c r="C7654" s="255" t="s">
        <v>1024</v>
      </c>
      <c r="D7654" s="59">
        <v>28.4</v>
      </c>
      <c r="E7654" s="59"/>
    </row>
    <row r="7655" spans="3:5" x14ac:dyDescent="0.15">
      <c r="C7655" s="255" t="s">
        <v>1025</v>
      </c>
      <c r="D7655" s="59">
        <v>304.7</v>
      </c>
      <c r="E7655" s="59"/>
    </row>
    <row r="7656" spans="3:5" x14ac:dyDescent="0.15">
      <c r="C7656" s="255" t="s">
        <v>1026</v>
      </c>
      <c r="D7656" s="59">
        <v>4050.6</v>
      </c>
      <c r="E7656" s="59"/>
    </row>
    <row r="7657" spans="3:5" x14ac:dyDescent="0.15">
      <c r="C7657" s="255" t="s">
        <v>1027</v>
      </c>
      <c r="D7657" s="59">
        <v>0</v>
      </c>
      <c r="E7657" s="59"/>
    </row>
    <row r="7658" spans="3:5" x14ac:dyDescent="0.15">
      <c r="C7658" s="255" t="s">
        <v>1028</v>
      </c>
      <c r="D7658" s="59">
        <v>637.1</v>
      </c>
      <c r="E7658" s="59"/>
    </row>
    <row r="7659" spans="3:5" x14ac:dyDescent="0.15">
      <c r="C7659" s="255" t="s">
        <v>1029</v>
      </c>
      <c r="D7659" s="59">
        <v>464.1</v>
      </c>
      <c r="E7659" s="59"/>
    </row>
    <row r="7660" spans="3:5" x14ac:dyDescent="0.15">
      <c r="C7660" s="255" t="s">
        <v>1030</v>
      </c>
      <c r="D7660" s="59">
        <v>3.2</v>
      </c>
      <c r="E7660" s="59"/>
    </row>
    <row r="7661" spans="3:5" x14ac:dyDescent="0.15">
      <c r="C7661" s="255" t="s">
        <v>1031</v>
      </c>
      <c r="D7661" s="59">
        <v>773.4</v>
      </c>
      <c r="E7661" s="59"/>
    </row>
    <row r="7662" spans="3:5" x14ac:dyDescent="0.15">
      <c r="C7662" s="255" t="s">
        <v>1032</v>
      </c>
      <c r="D7662" s="59">
        <v>42.9</v>
      </c>
      <c r="E7662" s="59"/>
    </row>
    <row r="7663" spans="3:5" x14ac:dyDescent="0.15">
      <c r="C7663" s="255" t="s">
        <v>1033</v>
      </c>
      <c r="D7663" s="59">
        <v>0</v>
      </c>
      <c r="E7663" s="59"/>
    </row>
    <row r="7664" spans="3:5" x14ac:dyDescent="0.15">
      <c r="C7664" s="255" t="s">
        <v>1034</v>
      </c>
      <c r="D7664" s="59">
        <v>137.80000000000001</v>
      </c>
      <c r="E7664" s="59"/>
    </row>
    <row r="7665" spans="2:5" x14ac:dyDescent="0.15">
      <c r="C7665" s="255" t="s">
        <v>1035</v>
      </c>
      <c r="D7665" s="59">
        <v>4886.2</v>
      </c>
      <c r="E7665" s="59"/>
    </row>
    <row r="7666" spans="2:5" x14ac:dyDescent="0.15">
      <c r="C7666" s="255" t="s">
        <v>1036</v>
      </c>
      <c r="D7666" s="59">
        <v>96.9</v>
      </c>
      <c r="E7666" s="59"/>
    </row>
    <row r="7667" spans="2:5" x14ac:dyDescent="0.15">
      <c r="C7667" s="255" t="s">
        <v>1037</v>
      </c>
      <c r="D7667" s="59">
        <v>1315.7</v>
      </c>
      <c r="E7667" s="59"/>
    </row>
    <row r="7668" spans="2:5" x14ac:dyDescent="0.15">
      <c r="C7668" s="255" t="s">
        <v>1038</v>
      </c>
      <c r="D7668" s="59">
        <v>7873.7</v>
      </c>
      <c r="E7668" s="59"/>
    </row>
    <row r="7669" spans="2:5" x14ac:dyDescent="0.15">
      <c r="C7669" s="255" t="s">
        <v>1039</v>
      </c>
      <c r="D7669" s="59">
        <v>1588.5</v>
      </c>
      <c r="E7669" s="59"/>
    </row>
    <row r="7670" spans="2:5" x14ac:dyDescent="0.15">
      <c r="C7670" s="255" t="s">
        <v>1040</v>
      </c>
      <c r="D7670" s="59">
        <v>7095.3</v>
      </c>
      <c r="E7670" s="59"/>
    </row>
    <row r="7671" spans="2:5" x14ac:dyDescent="0.15">
      <c r="C7671" s="255" t="s">
        <v>1041</v>
      </c>
      <c r="D7671" s="59">
        <v>516.1</v>
      </c>
      <c r="E7671" s="59"/>
    </row>
    <row r="7672" spans="2:5" x14ac:dyDescent="0.15">
      <c r="C7672" s="255" t="s">
        <v>1042</v>
      </c>
      <c r="D7672" s="59">
        <v>3437.1</v>
      </c>
      <c r="E7672" s="59"/>
    </row>
    <row r="7673" spans="2:5" x14ac:dyDescent="0.15">
      <c r="C7673" s="255" t="s">
        <v>1043</v>
      </c>
      <c r="D7673" s="59">
        <v>934.1</v>
      </c>
      <c r="E7673" s="59"/>
    </row>
    <row r="7674" spans="2:5" x14ac:dyDescent="0.15">
      <c r="C7674" s="255" t="s">
        <v>1044</v>
      </c>
      <c r="D7674" s="59">
        <v>227.1</v>
      </c>
      <c r="E7674" s="59"/>
    </row>
    <row r="7675" spans="2:5" x14ac:dyDescent="0.15">
      <c r="C7675" s="255" t="s">
        <v>1045</v>
      </c>
      <c r="D7675" s="59">
        <v>91.6</v>
      </c>
      <c r="E7675" s="59"/>
    </row>
    <row r="7676" spans="2:5" x14ac:dyDescent="0.15">
      <c r="C7676" s="255" t="s">
        <v>1046</v>
      </c>
      <c r="D7676" s="59">
        <v>294</v>
      </c>
      <c r="E7676" s="59"/>
    </row>
    <row r="7677" spans="2:5" x14ac:dyDescent="0.15">
      <c r="C7677" s="255" t="s">
        <v>1047</v>
      </c>
      <c r="D7677" s="59">
        <v>250.5</v>
      </c>
      <c r="E7677" s="59"/>
    </row>
    <row r="7678" spans="2:5" x14ac:dyDescent="0.15">
      <c r="C7678" s="255" t="s">
        <v>1048</v>
      </c>
      <c r="D7678" s="59">
        <v>75.2</v>
      </c>
      <c r="E7678" s="59"/>
    </row>
    <row r="7679" spans="2:5" x14ac:dyDescent="0.15">
      <c r="B7679" s="255" t="s">
        <v>702</v>
      </c>
      <c r="C7679" s="255" t="s">
        <v>743</v>
      </c>
      <c r="D7679" s="59">
        <v>84</v>
      </c>
      <c r="E7679" s="59"/>
    </row>
    <row r="7680" spans="2:5" x14ac:dyDescent="0.15">
      <c r="C7680" s="255" t="s">
        <v>744</v>
      </c>
      <c r="D7680" s="59">
        <v>110</v>
      </c>
      <c r="E7680" s="59"/>
    </row>
    <row r="7681" spans="3:5" x14ac:dyDescent="0.15">
      <c r="C7681" s="255" t="s">
        <v>745</v>
      </c>
      <c r="D7681" s="59">
        <v>192.7</v>
      </c>
      <c r="E7681" s="59"/>
    </row>
    <row r="7682" spans="3:5" x14ac:dyDescent="0.15">
      <c r="C7682" s="255" t="s">
        <v>746</v>
      </c>
      <c r="D7682" s="59">
        <v>1.8</v>
      </c>
      <c r="E7682" s="59"/>
    </row>
    <row r="7683" spans="3:5" x14ac:dyDescent="0.15">
      <c r="C7683" s="255" t="s">
        <v>747</v>
      </c>
      <c r="D7683" s="59">
        <v>1.5</v>
      </c>
      <c r="E7683" s="59"/>
    </row>
    <row r="7684" spans="3:5" x14ac:dyDescent="0.15">
      <c r="C7684" s="255" t="s">
        <v>748</v>
      </c>
      <c r="D7684" s="59">
        <v>0.2</v>
      </c>
      <c r="E7684" s="59"/>
    </row>
    <row r="7685" spans="3:5" x14ac:dyDescent="0.15">
      <c r="C7685" s="255" t="s">
        <v>749</v>
      </c>
      <c r="D7685" s="59">
        <v>1</v>
      </c>
      <c r="E7685" s="59"/>
    </row>
    <row r="7686" spans="3:5" x14ac:dyDescent="0.15">
      <c r="C7686" s="255" t="s">
        <v>750</v>
      </c>
      <c r="D7686" s="59">
        <v>0.4</v>
      </c>
      <c r="E7686" s="59"/>
    </row>
    <row r="7687" spans="3:5" x14ac:dyDescent="0.15">
      <c r="C7687" s="255" t="s">
        <v>751</v>
      </c>
      <c r="D7687" s="59">
        <v>53.5</v>
      </c>
      <c r="E7687" s="59"/>
    </row>
    <row r="7688" spans="3:5" x14ac:dyDescent="0.15">
      <c r="C7688" s="255" t="s">
        <v>752</v>
      </c>
      <c r="D7688" s="59">
        <v>1.3</v>
      </c>
      <c r="E7688" s="59"/>
    </row>
    <row r="7689" spans="3:5" x14ac:dyDescent="0.15">
      <c r="C7689" s="255" t="s">
        <v>753</v>
      </c>
      <c r="D7689" s="59">
        <v>98</v>
      </c>
      <c r="E7689" s="59"/>
    </row>
    <row r="7690" spans="3:5" x14ac:dyDescent="0.15">
      <c r="C7690" s="255" t="s">
        <v>754</v>
      </c>
      <c r="D7690" s="59">
        <v>1950.1</v>
      </c>
      <c r="E7690" s="59"/>
    </row>
    <row r="7691" spans="3:5" x14ac:dyDescent="0.15">
      <c r="C7691" s="255" t="s">
        <v>192</v>
      </c>
      <c r="D7691" s="59">
        <v>363197.6</v>
      </c>
      <c r="E7691" s="59"/>
    </row>
    <row r="7692" spans="3:5" x14ac:dyDescent="0.15">
      <c r="C7692" s="255" t="s">
        <v>755</v>
      </c>
      <c r="D7692" s="59">
        <v>38669.5</v>
      </c>
      <c r="E7692" s="59"/>
    </row>
    <row r="7693" spans="3:5" x14ac:dyDescent="0.15">
      <c r="C7693" s="255" t="s">
        <v>756</v>
      </c>
      <c r="D7693" s="59">
        <v>128.19999999999999</v>
      </c>
      <c r="E7693" s="59"/>
    </row>
    <row r="7694" spans="3:5" x14ac:dyDescent="0.15">
      <c r="C7694" s="255" t="s">
        <v>757</v>
      </c>
      <c r="D7694" s="59">
        <v>182.1</v>
      </c>
      <c r="E7694" s="59"/>
    </row>
    <row r="7695" spans="3:5" x14ac:dyDescent="0.15">
      <c r="C7695" s="255" t="s">
        <v>758</v>
      </c>
      <c r="D7695" s="59">
        <v>2347.8000000000002</v>
      </c>
      <c r="E7695" s="59"/>
    </row>
    <row r="7696" spans="3:5" x14ac:dyDescent="0.15">
      <c r="C7696" s="255" t="s">
        <v>759</v>
      </c>
      <c r="D7696" s="59">
        <v>1522.5</v>
      </c>
      <c r="E7696" s="59"/>
    </row>
    <row r="7697" spans="3:5" x14ac:dyDescent="0.15">
      <c r="C7697" s="255" t="s">
        <v>760</v>
      </c>
      <c r="D7697" s="59">
        <v>121.9</v>
      </c>
      <c r="E7697" s="59"/>
    </row>
    <row r="7698" spans="3:5" x14ac:dyDescent="0.15">
      <c r="C7698" s="255" t="s">
        <v>761</v>
      </c>
      <c r="D7698" s="59">
        <v>517.5</v>
      </c>
      <c r="E7698" s="59"/>
    </row>
    <row r="7699" spans="3:5" x14ac:dyDescent="0.15">
      <c r="C7699" s="255" t="s">
        <v>762</v>
      </c>
      <c r="D7699" s="59">
        <v>442.7</v>
      </c>
      <c r="E7699" s="59"/>
    </row>
    <row r="7700" spans="3:5" x14ac:dyDescent="0.15">
      <c r="C7700" s="255" t="s">
        <v>763</v>
      </c>
      <c r="D7700" s="59">
        <v>113.1</v>
      </c>
      <c r="E7700" s="59"/>
    </row>
    <row r="7701" spans="3:5" x14ac:dyDescent="0.15">
      <c r="C7701" s="255" t="s">
        <v>764</v>
      </c>
      <c r="D7701" s="59">
        <v>2487.3000000000002</v>
      </c>
      <c r="E7701" s="59"/>
    </row>
    <row r="7702" spans="3:5" x14ac:dyDescent="0.15">
      <c r="C7702" s="255" t="s">
        <v>765</v>
      </c>
      <c r="D7702" s="59">
        <v>823.6</v>
      </c>
      <c r="E7702" s="59"/>
    </row>
    <row r="7703" spans="3:5" x14ac:dyDescent="0.15">
      <c r="C7703" s="255" t="s">
        <v>766</v>
      </c>
      <c r="D7703" s="59">
        <v>93.2</v>
      </c>
      <c r="E7703" s="59"/>
    </row>
    <row r="7704" spans="3:5" x14ac:dyDescent="0.15">
      <c r="C7704" s="255" t="s">
        <v>767</v>
      </c>
      <c r="D7704" s="59">
        <v>1128.5999999999999</v>
      </c>
      <c r="E7704" s="59"/>
    </row>
    <row r="7705" spans="3:5" x14ac:dyDescent="0.15">
      <c r="C7705" s="255" t="s">
        <v>768</v>
      </c>
      <c r="D7705" s="59">
        <v>34.200000000000003</v>
      </c>
      <c r="E7705" s="59"/>
    </row>
    <row r="7706" spans="3:5" x14ac:dyDescent="0.15">
      <c r="C7706" s="255" t="s">
        <v>769</v>
      </c>
      <c r="D7706" s="59">
        <v>2.7</v>
      </c>
      <c r="E7706" s="59"/>
    </row>
    <row r="7707" spans="3:5" x14ac:dyDescent="0.15">
      <c r="C7707" s="255" t="s">
        <v>770</v>
      </c>
      <c r="D7707" s="59">
        <v>1278.7</v>
      </c>
      <c r="E7707" s="59"/>
    </row>
    <row r="7708" spans="3:5" x14ac:dyDescent="0.15">
      <c r="C7708" s="255" t="s">
        <v>771</v>
      </c>
      <c r="D7708" s="59">
        <v>1262.3</v>
      </c>
      <c r="E7708" s="59"/>
    </row>
    <row r="7709" spans="3:5" x14ac:dyDescent="0.15">
      <c r="C7709" s="255" t="s">
        <v>772</v>
      </c>
      <c r="D7709" s="59">
        <v>448</v>
      </c>
      <c r="E7709" s="59"/>
    </row>
    <row r="7710" spans="3:5" x14ac:dyDescent="0.15">
      <c r="C7710" s="255" t="s">
        <v>773</v>
      </c>
      <c r="D7710" s="59">
        <v>87.1</v>
      </c>
      <c r="E7710" s="59"/>
    </row>
    <row r="7711" spans="3:5" x14ac:dyDescent="0.15">
      <c r="C7711" s="255" t="s">
        <v>774</v>
      </c>
      <c r="D7711" s="59">
        <v>235.9</v>
      </c>
      <c r="E7711" s="59"/>
    </row>
    <row r="7712" spans="3:5" x14ac:dyDescent="0.15">
      <c r="C7712" s="255" t="s">
        <v>775</v>
      </c>
      <c r="D7712" s="59">
        <v>193.4</v>
      </c>
      <c r="E7712" s="59"/>
    </row>
    <row r="7713" spans="3:5" x14ac:dyDescent="0.15">
      <c r="C7713" s="255" t="s">
        <v>776</v>
      </c>
      <c r="D7713" s="59">
        <v>288</v>
      </c>
      <c r="E7713" s="59"/>
    </row>
    <row r="7714" spans="3:5" x14ac:dyDescent="0.15">
      <c r="C7714" s="255" t="s">
        <v>777</v>
      </c>
      <c r="D7714" s="59">
        <v>771.9</v>
      </c>
      <c r="E7714" s="59"/>
    </row>
    <row r="7715" spans="3:5" x14ac:dyDescent="0.15">
      <c r="C7715" s="255" t="s">
        <v>778</v>
      </c>
      <c r="D7715" s="59">
        <v>276</v>
      </c>
      <c r="E7715" s="59"/>
    </row>
    <row r="7716" spans="3:5" x14ac:dyDescent="0.15">
      <c r="C7716" s="255" t="s">
        <v>779</v>
      </c>
      <c r="D7716" s="59">
        <v>488.8</v>
      </c>
      <c r="E7716" s="59"/>
    </row>
    <row r="7717" spans="3:5" x14ac:dyDescent="0.15">
      <c r="C7717" s="255" t="s">
        <v>780</v>
      </c>
      <c r="D7717" s="59">
        <v>0.5</v>
      </c>
      <c r="E7717" s="59"/>
    </row>
    <row r="7718" spans="3:5" x14ac:dyDescent="0.15">
      <c r="C7718" s="255" t="s">
        <v>781</v>
      </c>
      <c r="D7718" s="59">
        <v>863.2</v>
      </c>
      <c r="E7718" s="59"/>
    </row>
    <row r="7719" spans="3:5" x14ac:dyDescent="0.15">
      <c r="C7719" s="255" t="s">
        <v>782</v>
      </c>
      <c r="D7719" s="59">
        <v>1768.5</v>
      </c>
      <c r="E7719" s="59"/>
    </row>
    <row r="7720" spans="3:5" x14ac:dyDescent="0.15">
      <c r="C7720" s="255" t="s">
        <v>783</v>
      </c>
      <c r="D7720" s="59">
        <v>664.7</v>
      </c>
      <c r="E7720" s="59"/>
    </row>
    <row r="7721" spans="3:5" x14ac:dyDescent="0.15">
      <c r="C7721" s="255" t="s">
        <v>784</v>
      </c>
      <c r="D7721" s="59">
        <v>499.4</v>
      </c>
      <c r="E7721" s="59"/>
    </row>
    <row r="7722" spans="3:5" x14ac:dyDescent="0.15">
      <c r="C7722" s="255" t="s">
        <v>785</v>
      </c>
      <c r="D7722" s="59">
        <v>469.8</v>
      </c>
      <c r="E7722" s="59"/>
    </row>
    <row r="7723" spans="3:5" x14ac:dyDescent="0.15">
      <c r="C7723" s="255" t="s">
        <v>786</v>
      </c>
      <c r="D7723" s="59">
        <v>99.1</v>
      </c>
      <c r="E7723" s="59"/>
    </row>
    <row r="7724" spans="3:5" x14ac:dyDescent="0.15">
      <c r="C7724" s="255" t="s">
        <v>787</v>
      </c>
      <c r="D7724" s="59">
        <v>277.7</v>
      </c>
      <c r="E7724" s="59"/>
    </row>
    <row r="7725" spans="3:5" x14ac:dyDescent="0.15">
      <c r="C7725" s="255" t="s">
        <v>788</v>
      </c>
      <c r="D7725" s="59">
        <v>49.9</v>
      </c>
      <c r="E7725" s="59"/>
    </row>
    <row r="7726" spans="3:5" x14ac:dyDescent="0.15">
      <c r="C7726" s="255" t="s">
        <v>789</v>
      </c>
      <c r="D7726" s="59">
        <v>1.3</v>
      </c>
      <c r="E7726" s="59"/>
    </row>
    <row r="7727" spans="3:5" x14ac:dyDescent="0.15">
      <c r="C7727" s="255" t="s">
        <v>790</v>
      </c>
      <c r="D7727" s="59">
        <v>2928.9</v>
      </c>
      <c r="E7727" s="59"/>
    </row>
    <row r="7728" spans="3:5" x14ac:dyDescent="0.15">
      <c r="C7728" s="255" t="s">
        <v>791</v>
      </c>
      <c r="D7728" s="59">
        <v>84.4</v>
      </c>
      <c r="E7728" s="59"/>
    </row>
    <row r="7729" spans="3:5" x14ac:dyDescent="0.15">
      <c r="C7729" s="255" t="s">
        <v>792</v>
      </c>
      <c r="D7729" s="59">
        <v>866.2</v>
      </c>
      <c r="E7729" s="59"/>
    </row>
    <row r="7730" spans="3:5" x14ac:dyDescent="0.15">
      <c r="C7730" s="255" t="s">
        <v>793</v>
      </c>
      <c r="D7730" s="59">
        <v>201.4</v>
      </c>
      <c r="E7730" s="59"/>
    </row>
    <row r="7731" spans="3:5" x14ac:dyDescent="0.15">
      <c r="C7731" s="255" t="s">
        <v>794</v>
      </c>
      <c r="D7731" s="59">
        <v>2735.7</v>
      </c>
      <c r="E7731" s="59"/>
    </row>
    <row r="7732" spans="3:5" x14ac:dyDescent="0.15">
      <c r="C7732" s="255" t="s">
        <v>795</v>
      </c>
      <c r="D7732" s="59">
        <v>231.3</v>
      </c>
      <c r="E7732" s="59"/>
    </row>
    <row r="7733" spans="3:5" x14ac:dyDescent="0.15">
      <c r="C7733" s="255" t="s">
        <v>796</v>
      </c>
      <c r="D7733" s="59">
        <v>536.70000000000005</v>
      </c>
      <c r="E7733" s="59"/>
    </row>
    <row r="7734" spans="3:5" x14ac:dyDescent="0.15">
      <c r="C7734" s="255" t="s">
        <v>797</v>
      </c>
      <c r="D7734" s="59">
        <v>479.4</v>
      </c>
      <c r="E7734" s="59"/>
    </row>
    <row r="7735" spans="3:5" x14ac:dyDescent="0.15">
      <c r="C7735" s="255" t="s">
        <v>798</v>
      </c>
      <c r="D7735" s="59">
        <v>363.2</v>
      </c>
      <c r="E7735" s="59"/>
    </row>
    <row r="7736" spans="3:5" x14ac:dyDescent="0.15">
      <c r="C7736" s="255" t="s">
        <v>799</v>
      </c>
      <c r="D7736" s="59">
        <v>157</v>
      </c>
      <c r="E7736" s="59"/>
    </row>
    <row r="7737" spans="3:5" x14ac:dyDescent="0.15">
      <c r="C7737" s="255" t="s">
        <v>800</v>
      </c>
      <c r="D7737" s="59">
        <v>123.1</v>
      </c>
      <c r="E7737" s="59"/>
    </row>
    <row r="7738" spans="3:5" x14ac:dyDescent="0.15">
      <c r="C7738" s="255" t="s">
        <v>801</v>
      </c>
      <c r="D7738" s="59">
        <v>260.10000000000002</v>
      </c>
      <c r="E7738" s="59"/>
    </row>
    <row r="7739" spans="3:5" x14ac:dyDescent="0.15">
      <c r="C7739" s="255" t="s">
        <v>802</v>
      </c>
      <c r="D7739" s="59">
        <v>1181.2</v>
      </c>
      <c r="E7739" s="59"/>
    </row>
    <row r="7740" spans="3:5" x14ac:dyDescent="0.15">
      <c r="C7740" s="255" t="s">
        <v>803</v>
      </c>
      <c r="D7740" s="59">
        <v>1851.5</v>
      </c>
      <c r="E7740" s="59"/>
    </row>
    <row r="7741" spans="3:5" x14ac:dyDescent="0.15">
      <c r="C7741" s="255" t="s">
        <v>804</v>
      </c>
      <c r="D7741" s="59">
        <v>1210.2</v>
      </c>
      <c r="E7741" s="59"/>
    </row>
    <row r="7742" spans="3:5" x14ac:dyDescent="0.15">
      <c r="C7742" s="255" t="s">
        <v>805</v>
      </c>
      <c r="D7742" s="59">
        <v>1.8</v>
      </c>
      <c r="E7742" s="59"/>
    </row>
    <row r="7743" spans="3:5" x14ac:dyDescent="0.15">
      <c r="C7743" s="255" t="s">
        <v>806</v>
      </c>
      <c r="D7743" s="59">
        <v>751.8</v>
      </c>
      <c r="E7743" s="59"/>
    </row>
    <row r="7744" spans="3:5" x14ac:dyDescent="0.15">
      <c r="C7744" s="255" t="s">
        <v>807</v>
      </c>
      <c r="D7744" s="59">
        <v>345.4</v>
      </c>
      <c r="E7744" s="59"/>
    </row>
    <row r="7745" spans="3:5" x14ac:dyDescent="0.15">
      <c r="C7745" s="255" t="s">
        <v>808</v>
      </c>
      <c r="D7745" s="59">
        <v>7.6</v>
      </c>
      <c r="E7745" s="59"/>
    </row>
    <row r="7746" spans="3:5" x14ac:dyDescent="0.15">
      <c r="C7746" s="255" t="s">
        <v>809</v>
      </c>
      <c r="D7746" s="59">
        <v>449.5</v>
      </c>
      <c r="E7746" s="59"/>
    </row>
    <row r="7747" spans="3:5" x14ac:dyDescent="0.15">
      <c r="C7747" s="255" t="s">
        <v>810</v>
      </c>
      <c r="D7747" s="59">
        <v>283.2</v>
      </c>
      <c r="E7747" s="59"/>
    </row>
    <row r="7748" spans="3:5" x14ac:dyDescent="0.15">
      <c r="C7748" s="255" t="s">
        <v>811</v>
      </c>
      <c r="D7748" s="59">
        <v>1228.2</v>
      </c>
      <c r="E7748" s="59"/>
    </row>
    <row r="7749" spans="3:5" x14ac:dyDescent="0.15">
      <c r="C7749" s="255" t="s">
        <v>812</v>
      </c>
      <c r="D7749" s="59">
        <v>129.80000000000001</v>
      </c>
      <c r="E7749" s="59"/>
    </row>
    <row r="7750" spans="3:5" x14ac:dyDescent="0.15">
      <c r="C7750" s="255" t="s">
        <v>813</v>
      </c>
      <c r="D7750" s="59">
        <v>51.1</v>
      </c>
      <c r="E7750" s="59"/>
    </row>
    <row r="7751" spans="3:5" x14ac:dyDescent="0.15">
      <c r="C7751" s="255" t="s">
        <v>814</v>
      </c>
      <c r="D7751" s="59">
        <v>241.7</v>
      </c>
      <c r="E7751" s="59"/>
    </row>
    <row r="7752" spans="3:5" x14ac:dyDescent="0.15">
      <c r="C7752" s="255" t="s">
        <v>815</v>
      </c>
      <c r="D7752" s="59">
        <v>1184.5</v>
      </c>
      <c r="E7752" s="59"/>
    </row>
    <row r="7753" spans="3:5" x14ac:dyDescent="0.15">
      <c r="C7753" s="255" t="s">
        <v>816</v>
      </c>
      <c r="D7753" s="59">
        <v>815.1</v>
      </c>
      <c r="E7753" s="59"/>
    </row>
    <row r="7754" spans="3:5" x14ac:dyDescent="0.15">
      <c r="C7754" s="255" t="s">
        <v>817</v>
      </c>
      <c r="D7754" s="59">
        <v>6830.5</v>
      </c>
      <c r="E7754" s="59"/>
    </row>
    <row r="7755" spans="3:5" x14ac:dyDescent="0.15">
      <c r="C7755" s="255" t="s">
        <v>818</v>
      </c>
      <c r="D7755" s="59">
        <v>840.4</v>
      </c>
      <c r="E7755" s="59"/>
    </row>
    <row r="7756" spans="3:5" x14ac:dyDescent="0.15">
      <c r="C7756" s="255" t="s">
        <v>819</v>
      </c>
      <c r="D7756" s="59">
        <v>2.2999999999999998</v>
      </c>
      <c r="E7756" s="59"/>
    </row>
    <row r="7757" spans="3:5" x14ac:dyDescent="0.15">
      <c r="C7757" s="255" t="s">
        <v>820</v>
      </c>
      <c r="D7757" s="59">
        <v>2965.6</v>
      </c>
      <c r="E7757" s="59"/>
    </row>
    <row r="7758" spans="3:5" x14ac:dyDescent="0.15">
      <c r="C7758" s="255" t="s">
        <v>821</v>
      </c>
      <c r="D7758" s="59">
        <v>32.799999999999997</v>
      </c>
      <c r="E7758" s="59"/>
    </row>
    <row r="7759" spans="3:5" x14ac:dyDescent="0.15">
      <c r="C7759" s="255" t="s">
        <v>822</v>
      </c>
      <c r="D7759" s="59">
        <v>292.3</v>
      </c>
      <c r="E7759" s="59"/>
    </row>
    <row r="7760" spans="3:5" x14ac:dyDescent="0.15">
      <c r="C7760" s="255" t="s">
        <v>823</v>
      </c>
      <c r="D7760" s="59">
        <v>2.5</v>
      </c>
      <c r="E7760" s="59"/>
    </row>
    <row r="7761" spans="3:5" x14ac:dyDescent="0.15">
      <c r="C7761" s="255" t="s">
        <v>824</v>
      </c>
      <c r="D7761" s="59">
        <v>547.1</v>
      </c>
      <c r="E7761" s="59"/>
    </row>
    <row r="7762" spans="3:5" x14ac:dyDescent="0.15">
      <c r="C7762" s="255" t="s">
        <v>825</v>
      </c>
      <c r="D7762" s="59">
        <v>391.4</v>
      </c>
      <c r="E7762" s="59"/>
    </row>
    <row r="7763" spans="3:5" x14ac:dyDescent="0.15">
      <c r="C7763" s="255" t="s">
        <v>826</v>
      </c>
      <c r="D7763" s="59">
        <v>32.299999999999997</v>
      </c>
      <c r="E7763" s="59"/>
    </row>
    <row r="7764" spans="3:5" x14ac:dyDescent="0.15">
      <c r="C7764" s="255" t="s">
        <v>827</v>
      </c>
      <c r="D7764" s="59">
        <v>2.2000000000000002</v>
      </c>
      <c r="E7764" s="59"/>
    </row>
    <row r="7765" spans="3:5" x14ac:dyDescent="0.15">
      <c r="C7765" s="255" t="s">
        <v>828</v>
      </c>
      <c r="D7765" s="59">
        <v>1330.7</v>
      </c>
      <c r="E7765" s="59"/>
    </row>
    <row r="7766" spans="3:5" x14ac:dyDescent="0.15">
      <c r="C7766" s="255" t="s">
        <v>829</v>
      </c>
      <c r="D7766" s="59">
        <v>3.8</v>
      </c>
      <c r="E7766" s="59"/>
    </row>
    <row r="7767" spans="3:5" x14ac:dyDescent="0.15">
      <c r="C7767" s="255" t="s">
        <v>830</v>
      </c>
      <c r="D7767" s="59">
        <v>387.1</v>
      </c>
      <c r="E7767" s="59"/>
    </row>
    <row r="7768" spans="3:5" x14ac:dyDescent="0.15">
      <c r="C7768" s="255" t="s">
        <v>831</v>
      </c>
      <c r="D7768" s="59">
        <v>0</v>
      </c>
      <c r="E7768" s="59"/>
    </row>
    <row r="7769" spans="3:5" x14ac:dyDescent="0.15">
      <c r="C7769" s="255" t="s">
        <v>832</v>
      </c>
      <c r="D7769" s="59">
        <v>11838.1</v>
      </c>
      <c r="E7769" s="59"/>
    </row>
    <row r="7770" spans="3:5" x14ac:dyDescent="0.15">
      <c r="C7770" s="255" t="s">
        <v>833</v>
      </c>
      <c r="D7770" s="59">
        <v>9.8000000000000007</v>
      </c>
      <c r="E7770" s="59"/>
    </row>
    <row r="7771" spans="3:5" x14ac:dyDescent="0.15">
      <c r="C7771" s="255" t="s">
        <v>834</v>
      </c>
      <c r="D7771" s="59">
        <v>3886.5</v>
      </c>
      <c r="E7771" s="59"/>
    </row>
    <row r="7772" spans="3:5" x14ac:dyDescent="0.15">
      <c r="C7772" s="255" t="s">
        <v>835</v>
      </c>
      <c r="D7772" s="59">
        <v>5084.3999999999996</v>
      </c>
      <c r="E7772" s="59"/>
    </row>
    <row r="7773" spans="3:5" x14ac:dyDescent="0.15">
      <c r="C7773" s="255" t="s">
        <v>836</v>
      </c>
      <c r="D7773" s="59">
        <v>574.4</v>
      </c>
      <c r="E7773" s="59"/>
    </row>
    <row r="7774" spans="3:5" x14ac:dyDescent="0.15">
      <c r="C7774" s="255" t="s">
        <v>837</v>
      </c>
      <c r="D7774" s="59">
        <v>286.10000000000002</v>
      </c>
      <c r="E7774" s="59"/>
    </row>
    <row r="7775" spans="3:5" x14ac:dyDescent="0.15">
      <c r="C7775" s="255" t="s">
        <v>838</v>
      </c>
      <c r="D7775" s="59">
        <v>75.099999999999994</v>
      </c>
      <c r="E7775" s="59"/>
    </row>
    <row r="7776" spans="3:5" x14ac:dyDescent="0.15">
      <c r="C7776" s="255" t="s">
        <v>839</v>
      </c>
      <c r="D7776" s="59">
        <v>175.5</v>
      </c>
      <c r="E7776" s="59"/>
    </row>
    <row r="7777" spans="3:5" x14ac:dyDescent="0.15">
      <c r="C7777" s="255" t="s">
        <v>840</v>
      </c>
      <c r="D7777" s="59">
        <v>0</v>
      </c>
      <c r="E7777" s="59"/>
    </row>
    <row r="7778" spans="3:5" x14ac:dyDescent="0.15">
      <c r="C7778" s="255" t="s">
        <v>841</v>
      </c>
      <c r="D7778" s="59">
        <v>304.39999999999998</v>
      </c>
      <c r="E7778" s="59"/>
    </row>
    <row r="7779" spans="3:5" x14ac:dyDescent="0.15">
      <c r="C7779" s="255" t="s">
        <v>842</v>
      </c>
      <c r="D7779" s="59">
        <v>1162.4000000000001</v>
      </c>
      <c r="E7779" s="59"/>
    </row>
    <row r="7780" spans="3:5" x14ac:dyDescent="0.15">
      <c r="C7780" s="255" t="s">
        <v>843</v>
      </c>
      <c r="D7780" s="59">
        <v>279.5</v>
      </c>
      <c r="E7780" s="59"/>
    </row>
    <row r="7781" spans="3:5" x14ac:dyDescent="0.15">
      <c r="C7781" s="255" t="s">
        <v>844</v>
      </c>
      <c r="D7781" s="59">
        <v>0</v>
      </c>
      <c r="E7781" s="59"/>
    </row>
    <row r="7782" spans="3:5" x14ac:dyDescent="0.15">
      <c r="C7782" s="255" t="s">
        <v>845</v>
      </c>
      <c r="D7782" s="59">
        <v>123095.1</v>
      </c>
      <c r="E7782" s="59"/>
    </row>
    <row r="7783" spans="3:5" x14ac:dyDescent="0.15">
      <c r="C7783" s="255" t="s">
        <v>846</v>
      </c>
      <c r="D7783" s="59">
        <v>768.7</v>
      </c>
      <c r="E7783" s="59"/>
    </row>
    <row r="7784" spans="3:5" x14ac:dyDescent="0.15">
      <c r="C7784" s="255" t="s">
        <v>847</v>
      </c>
      <c r="D7784" s="59">
        <v>53.1</v>
      </c>
      <c r="E7784" s="59"/>
    </row>
    <row r="7785" spans="3:5" x14ac:dyDescent="0.15">
      <c r="C7785" s="255" t="s">
        <v>848</v>
      </c>
      <c r="D7785" s="59">
        <v>68813.8</v>
      </c>
      <c r="E7785" s="59"/>
    </row>
    <row r="7786" spans="3:5" x14ac:dyDescent="0.15">
      <c r="C7786" s="255" t="s">
        <v>849</v>
      </c>
      <c r="D7786" s="59">
        <v>2357</v>
      </c>
      <c r="E7786" s="59"/>
    </row>
    <row r="7787" spans="3:5" x14ac:dyDescent="0.15">
      <c r="C7787" s="255" t="s">
        <v>850</v>
      </c>
      <c r="D7787" s="59">
        <v>1051.3</v>
      </c>
      <c r="E7787" s="59"/>
    </row>
    <row r="7788" spans="3:5" x14ac:dyDescent="0.15">
      <c r="C7788" s="255" t="s">
        <v>851</v>
      </c>
      <c r="D7788" s="59">
        <v>0</v>
      </c>
      <c r="E7788" s="59"/>
    </row>
    <row r="7789" spans="3:5" x14ac:dyDescent="0.15">
      <c r="C7789" s="255" t="s">
        <v>852</v>
      </c>
      <c r="D7789" s="59">
        <v>0</v>
      </c>
      <c r="E7789" s="59"/>
    </row>
    <row r="7790" spans="3:5" x14ac:dyDescent="0.15">
      <c r="C7790" s="255" t="s">
        <v>853</v>
      </c>
      <c r="D7790" s="59">
        <v>60.7</v>
      </c>
      <c r="E7790" s="59"/>
    </row>
    <row r="7791" spans="3:5" x14ac:dyDescent="0.15">
      <c r="C7791" s="255" t="s">
        <v>854</v>
      </c>
      <c r="D7791" s="59">
        <v>0</v>
      </c>
      <c r="E7791" s="59"/>
    </row>
    <row r="7792" spans="3:5" x14ac:dyDescent="0.15">
      <c r="C7792" s="255" t="s">
        <v>855</v>
      </c>
      <c r="D7792" s="59">
        <v>159.9</v>
      </c>
      <c r="E7792" s="59"/>
    </row>
    <row r="7793" spans="3:5" x14ac:dyDescent="0.15">
      <c r="C7793" s="255" t="s">
        <v>856</v>
      </c>
      <c r="D7793" s="59">
        <v>4280.1000000000004</v>
      </c>
      <c r="E7793" s="59"/>
    </row>
    <row r="7794" spans="3:5" x14ac:dyDescent="0.15">
      <c r="C7794" s="255" t="s">
        <v>857</v>
      </c>
      <c r="D7794" s="59">
        <v>2444.5</v>
      </c>
      <c r="E7794" s="59"/>
    </row>
    <row r="7795" spans="3:5" x14ac:dyDescent="0.15">
      <c r="C7795" s="255" t="s">
        <v>858</v>
      </c>
      <c r="D7795" s="59">
        <v>2548.1999999999998</v>
      </c>
      <c r="E7795" s="59"/>
    </row>
    <row r="7796" spans="3:5" x14ac:dyDescent="0.15">
      <c r="C7796" s="255" t="s">
        <v>859</v>
      </c>
      <c r="D7796" s="59">
        <v>3695</v>
      </c>
      <c r="E7796" s="59"/>
    </row>
    <row r="7797" spans="3:5" x14ac:dyDescent="0.15">
      <c r="C7797" s="255" t="s">
        <v>860</v>
      </c>
      <c r="D7797" s="59">
        <v>183</v>
      </c>
      <c r="E7797" s="59"/>
    </row>
    <row r="7798" spans="3:5" x14ac:dyDescent="0.15">
      <c r="C7798" s="255" t="s">
        <v>861</v>
      </c>
      <c r="D7798" s="59">
        <v>14646.3</v>
      </c>
      <c r="E7798" s="59"/>
    </row>
    <row r="7799" spans="3:5" x14ac:dyDescent="0.15">
      <c r="C7799" s="255" t="s">
        <v>862</v>
      </c>
      <c r="D7799" s="59">
        <v>5789.1</v>
      </c>
      <c r="E7799" s="59"/>
    </row>
    <row r="7800" spans="3:5" x14ac:dyDescent="0.15">
      <c r="C7800" s="255" t="s">
        <v>863</v>
      </c>
      <c r="D7800" s="59">
        <v>923.6</v>
      </c>
      <c r="E7800" s="59"/>
    </row>
    <row r="7801" spans="3:5" x14ac:dyDescent="0.15">
      <c r="C7801" s="255" t="s">
        <v>864</v>
      </c>
      <c r="D7801" s="59">
        <v>2.6</v>
      </c>
      <c r="E7801" s="59"/>
    </row>
    <row r="7802" spans="3:5" x14ac:dyDescent="0.15">
      <c r="C7802" s="255" t="s">
        <v>865</v>
      </c>
      <c r="D7802" s="59">
        <v>165.4</v>
      </c>
      <c r="E7802" s="59"/>
    </row>
    <row r="7803" spans="3:5" x14ac:dyDescent="0.15">
      <c r="C7803" s="255" t="s">
        <v>866</v>
      </c>
      <c r="D7803" s="59">
        <v>0</v>
      </c>
      <c r="E7803" s="59"/>
    </row>
    <row r="7804" spans="3:5" x14ac:dyDescent="0.15">
      <c r="C7804" s="255" t="s">
        <v>867</v>
      </c>
      <c r="D7804" s="59">
        <v>567.79999999999995</v>
      </c>
      <c r="E7804" s="59"/>
    </row>
    <row r="7805" spans="3:5" x14ac:dyDescent="0.15">
      <c r="C7805" s="255" t="s">
        <v>868</v>
      </c>
      <c r="D7805" s="59">
        <v>14585</v>
      </c>
      <c r="E7805" s="59"/>
    </row>
    <row r="7806" spans="3:5" x14ac:dyDescent="0.15">
      <c r="C7806" s="255" t="s">
        <v>869</v>
      </c>
      <c r="D7806" s="59">
        <v>16537.099999999999</v>
      </c>
      <c r="E7806" s="59"/>
    </row>
    <row r="7807" spans="3:5" x14ac:dyDescent="0.15">
      <c r="C7807" s="255" t="s">
        <v>870</v>
      </c>
      <c r="D7807" s="59">
        <v>3062.1</v>
      </c>
      <c r="E7807" s="59"/>
    </row>
    <row r="7808" spans="3:5" x14ac:dyDescent="0.15">
      <c r="C7808" s="255" t="s">
        <v>871</v>
      </c>
      <c r="D7808" s="59">
        <v>6.5</v>
      </c>
      <c r="E7808" s="59"/>
    </row>
    <row r="7809" spans="3:5" x14ac:dyDescent="0.15">
      <c r="C7809" s="255" t="s">
        <v>872</v>
      </c>
      <c r="D7809" s="59">
        <v>421.6</v>
      </c>
      <c r="E7809" s="59"/>
    </row>
    <row r="7810" spans="3:5" x14ac:dyDescent="0.15">
      <c r="C7810" s="255" t="s">
        <v>873</v>
      </c>
      <c r="D7810" s="59">
        <v>2124</v>
      </c>
      <c r="E7810" s="59"/>
    </row>
    <row r="7811" spans="3:5" x14ac:dyDescent="0.15">
      <c r="C7811" s="255" t="s">
        <v>874</v>
      </c>
      <c r="D7811" s="59">
        <v>204.3</v>
      </c>
      <c r="E7811" s="59"/>
    </row>
    <row r="7812" spans="3:5" x14ac:dyDescent="0.15">
      <c r="C7812" s="255" t="s">
        <v>875</v>
      </c>
      <c r="D7812" s="59">
        <v>0</v>
      </c>
      <c r="E7812" s="59"/>
    </row>
    <row r="7813" spans="3:5" x14ac:dyDescent="0.15">
      <c r="C7813" s="255" t="s">
        <v>876</v>
      </c>
      <c r="D7813" s="59">
        <v>0</v>
      </c>
      <c r="E7813" s="59"/>
    </row>
    <row r="7814" spans="3:5" x14ac:dyDescent="0.15">
      <c r="C7814" s="255" t="s">
        <v>877</v>
      </c>
      <c r="D7814" s="59">
        <v>0</v>
      </c>
      <c r="E7814" s="59"/>
    </row>
    <row r="7815" spans="3:5" x14ac:dyDescent="0.15">
      <c r="C7815" s="255" t="s">
        <v>878</v>
      </c>
      <c r="D7815" s="59">
        <v>12.6</v>
      </c>
      <c r="E7815" s="59"/>
    </row>
    <row r="7816" spans="3:5" x14ac:dyDescent="0.15">
      <c r="C7816" s="255" t="s">
        <v>879</v>
      </c>
      <c r="D7816" s="59">
        <v>554.70000000000005</v>
      </c>
      <c r="E7816" s="59"/>
    </row>
    <row r="7817" spans="3:5" x14ac:dyDescent="0.15">
      <c r="C7817" s="255" t="s">
        <v>880</v>
      </c>
      <c r="D7817" s="59">
        <v>13.6</v>
      </c>
      <c r="E7817" s="59"/>
    </row>
    <row r="7818" spans="3:5" x14ac:dyDescent="0.15">
      <c r="C7818" s="255" t="s">
        <v>881</v>
      </c>
      <c r="D7818" s="59">
        <v>0</v>
      </c>
      <c r="E7818" s="59"/>
    </row>
    <row r="7819" spans="3:5" x14ac:dyDescent="0.15">
      <c r="C7819" s="255" t="s">
        <v>882</v>
      </c>
      <c r="D7819" s="59">
        <v>229.1</v>
      </c>
      <c r="E7819" s="59"/>
    </row>
    <row r="7820" spans="3:5" x14ac:dyDescent="0.15">
      <c r="C7820" s="255" t="s">
        <v>883</v>
      </c>
      <c r="D7820" s="59">
        <v>532.79999999999995</v>
      </c>
      <c r="E7820" s="59"/>
    </row>
    <row r="7821" spans="3:5" x14ac:dyDescent="0.15">
      <c r="C7821" s="255" t="s">
        <v>884</v>
      </c>
      <c r="D7821" s="59">
        <v>946.1</v>
      </c>
      <c r="E7821" s="59"/>
    </row>
    <row r="7822" spans="3:5" x14ac:dyDescent="0.15">
      <c r="C7822" s="255" t="s">
        <v>885</v>
      </c>
      <c r="D7822" s="59">
        <v>462.3</v>
      </c>
      <c r="E7822" s="59"/>
    </row>
    <row r="7823" spans="3:5" x14ac:dyDescent="0.15">
      <c r="C7823" s="255" t="s">
        <v>886</v>
      </c>
      <c r="D7823" s="59">
        <v>793.6</v>
      </c>
      <c r="E7823" s="59"/>
    </row>
    <row r="7824" spans="3:5" x14ac:dyDescent="0.15">
      <c r="C7824" s="255" t="s">
        <v>887</v>
      </c>
      <c r="D7824" s="59">
        <v>0</v>
      </c>
      <c r="E7824" s="59"/>
    </row>
    <row r="7825" spans="3:5" x14ac:dyDescent="0.15">
      <c r="C7825" s="255" t="s">
        <v>888</v>
      </c>
      <c r="D7825" s="59">
        <v>0</v>
      </c>
      <c r="E7825" s="59"/>
    </row>
    <row r="7826" spans="3:5" x14ac:dyDescent="0.15">
      <c r="C7826" s="255" t="s">
        <v>889</v>
      </c>
      <c r="D7826" s="59">
        <v>222.2</v>
      </c>
      <c r="E7826" s="59"/>
    </row>
    <row r="7827" spans="3:5" x14ac:dyDescent="0.15">
      <c r="C7827" s="255" t="s">
        <v>890</v>
      </c>
      <c r="D7827" s="59">
        <v>321.2</v>
      </c>
      <c r="E7827" s="59"/>
    </row>
    <row r="7828" spans="3:5" x14ac:dyDescent="0.15">
      <c r="C7828" s="255" t="s">
        <v>891</v>
      </c>
      <c r="D7828" s="59">
        <v>0.9</v>
      </c>
      <c r="E7828" s="59"/>
    </row>
    <row r="7829" spans="3:5" x14ac:dyDescent="0.15">
      <c r="C7829" s="255" t="s">
        <v>892</v>
      </c>
      <c r="D7829" s="59">
        <v>0.3</v>
      </c>
      <c r="E7829" s="59"/>
    </row>
    <row r="7830" spans="3:5" x14ac:dyDescent="0.15">
      <c r="C7830" s="255" t="s">
        <v>893</v>
      </c>
      <c r="D7830" s="59">
        <v>19.3</v>
      </c>
      <c r="E7830" s="59"/>
    </row>
    <row r="7831" spans="3:5" x14ac:dyDescent="0.15">
      <c r="C7831" s="255" t="s">
        <v>894</v>
      </c>
      <c r="D7831" s="59">
        <v>0</v>
      </c>
      <c r="E7831" s="59"/>
    </row>
    <row r="7832" spans="3:5" x14ac:dyDescent="0.15">
      <c r="C7832" s="255" t="s">
        <v>895</v>
      </c>
      <c r="D7832" s="59">
        <v>435.2</v>
      </c>
      <c r="E7832" s="59"/>
    </row>
    <row r="7833" spans="3:5" x14ac:dyDescent="0.15">
      <c r="C7833" s="255" t="s">
        <v>896</v>
      </c>
      <c r="D7833" s="59">
        <v>235.2</v>
      </c>
      <c r="E7833" s="59"/>
    </row>
    <row r="7834" spans="3:5" x14ac:dyDescent="0.15">
      <c r="C7834" s="255" t="s">
        <v>897</v>
      </c>
      <c r="D7834" s="59">
        <v>1428.3</v>
      </c>
      <c r="E7834" s="59"/>
    </row>
    <row r="7835" spans="3:5" x14ac:dyDescent="0.15">
      <c r="C7835" s="255" t="s">
        <v>898</v>
      </c>
      <c r="D7835" s="59">
        <v>122.6</v>
      </c>
      <c r="E7835" s="59"/>
    </row>
    <row r="7836" spans="3:5" x14ac:dyDescent="0.15">
      <c r="C7836" s="255" t="s">
        <v>899</v>
      </c>
      <c r="D7836" s="59">
        <v>205.1</v>
      </c>
      <c r="E7836" s="59"/>
    </row>
    <row r="7837" spans="3:5" x14ac:dyDescent="0.15">
      <c r="C7837" s="255" t="s">
        <v>900</v>
      </c>
      <c r="D7837" s="59">
        <v>112.9</v>
      </c>
      <c r="E7837" s="59"/>
    </row>
    <row r="7838" spans="3:5" x14ac:dyDescent="0.15">
      <c r="C7838" s="255" t="s">
        <v>901</v>
      </c>
      <c r="D7838" s="59">
        <v>437.8</v>
      </c>
      <c r="E7838" s="59"/>
    </row>
    <row r="7839" spans="3:5" x14ac:dyDescent="0.15">
      <c r="C7839" s="255" t="s">
        <v>902</v>
      </c>
      <c r="D7839" s="59">
        <v>0</v>
      </c>
      <c r="E7839" s="59"/>
    </row>
    <row r="7840" spans="3:5" x14ac:dyDescent="0.15">
      <c r="C7840" s="255" t="s">
        <v>903</v>
      </c>
      <c r="D7840" s="59">
        <v>661.5</v>
      </c>
      <c r="E7840" s="59"/>
    </row>
    <row r="7841" spans="3:5" x14ac:dyDescent="0.15">
      <c r="C7841" s="255" t="s">
        <v>904</v>
      </c>
      <c r="D7841" s="59">
        <v>966.5</v>
      </c>
      <c r="E7841" s="59"/>
    </row>
    <row r="7842" spans="3:5" x14ac:dyDescent="0.15">
      <c r="C7842" s="255" t="s">
        <v>905</v>
      </c>
      <c r="D7842" s="59">
        <v>223.9</v>
      </c>
      <c r="E7842" s="59"/>
    </row>
    <row r="7843" spans="3:5" x14ac:dyDescent="0.15">
      <c r="C7843" s="255" t="s">
        <v>906</v>
      </c>
      <c r="D7843" s="59">
        <v>192.1</v>
      </c>
      <c r="E7843" s="59"/>
    </row>
    <row r="7844" spans="3:5" x14ac:dyDescent="0.15">
      <c r="C7844" s="255" t="s">
        <v>907</v>
      </c>
      <c r="D7844" s="59">
        <v>1588.8</v>
      </c>
      <c r="E7844" s="59"/>
    </row>
    <row r="7845" spans="3:5" x14ac:dyDescent="0.15">
      <c r="C7845" s="255" t="s">
        <v>908</v>
      </c>
      <c r="D7845" s="59">
        <v>9618.7000000000007</v>
      </c>
      <c r="E7845" s="59"/>
    </row>
    <row r="7846" spans="3:5" x14ac:dyDescent="0.15">
      <c r="C7846" s="255" t="s">
        <v>909</v>
      </c>
      <c r="D7846" s="59">
        <v>3536.4</v>
      </c>
      <c r="E7846" s="59"/>
    </row>
    <row r="7847" spans="3:5" x14ac:dyDescent="0.15">
      <c r="C7847" s="255" t="s">
        <v>910</v>
      </c>
      <c r="D7847" s="59">
        <v>2.8</v>
      </c>
      <c r="E7847" s="59"/>
    </row>
    <row r="7848" spans="3:5" x14ac:dyDescent="0.15">
      <c r="C7848" s="255" t="s">
        <v>911</v>
      </c>
      <c r="D7848" s="59">
        <v>124.4</v>
      </c>
      <c r="E7848" s="59"/>
    </row>
    <row r="7849" spans="3:5" x14ac:dyDescent="0.15">
      <c r="C7849" s="255" t="s">
        <v>912</v>
      </c>
      <c r="D7849" s="59">
        <v>119.3</v>
      </c>
      <c r="E7849" s="59"/>
    </row>
    <row r="7850" spans="3:5" x14ac:dyDescent="0.15">
      <c r="C7850" s="255" t="s">
        <v>913</v>
      </c>
      <c r="D7850" s="59">
        <v>0</v>
      </c>
      <c r="E7850" s="59"/>
    </row>
    <row r="7851" spans="3:5" x14ac:dyDescent="0.15">
      <c r="C7851" s="255" t="s">
        <v>914</v>
      </c>
      <c r="D7851" s="59">
        <v>0</v>
      </c>
      <c r="E7851" s="59"/>
    </row>
    <row r="7852" spans="3:5" x14ac:dyDescent="0.15">
      <c r="C7852" s="255" t="s">
        <v>915</v>
      </c>
      <c r="D7852" s="59">
        <v>191.9</v>
      </c>
      <c r="E7852" s="59"/>
    </row>
    <row r="7853" spans="3:5" x14ac:dyDescent="0.15">
      <c r="C7853" s="255" t="s">
        <v>916</v>
      </c>
      <c r="D7853" s="59">
        <v>36.5</v>
      </c>
      <c r="E7853" s="59"/>
    </row>
    <row r="7854" spans="3:5" x14ac:dyDescent="0.15">
      <c r="C7854" s="255" t="s">
        <v>917</v>
      </c>
      <c r="D7854" s="59">
        <v>10.1</v>
      </c>
      <c r="E7854" s="59"/>
    </row>
    <row r="7855" spans="3:5" x14ac:dyDescent="0.15">
      <c r="C7855" s="255" t="s">
        <v>918</v>
      </c>
      <c r="D7855" s="59">
        <v>3452</v>
      </c>
      <c r="E7855" s="59"/>
    </row>
    <row r="7856" spans="3:5" x14ac:dyDescent="0.15">
      <c r="C7856" s="255" t="s">
        <v>919</v>
      </c>
      <c r="D7856" s="59">
        <v>0</v>
      </c>
      <c r="E7856" s="59"/>
    </row>
    <row r="7857" spans="3:5" x14ac:dyDescent="0.15">
      <c r="C7857" s="255" t="s">
        <v>920</v>
      </c>
      <c r="D7857" s="59">
        <v>2145.3000000000002</v>
      </c>
      <c r="E7857" s="59"/>
    </row>
    <row r="7858" spans="3:5" x14ac:dyDescent="0.15">
      <c r="C7858" s="255" t="s">
        <v>921</v>
      </c>
      <c r="D7858" s="59">
        <v>0</v>
      </c>
      <c r="E7858" s="59"/>
    </row>
    <row r="7859" spans="3:5" x14ac:dyDescent="0.15">
      <c r="C7859" s="255" t="s">
        <v>922</v>
      </c>
      <c r="D7859" s="59">
        <v>49739.1</v>
      </c>
      <c r="E7859" s="59"/>
    </row>
    <row r="7860" spans="3:5" x14ac:dyDescent="0.15">
      <c r="C7860" s="255" t="s">
        <v>923</v>
      </c>
      <c r="D7860" s="59">
        <v>7798.3</v>
      </c>
      <c r="E7860" s="59"/>
    </row>
    <row r="7861" spans="3:5" x14ac:dyDescent="0.15">
      <c r="C7861" s="255" t="s">
        <v>924</v>
      </c>
      <c r="D7861" s="59">
        <v>13986.7</v>
      </c>
      <c r="E7861" s="59"/>
    </row>
    <row r="7862" spans="3:5" x14ac:dyDescent="0.15">
      <c r="C7862" s="255" t="s">
        <v>925</v>
      </c>
      <c r="D7862" s="59">
        <v>292.5</v>
      </c>
      <c r="E7862" s="59"/>
    </row>
    <row r="7863" spans="3:5" x14ac:dyDescent="0.15">
      <c r="C7863" s="255" t="s">
        <v>926</v>
      </c>
      <c r="D7863" s="59">
        <v>1032.8</v>
      </c>
      <c r="E7863" s="59"/>
    </row>
    <row r="7864" spans="3:5" x14ac:dyDescent="0.15">
      <c r="C7864" s="255" t="s">
        <v>927</v>
      </c>
      <c r="D7864" s="59">
        <v>276</v>
      </c>
      <c r="E7864" s="59"/>
    </row>
    <row r="7865" spans="3:5" x14ac:dyDescent="0.15">
      <c r="C7865" s="255" t="s">
        <v>928</v>
      </c>
      <c r="D7865" s="59">
        <v>763.9</v>
      </c>
      <c r="E7865" s="59"/>
    </row>
    <row r="7866" spans="3:5" x14ac:dyDescent="0.15">
      <c r="C7866" s="255" t="s">
        <v>929</v>
      </c>
      <c r="D7866" s="59">
        <v>0</v>
      </c>
      <c r="E7866" s="59"/>
    </row>
    <row r="7867" spans="3:5" x14ac:dyDescent="0.15">
      <c r="C7867" s="255" t="s">
        <v>930</v>
      </c>
      <c r="D7867" s="59">
        <v>1277.5</v>
      </c>
      <c r="E7867" s="59"/>
    </row>
    <row r="7868" spans="3:5" x14ac:dyDescent="0.15">
      <c r="C7868" s="255" t="s">
        <v>931</v>
      </c>
      <c r="D7868" s="59">
        <v>4026.7</v>
      </c>
      <c r="E7868" s="59"/>
    </row>
    <row r="7869" spans="3:5" x14ac:dyDescent="0.15">
      <c r="C7869" s="255" t="s">
        <v>932</v>
      </c>
      <c r="D7869" s="59">
        <v>0</v>
      </c>
      <c r="E7869" s="59"/>
    </row>
    <row r="7870" spans="3:5" x14ac:dyDescent="0.15">
      <c r="C7870" s="255" t="s">
        <v>933</v>
      </c>
      <c r="D7870" s="59">
        <v>0</v>
      </c>
      <c r="E7870" s="59"/>
    </row>
    <row r="7871" spans="3:5" x14ac:dyDescent="0.15">
      <c r="C7871" s="255" t="s">
        <v>934</v>
      </c>
      <c r="D7871" s="59">
        <v>4535.3999999999996</v>
      </c>
      <c r="E7871" s="59"/>
    </row>
    <row r="7872" spans="3:5" x14ac:dyDescent="0.15">
      <c r="C7872" s="255" t="s">
        <v>935</v>
      </c>
      <c r="D7872" s="59">
        <v>4063</v>
      </c>
      <c r="E7872" s="59"/>
    </row>
    <row r="7873" spans="3:5" x14ac:dyDescent="0.15">
      <c r="C7873" s="255" t="s">
        <v>936</v>
      </c>
      <c r="D7873" s="59">
        <v>2244.1</v>
      </c>
      <c r="E7873" s="59"/>
    </row>
    <row r="7874" spans="3:5" x14ac:dyDescent="0.15">
      <c r="C7874" s="255" t="s">
        <v>937</v>
      </c>
      <c r="D7874" s="59">
        <v>802.9</v>
      </c>
      <c r="E7874" s="59"/>
    </row>
    <row r="7875" spans="3:5" x14ac:dyDescent="0.15">
      <c r="C7875" s="255" t="s">
        <v>938</v>
      </c>
      <c r="D7875" s="59">
        <v>486.6</v>
      </c>
      <c r="E7875" s="59"/>
    </row>
    <row r="7876" spans="3:5" x14ac:dyDescent="0.15">
      <c r="C7876" s="255" t="s">
        <v>939</v>
      </c>
      <c r="D7876" s="59">
        <v>0</v>
      </c>
      <c r="E7876" s="59"/>
    </row>
    <row r="7877" spans="3:5" x14ac:dyDescent="0.15">
      <c r="C7877" s="255" t="s">
        <v>940</v>
      </c>
      <c r="D7877" s="59">
        <v>506.7</v>
      </c>
      <c r="E7877" s="59"/>
    </row>
    <row r="7878" spans="3:5" x14ac:dyDescent="0.15">
      <c r="C7878" s="255" t="s">
        <v>941</v>
      </c>
      <c r="D7878" s="59">
        <v>418.3</v>
      </c>
      <c r="E7878" s="59"/>
    </row>
    <row r="7879" spans="3:5" x14ac:dyDescent="0.15">
      <c r="C7879" s="255" t="s">
        <v>942</v>
      </c>
      <c r="D7879" s="59">
        <v>0</v>
      </c>
      <c r="E7879" s="59"/>
    </row>
    <row r="7880" spans="3:5" x14ac:dyDescent="0.15">
      <c r="C7880" s="255" t="s">
        <v>943</v>
      </c>
      <c r="D7880" s="59">
        <v>2493.8000000000002</v>
      </c>
      <c r="E7880" s="59"/>
    </row>
    <row r="7881" spans="3:5" x14ac:dyDescent="0.15">
      <c r="C7881" s="255" t="s">
        <v>944</v>
      </c>
      <c r="D7881" s="59">
        <v>1100.7</v>
      </c>
      <c r="E7881" s="59"/>
    </row>
    <row r="7882" spans="3:5" x14ac:dyDescent="0.15">
      <c r="C7882" s="255" t="s">
        <v>945</v>
      </c>
      <c r="D7882" s="59">
        <v>3600.4</v>
      </c>
      <c r="E7882" s="59"/>
    </row>
    <row r="7883" spans="3:5" x14ac:dyDescent="0.15">
      <c r="C7883" s="255" t="s">
        <v>946</v>
      </c>
      <c r="D7883" s="59">
        <v>32.700000000000003</v>
      </c>
      <c r="E7883" s="59"/>
    </row>
    <row r="7884" spans="3:5" x14ac:dyDescent="0.15">
      <c r="C7884" s="255" t="s">
        <v>947</v>
      </c>
      <c r="D7884" s="59">
        <v>0</v>
      </c>
      <c r="E7884" s="59"/>
    </row>
    <row r="7885" spans="3:5" x14ac:dyDescent="0.15">
      <c r="C7885" s="255" t="s">
        <v>948</v>
      </c>
      <c r="D7885" s="59">
        <v>8538.4</v>
      </c>
      <c r="E7885" s="59"/>
    </row>
    <row r="7886" spans="3:5" x14ac:dyDescent="0.15">
      <c r="C7886" s="255" t="s">
        <v>949</v>
      </c>
      <c r="D7886" s="59">
        <v>207.7</v>
      </c>
      <c r="E7886" s="59"/>
    </row>
    <row r="7887" spans="3:5" x14ac:dyDescent="0.15">
      <c r="C7887" s="255" t="s">
        <v>950</v>
      </c>
      <c r="D7887" s="59">
        <v>0</v>
      </c>
      <c r="E7887" s="59"/>
    </row>
    <row r="7888" spans="3:5" x14ac:dyDescent="0.15">
      <c r="C7888" s="255" t="s">
        <v>951</v>
      </c>
      <c r="D7888" s="59">
        <v>1153.5999999999999</v>
      </c>
      <c r="E7888" s="59"/>
    </row>
    <row r="7889" spans="3:5" x14ac:dyDescent="0.15">
      <c r="C7889" s="255" t="s">
        <v>952</v>
      </c>
      <c r="D7889" s="59">
        <v>0</v>
      </c>
      <c r="E7889" s="59"/>
    </row>
    <row r="7890" spans="3:5" x14ac:dyDescent="0.15">
      <c r="C7890" s="255" t="s">
        <v>953</v>
      </c>
      <c r="D7890" s="59">
        <v>293.3</v>
      </c>
      <c r="E7890" s="59"/>
    </row>
    <row r="7891" spans="3:5" x14ac:dyDescent="0.15">
      <c r="C7891" s="255" t="s">
        <v>954</v>
      </c>
      <c r="D7891" s="59">
        <v>2396.5</v>
      </c>
      <c r="E7891" s="59"/>
    </row>
    <row r="7892" spans="3:5" x14ac:dyDescent="0.15">
      <c r="C7892" s="255" t="s">
        <v>955</v>
      </c>
      <c r="D7892" s="59">
        <v>1791.6</v>
      </c>
      <c r="E7892" s="59"/>
    </row>
    <row r="7893" spans="3:5" x14ac:dyDescent="0.15">
      <c r="C7893" s="255" t="s">
        <v>956</v>
      </c>
      <c r="D7893" s="59">
        <v>2695.7</v>
      </c>
      <c r="E7893" s="59"/>
    </row>
    <row r="7894" spans="3:5" x14ac:dyDescent="0.15">
      <c r="C7894" s="255" t="s">
        <v>957</v>
      </c>
      <c r="D7894" s="59">
        <v>35205.199999999997</v>
      </c>
      <c r="E7894" s="59"/>
    </row>
    <row r="7895" spans="3:5" x14ac:dyDescent="0.15">
      <c r="C7895" s="255" t="s">
        <v>958</v>
      </c>
      <c r="D7895" s="59">
        <v>0</v>
      </c>
      <c r="E7895" s="59"/>
    </row>
    <row r="7896" spans="3:5" x14ac:dyDescent="0.15">
      <c r="C7896" s="255" t="s">
        <v>959</v>
      </c>
      <c r="D7896" s="59">
        <v>360</v>
      </c>
      <c r="E7896" s="59"/>
    </row>
    <row r="7897" spans="3:5" x14ac:dyDescent="0.15">
      <c r="C7897" s="255" t="s">
        <v>960</v>
      </c>
      <c r="D7897" s="59">
        <v>0</v>
      </c>
      <c r="E7897" s="59"/>
    </row>
    <row r="7898" spans="3:5" x14ac:dyDescent="0.15">
      <c r="C7898" s="255" t="s">
        <v>961</v>
      </c>
      <c r="D7898" s="59">
        <v>0</v>
      </c>
      <c r="E7898" s="59"/>
    </row>
    <row r="7899" spans="3:5" x14ac:dyDescent="0.15">
      <c r="C7899" s="255" t="s">
        <v>962</v>
      </c>
      <c r="D7899" s="59">
        <v>45.2</v>
      </c>
      <c r="E7899" s="59"/>
    </row>
    <row r="7900" spans="3:5" x14ac:dyDescent="0.15">
      <c r="C7900" s="255" t="s">
        <v>963</v>
      </c>
      <c r="D7900" s="59">
        <v>1282.5999999999999</v>
      </c>
      <c r="E7900" s="59"/>
    </row>
    <row r="7901" spans="3:5" x14ac:dyDescent="0.15">
      <c r="C7901" s="255" t="s">
        <v>964</v>
      </c>
      <c r="D7901" s="59">
        <v>229.9</v>
      </c>
      <c r="E7901" s="59"/>
    </row>
    <row r="7902" spans="3:5" x14ac:dyDescent="0.15">
      <c r="C7902" s="255" t="s">
        <v>965</v>
      </c>
      <c r="D7902" s="59">
        <v>2.5</v>
      </c>
      <c r="E7902" s="59"/>
    </row>
    <row r="7903" spans="3:5" x14ac:dyDescent="0.15">
      <c r="C7903" s="255" t="s">
        <v>966</v>
      </c>
      <c r="D7903" s="59">
        <v>0</v>
      </c>
      <c r="E7903" s="59"/>
    </row>
    <row r="7904" spans="3:5" x14ac:dyDescent="0.15">
      <c r="C7904" s="255" t="s">
        <v>967</v>
      </c>
      <c r="D7904" s="59">
        <v>568.29999999999995</v>
      </c>
      <c r="E7904" s="59"/>
    </row>
    <row r="7905" spans="3:5" x14ac:dyDescent="0.15">
      <c r="C7905" s="255" t="s">
        <v>968</v>
      </c>
      <c r="D7905" s="59">
        <v>0</v>
      </c>
      <c r="E7905" s="59"/>
    </row>
    <row r="7906" spans="3:5" x14ac:dyDescent="0.15">
      <c r="C7906" s="255" t="s">
        <v>969</v>
      </c>
      <c r="D7906" s="59">
        <v>9.6</v>
      </c>
      <c r="E7906" s="59"/>
    </row>
    <row r="7907" spans="3:5" x14ac:dyDescent="0.15">
      <c r="C7907" s="255" t="s">
        <v>970</v>
      </c>
      <c r="D7907" s="59">
        <v>610.4</v>
      </c>
      <c r="E7907" s="59"/>
    </row>
    <row r="7908" spans="3:5" x14ac:dyDescent="0.15">
      <c r="C7908" s="255" t="s">
        <v>971</v>
      </c>
      <c r="D7908" s="59">
        <v>4.7</v>
      </c>
      <c r="E7908" s="59"/>
    </row>
    <row r="7909" spans="3:5" x14ac:dyDescent="0.15">
      <c r="C7909" s="255" t="s">
        <v>972</v>
      </c>
      <c r="D7909" s="59">
        <v>73</v>
      </c>
      <c r="E7909" s="59"/>
    </row>
    <row r="7910" spans="3:5" x14ac:dyDescent="0.15">
      <c r="C7910" s="255" t="s">
        <v>973</v>
      </c>
      <c r="D7910" s="59">
        <v>0</v>
      </c>
      <c r="E7910" s="59"/>
    </row>
    <row r="7911" spans="3:5" x14ac:dyDescent="0.15">
      <c r="C7911" s="255" t="s">
        <v>974</v>
      </c>
      <c r="D7911" s="59">
        <v>0</v>
      </c>
      <c r="E7911" s="59"/>
    </row>
    <row r="7912" spans="3:5" x14ac:dyDescent="0.15">
      <c r="C7912" s="255" t="s">
        <v>975</v>
      </c>
      <c r="D7912" s="59">
        <v>3125.9</v>
      </c>
      <c r="E7912" s="59"/>
    </row>
    <row r="7913" spans="3:5" x14ac:dyDescent="0.15">
      <c r="C7913" s="255" t="s">
        <v>976</v>
      </c>
      <c r="D7913" s="59">
        <v>0</v>
      </c>
      <c r="E7913" s="59"/>
    </row>
    <row r="7914" spans="3:5" x14ac:dyDescent="0.15">
      <c r="C7914" s="255" t="s">
        <v>977</v>
      </c>
      <c r="D7914" s="59">
        <v>309.2</v>
      </c>
      <c r="E7914" s="59"/>
    </row>
    <row r="7915" spans="3:5" x14ac:dyDescent="0.15">
      <c r="C7915" s="255" t="s">
        <v>978</v>
      </c>
      <c r="D7915" s="59">
        <v>1058.5999999999999</v>
      </c>
      <c r="E7915" s="59"/>
    </row>
    <row r="7916" spans="3:5" x14ac:dyDescent="0.15">
      <c r="C7916" s="255" t="s">
        <v>979</v>
      </c>
      <c r="D7916" s="59">
        <v>86.6</v>
      </c>
      <c r="E7916" s="59"/>
    </row>
    <row r="7917" spans="3:5" x14ac:dyDescent="0.15">
      <c r="C7917" s="255" t="s">
        <v>980</v>
      </c>
      <c r="D7917" s="59">
        <v>470.7</v>
      </c>
      <c r="E7917" s="59"/>
    </row>
    <row r="7918" spans="3:5" x14ac:dyDescent="0.15">
      <c r="C7918" s="255" t="s">
        <v>981</v>
      </c>
      <c r="D7918" s="59">
        <v>0</v>
      </c>
      <c r="E7918" s="59"/>
    </row>
    <row r="7919" spans="3:5" x14ac:dyDescent="0.15">
      <c r="C7919" s="255" t="s">
        <v>982</v>
      </c>
      <c r="D7919" s="59">
        <v>190.2</v>
      </c>
      <c r="E7919" s="59"/>
    </row>
    <row r="7920" spans="3:5" x14ac:dyDescent="0.15">
      <c r="C7920" s="255" t="s">
        <v>983</v>
      </c>
      <c r="D7920" s="59">
        <v>2063.8000000000002</v>
      </c>
      <c r="E7920" s="59"/>
    </row>
    <row r="7921" spans="3:5" x14ac:dyDescent="0.15">
      <c r="C7921" s="255" t="s">
        <v>984</v>
      </c>
      <c r="D7921" s="59">
        <v>197.1</v>
      </c>
      <c r="E7921" s="59"/>
    </row>
    <row r="7922" spans="3:5" x14ac:dyDescent="0.15">
      <c r="C7922" s="255" t="s">
        <v>985</v>
      </c>
      <c r="D7922" s="59">
        <v>566.5</v>
      </c>
      <c r="E7922" s="59"/>
    </row>
    <row r="7923" spans="3:5" x14ac:dyDescent="0.15">
      <c r="C7923" s="255" t="s">
        <v>986</v>
      </c>
      <c r="D7923" s="59">
        <v>216.3</v>
      </c>
      <c r="E7923" s="59"/>
    </row>
    <row r="7924" spans="3:5" x14ac:dyDescent="0.15">
      <c r="C7924" s="255" t="s">
        <v>987</v>
      </c>
      <c r="D7924" s="59">
        <v>83.4</v>
      </c>
      <c r="E7924" s="59"/>
    </row>
    <row r="7925" spans="3:5" x14ac:dyDescent="0.15">
      <c r="C7925" s="255" t="s">
        <v>988</v>
      </c>
      <c r="D7925" s="59">
        <v>1900</v>
      </c>
      <c r="E7925" s="59"/>
    </row>
    <row r="7926" spans="3:5" x14ac:dyDescent="0.15">
      <c r="C7926" s="255" t="s">
        <v>989</v>
      </c>
      <c r="D7926" s="59">
        <v>2064.5</v>
      </c>
      <c r="E7926" s="59"/>
    </row>
    <row r="7927" spans="3:5" x14ac:dyDescent="0.15">
      <c r="C7927" s="255" t="s">
        <v>990</v>
      </c>
      <c r="D7927" s="59">
        <v>1121.5999999999999</v>
      </c>
      <c r="E7927" s="59"/>
    </row>
    <row r="7928" spans="3:5" x14ac:dyDescent="0.15">
      <c r="C7928" s="255" t="s">
        <v>991</v>
      </c>
      <c r="D7928" s="59">
        <v>7183.8</v>
      </c>
      <c r="E7928" s="59"/>
    </row>
    <row r="7929" spans="3:5" x14ac:dyDescent="0.15">
      <c r="C7929" s="255" t="s">
        <v>992</v>
      </c>
      <c r="D7929" s="59">
        <v>40.4</v>
      </c>
      <c r="E7929" s="59"/>
    </row>
    <row r="7930" spans="3:5" x14ac:dyDescent="0.15">
      <c r="C7930" s="255" t="s">
        <v>993</v>
      </c>
      <c r="D7930" s="59">
        <v>370.8</v>
      </c>
      <c r="E7930" s="59"/>
    </row>
    <row r="7931" spans="3:5" x14ac:dyDescent="0.15">
      <c r="C7931" s="255" t="s">
        <v>994</v>
      </c>
      <c r="D7931" s="59">
        <v>0</v>
      </c>
      <c r="E7931" s="59"/>
    </row>
    <row r="7932" spans="3:5" x14ac:dyDescent="0.15">
      <c r="C7932" s="255" t="s">
        <v>995</v>
      </c>
      <c r="D7932" s="59">
        <v>629.70000000000005</v>
      </c>
      <c r="E7932" s="59"/>
    </row>
    <row r="7933" spans="3:5" x14ac:dyDescent="0.15">
      <c r="C7933" s="255" t="s">
        <v>996</v>
      </c>
      <c r="D7933" s="59">
        <v>582.20000000000005</v>
      </c>
      <c r="E7933" s="59"/>
    </row>
    <row r="7934" spans="3:5" x14ac:dyDescent="0.15">
      <c r="C7934" s="255" t="s">
        <v>997</v>
      </c>
      <c r="D7934" s="59">
        <v>305</v>
      </c>
      <c r="E7934" s="59"/>
    </row>
    <row r="7935" spans="3:5" x14ac:dyDescent="0.15">
      <c r="C7935" s="255" t="s">
        <v>998</v>
      </c>
      <c r="D7935" s="59">
        <v>66.099999999999994</v>
      </c>
      <c r="E7935" s="59"/>
    </row>
    <row r="7936" spans="3:5" x14ac:dyDescent="0.15">
      <c r="C7936" s="255" t="s">
        <v>999</v>
      </c>
      <c r="D7936" s="59">
        <v>0</v>
      </c>
      <c r="E7936" s="59"/>
    </row>
    <row r="7937" spans="3:5" x14ac:dyDescent="0.15">
      <c r="C7937" s="255" t="s">
        <v>1000</v>
      </c>
      <c r="D7937" s="59">
        <v>1255.4000000000001</v>
      </c>
      <c r="E7937" s="59"/>
    </row>
    <row r="7938" spans="3:5" x14ac:dyDescent="0.15">
      <c r="C7938" s="255" t="s">
        <v>1001</v>
      </c>
      <c r="D7938" s="59">
        <v>366.4</v>
      </c>
      <c r="E7938" s="59"/>
    </row>
    <row r="7939" spans="3:5" x14ac:dyDescent="0.15">
      <c r="C7939" s="255" t="s">
        <v>1002</v>
      </c>
      <c r="D7939" s="59">
        <v>342.3</v>
      </c>
      <c r="E7939" s="59"/>
    </row>
    <row r="7940" spans="3:5" x14ac:dyDescent="0.15">
      <c r="C7940" s="255" t="s">
        <v>1003</v>
      </c>
      <c r="D7940" s="59">
        <v>200.9</v>
      </c>
      <c r="E7940" s="59"/>
    </row>
    <row r="7941" spans="3:5" x14ac:dyDescent="0.15">
      <c r="C7941" s="255" t="s">
        <v>1004</v>
      </c>
      <c r="D7941" s="59">
        <v>119.4</v>
      </c>
      <c r="E7941" s="59"/>
    </row>
    <row r="7942" spans="3:5" x14ac:dyDescent="0.15">
      <c r="C7942" s="255" t="s">
        <v>1005</v>
      </c>
      <c r="D7942" s="59">
        <v>67.3</v>
      </c>
      <c r="E7942" s="59"/>
    </row>
    <row r="7943" spans="3:5" x14ac:dyDescent="0.15">
      <c r="C7943" s="255" t="s">
        <v>1006</v>
      </c>
      <c r="D7943" s="59">
        <v>7034.8</v>
      </c>
      <c r="E7943" s="59"/>
    </row>
    <row r="7944" spans="3:5" x14ac:dyDescent="0.15">
      <c r="C7944" s="255" t="s">
        <v>1007</v>
      </c>
      <c r="D7944" s="59">
        <v>767.1</v>
      </c>
      <c r="E7944" s="59"/>
    </row>
    <row r="7945" spans="3:5" x14ac:dyDescent="0.15">
      <c r="C7945" s="255" t="s">
        <v>1008</v>
      </c>
      <c r="D7945" s="59">
        <v>121.7</v>
      </c>
      <c r="E7945" s="59"/>
    </row>
    <row r="7946" spans="3:5" x14ac:dyDescent="0.15">
      <c r="C7946" s="255" t="s">
        <v>1009</v>
      </c>
      <c r="D7946" s="59">
        <v>607.70000000000005</v>
      </c>
      <c r="E7946" s="59"/>
    </row>
    <row r="7947" spans="3:5" x14ac:dyDescent="0.15">
      <c r="C7947" s="255" t="s">
        <v>1010</v>
      </c>
      <c r="D7947" s="59">
        <v>0</v>
      </c>
      <c r="E7947" s="59"/>
    </row>
    <row r="7948" spans="3:5" x14ac:dyDescent="0.15">
      <c r="C7948" s="255" t="s">
        <v>1011</v>
      </c>
      <c r="D7948" s="59">
        <v>37.700000000000003</v>
      </c>
      <c r="E7948" s="59"/>
    </row>
    <row r="7949" spans="3:5" x14ac:dyDescent="0.15">
      <c r="C7949" s="255" t="s">
        <v>1012</v>
      </c>
      <c r="D7949" s="59">
        <v>29956.2</v>
      </c>
      <c r="E7949" s="59"/>
    </row>
    <row r="7950" spans="3:5" x14ac:dyDescent="0.15">
      <c r="C7950" s="255" t="s">
        <v>1013</v>
      </c>
      <c r="D7950" s="59">
        <v>20011.900000000001</v>
      </c>
      <c r="E7950" s="59"/>
    </row>
    <row r="7951" spans="3:5" x14ac:dyDescent="0.15">
      <c r="C7951" s="255" t="s">
        <v>1014</v>
      </c>
      <c r="D7951" s="59">
        <v>4127.8</v>
      </c>
      <c r="E7951" s="59"/>
    </row>
    <row r="7952" spans="3:5" x14ac:dyDescent="0.15">
      <c r="C7952" s="255" t="s">
        <v>1015</v>
      </c>
      <c r="D7952" s="59">
        <v>878.8</v>
      </c>
      <c r="E7952" s="59"/>
    </row>
    <row r="7953" spans="3:5" x14ac:dyDescent="0.15">
      <c r="C7953" s="255" t="s">
        <v>1016</v>
      </c>
      <c r="D7953" s="59">
        <v>3390.7</v>
      </c>
      <c r="E7953" s="59"/>
    </row>
    <row r="7954" spans="3:5" x14ac:dyDescent="0.15">
      <c r="C7954" s="255" t="s">
        <v>1017</v>
      </c>
      <c r="D7954" s="59">
        <v>1547</v>
      </c>
      <c r="E7954" s="59"/>
    </row>
    <row r="7955" spans="3:5" x14ac:dyDescent="0.15">
      <c r="C7955" s="255" t="s">
        <v>1018</v>
      </c>
      <c r="D7955" s="59">
        <v>0</v>
      </c>
      <c r="E7955" s="59"/>
    </row>
    <row r="7956" spans="3:5" x14ac:dyDescent="0.15">
      <c r="C7956" s="255" t="s">
        <v>1019</v>
      </c>
      <c r="D7956" s="59">
        <v>32402.5</v>
      </c>
      <c r="E7956" s="59"/>
    </row>
    <row r="7957" spans="3:5" x14ac:dyDescent="0.15">
      <c r="C7957" s="255" t="s">
        <v>1020</v>
      </c>
      <c r="D7957" s="59">
        <v>662.2</v>
      </c>
      <c r="E7957" s="59"/>
    </row>
    <row r="7958" spans="3:5" x14ac:dyDescent="0.15">
      <c r="C7958" s="255" t="s">
        <v>1021</v>
      </c>
      <c r="D7958" s="59">
        <v>2017.5</v>
      </c>
      <c r="E7958" s="59"/>
    </row>
    <row r="7959" spans="3:5" x14ac:dyDescent="0.15">
      <c r="C7959" s="255" t="s">
        <v>1022</v>
      </c>
      <c r="D7959" s="59">
        <v>446.6</v>
      </c>
      <c r="E7959" s="59"/>
    </row>
    <row r="7960" spans="3:5" x14ac:dyDescent="0.15">
      <c r="C7960" s="255" t="s">
        <v>1023</v>
      </c>
      <c r="D7960" s="59">
        <v>353.9</v>
      </c>
      <c r="E7960" s="59"/>
    </row>
    <row r="7961" spans="3:5" x14ac:dyDescent="0.15">
      <c r="C7961" s="255" t="s">
        <v>1024</v>
      </c>
      <c r="D7961" s="59">
        <v>18.8</v>
      </c>
      <c r="E7961" s="59"/>
    </row>
    <row r="7962" spans="3:5" x14ac:dyDescent="0.15">
      <c r="C7962" s="255" t="s">
        <v>1025</v>
      </c>
      <c r="D7962" s="59">
        <v>271</v>
      </c>
      <c r="E7962" s="59"/>
    </row>
    <row r="7963" spans="3:5" x14ac:dyDescent="0.15">
      <c r="C7963" s="255" t="s">
        <v>1026</v>
      </c>
      <c r="D7963" s="59">
        <v>2597.1999999999998</v>
      </c>
      <c r="E7963" s="59"/>
    </row>
    <row r="7964" spans="3:5" x14ac:dyDescent="0.15">
      <c r="C7964" s="255" t="s">
        <v>1027</v>
      </c>
      <c r="D7964" s="59">
        <v>0</v>
      </c>
      <c r="E7964" s="59"/>
    </row>
    <row r="7965" spans="3:5" x14ac:dyDescent="0.15">
      <c r="C7965" s="255" t="s">
        <v>1028</v>
      </c>
      <c r="D7965" s="59">
        <v>552.20000000000005</v>
      </c>
      <c r="E7965" s="59"/>
    </row>
    <row r="7966" spans="3:5" x14ac:dyDescent="0.15">
      <c r="C7966" s="255" t="s">
        <v>1029</v>
      </c>
      <c r="D7966" s="59">
        <v>825.7</v>
      </c>
      <c r="E7966" s="59"/>
    </row>
    <row r="7967" spans="3:5" x14ac:dyDescent="0.15">
      <c r="C7967" s="255" t="s">
        <v>1030</v>
      </c>
      <c r="D7967" s="59">
        <v>0</v>
      </c>
      <c r="E7967" s="59"/>
    </row>
    <row r="7968" spans="3:5" x14ac:dyDescent="0.15">
      <c r="C7968" s="255" t="s">
        <v>1031</v>
      </c>
      <c r="D7968" s="59">
        <v>542.29999999999995</v>
      </c>
      <c r="E7968" s="59"/>
    </row>
    <row r="7969" spans="3:5" x14ac:dyDescent="0.15">
      <c r="C7969" s="255" t="s">
        <v>1032</v>
      </c>
      <c r="D7969" s="59">
        <v>0.7</v>
      </c>
      <c r="E7969" s="59"/>
    </row>
    <row r="7970" spans="3:5" x14ac:dyDescent="0.15">
      <c r="C7970" s="255" t="s">
        <v>1033</v>
      </c>
      <c r="D7970" s="59">
        <v>0</v>
      </c>
      <c r="E7970" s="59"/>
    </row>
    <row r="7971" spans="3:5" x14ac:dyDescent="0.15">
      <c r="C7971" s="255" t="s">
        <v>1034</v>
      </c>
      <c r="D7971" s="59">
        <v>41.6</v>
      </c>
      <c r="E7971" s="59"/>
    </row>
    <row r="7972" spans="3:5" x14ac:dyDescent="0.15">
      <c r="C7972" s="255" t="s">
        <v>1035</v>
      </c>
      <c r="D7972" s="59">
        <v>2821.2</v>
      </c>
      <c r="E7972" s="59"/>
    </row>
    <row r="7973" spans="3:5" x14ac:dyDescent="0.15">
      <c r="C7973" s="255" t="s">
        <v>1036</v>
      </c>
      <c r="D7973" s="59">
        <v>0</v>
      </c>
      <c r="E7973" s="59"/>
    </row>
    <row r="7974" spans="3:5" x14ac:dyDescent="0.15">
      <c r="C7974" s="255" t="s">
        <v>1037</v>
      </c>
      <c r="D7974" s="59">
        <v>769.9</v>
      </c>
      <c r="E7974" s="59"/>
    </row>
    <row r="7975" spans="3:5" x14ac:dyDescent="0.15">
      <c r="C7975" s="255" t="s">
        <v>1038</v>
      </c>
      <c r="D7975" s="59">
        <v>7162.2</v>
      </c>
      <c r="E7975" s="59"/>
    </row>
    <row r="7976" spans="3:5" x14ac:dyDescent="0.15">
      <c r="C7976" s="255" t="s">
        <v>1039</v>
      </c>
      <c r="D7976" s="59">
        <v>1546.4</v>
      </c>
      <c r="E7976" s="59"/>
    </row>
    <row r="7977" spans="3:5" x14ac:dyDescent="0.15">
      <c r="C7977" s="255" t="s">
        <v>1040</v>
      </c>
      <c r="D7977" s="59">
        <v>3510.8</v>
      </c>
      <c r="E7977" s="59"/>
    </row>
    <row r="7978" spans="3:5" x14ac:dyDescent="0.15">
      <c r="C7978" s="255" t="s">
        <v>1041</v>
      </c>
      <c r="D7978" s="59">
        <v>417.8</v>
      </c>
      <c r="E7978" s="59"/>
    </row>
    <row r="7979" spans="3:5" x14ac:dyDescent="0.15">
      <c r="C7979" s="255" t="s">
        <v>1042</v>
      </c>
      <c r="D7979" s="59">
        <v>2699.4</v>
      </c>
      <c r="E7979" s="59"/>
    </row>
    <row r="7980" spans="3:5" x14ac:dyDescent="0.15">
      <c r="C7980" s="255" t="s">
        <v>1043</v>
      </c>
      <c r="D7980" s="59">
        <v>3990.1</v>
      </c>
      <c r="E7980" s="59"/>
    </row>
    <row r="7981" spans="3:5" x14ac:dyDescent="0.15">
      <c r="C7981" s="255" t="s">
        <v>1044</v>
      </c>
      <c r="D7981" s="59">
        <v>499.2</v>
      </c>
      <c r="E7981" s="59"/>
    </row>
    <row r="7982" spans="3:5" x14ac:dyDescent="0.15">
      <c r="C7982" s="255" t="s">
        <v>1045</v>
      </c>
      <c r="D7982" s="59">
        <v>67.900000000000006</v>
      </c>
      <c r="E7982" s="59"/>
    </row>
    <row r="7983" spans="3:5" x14ac:dyDescent="0.15">
      <c r="C7983" s="255" t="s">
        <v>1046</v>
      </c>
      <c r="D7983" s="59">
        <v>486.4</v>
      </c>
      <c r="E7983" s="59"/>
    </row>
    <row r="7984" spans="3:5" x14ac:dyDescent="0.15">
      <c r="C7984" s="255" t="s">
        <v>1047</v>
      </c>
      <c r="D7984" s="59">
        <v>101.4</v>
      </c>
      <c r="E7984" s="59"/>
    </row>
    <row r="7985" spans="2:5" x14ac:dyDescent="0.15">
      <c r="C7985" s="255" t="s">
        <v>1048</v>
      </c>
      <c r="D7985" s="59">
        <v>0</v>
      </c>
      <c r="E7985" s="59"/>
    </row>
    <row r="7986" spans="2:5" x14ac:dyDescent="0.15">
      <c r="B7986" s="255" t="s">
        <v>723</v>
      </c>
      <c r="C7986" s="255" t="s">
        <v>743</v>
      </c>
      <c r="D7986" s="59">
        <v>189</v>
      </c>
      <c r="E7986" s="59"/>
    </row>
    <row r="7987" spans="2:5" x14ac:dyDescent="0.15">
      <c r="C7987" s="255" t="s">
        <v>744</v>
      </c>
      <c r="D7987" s="59">
        <v>267.10000000000002</v>
      </c>
      <c r="E7987" s="59"/>
    </row>
    <row r="7988" spans="2:5" x14ac:dyDescent="0.15">
      <c r="C7988" s="255" t="s">
        <v>745</v>
      </c>
      <c r="D7988" s="59">
        <v>531.29999999999995</v>
      </c>
      <c r="E7988" s="59"/>
    </row>
    <row r="7989" spans="2:5" x14ac:dyDescent="0.15">
      <c r="C7989" s="255" t="s">
        <v>746</v>
      </c>
      <c r="D7989" s="59">
        <v>2</v>
      </c>
      <c r="E7989" s="59"/>
    </row>
    <row r="7990" spans="2:5" x14ac:dyDescent="0.15">
      <c r="C7990" s="255" t="s">
        <v>747</v>
      </c>
      <c r="D7990" s="59">
        <v>1.5</v>
      </c>
      <c r="E7990" s="59"/>
    </row>
    <row r="7991" spans="2:5" x14ac:dyDescent="0.15">
      <c r="C7991" s="255" t="s">
        <v>748</v>
      </c>
      <c r="D7991" s="59">
        <v>0.5</v>
      </c>
      <c r="E7991" s="59"/>
    </row>
    <row r="7992" spans="2:5" x14ac:dyDescent="0.15">
      <c r="C7992" s="255" t="s">
        <v>749</v>
      </c>
      <c r="D7992" s="59">
        <v>0</v>
      </c>
      <c r="E7992" s="59"/>
    </row>
    <row r="7993" spans="2:5" x14ac:dyDescent="0.15">
      <c r="C7993" s="255" t="s">
        <v>750</v>
      </c>
      <c r="D7993" s="59">
        <v>0.5</v>
      </c>
      <c r="E7993" s="59"/>
    </row>
    <row r="7994" spans="2:5" x14ac:dyDescent="0.15">
      <c r="C7994" s="255" t="s">
        <v>751</v>
      </c>
      <c r="D7994" s="59">
        <v>51.8</v>
      </c>
      <c r="E7994" s="59"/>
    </row>
    <row r="7995" spans="2:5" x14ac:dyDescent="0.15">
      <c r="C7995" s="255" t="s">
        <v>752</v>
      </c>
      <c r="D7995" s="59">
        <v>1.4</v>
      </c>
      <c r="E7995" s="59"/>
    </row>
    <row r="7996" spans="2:5" x14ac:dyDescent="0.15">
      <c r="C7996" s="255" t="s">
        <v>753</v>
      </c>
      <c r="D7996" s="59">
        <v>101.8</v>
      </c>
      <c r="E7996" s="59"/>
    </row>
    <row r="7997" spans="2:5" x14ac:dyDescent="0.15">
      <c r="C7997" s="255" t="s">
        <v>754</v>
      </c>
      <c r="D7997" s="59">
        <v>1958.6</v>
      </c>
      <c r="E7997" s="59"/>
    </row>
    <row r="7998" spans="2:5" x14ac:dyDescent="0.15">
      <c r="C7998" s="255" t="s">
        <v>192</v>
      </c>
      <c r="D7998" s="59">
        <v>254382.3</v>
      </c>
      <c r="E7998" s="59"/>
    </row>
    <row r="7999" spans="2:5" x14ac:dyDescent="0.15">
      <c r="C7999" s="255" t="s">
        <v>755</v>
      </c>
      <c r="D7999" s="59">
        <v>31706.400000000001</v>
      </c>
      <c r="E7999" s="59"/>
    </row>
    <row r="8000" spans="2:5" x14ac:dyDescent="0.15">
      <c r="C8000" s="255" t="s">
        <v>756</v>
      </c>
      <c r="D8000" s="59">
        <v>122.3</v>
      </c>
      <c r="E8000" s="59"/>
    </row>
    <row r="8001" spans="3:5" x14ac:dyDescent="0.15">
      <c r="C8001" s="255" t="s">
        <v>757</v>
      </c>
      <c r="D8001" s="59">
        <v>81.5</v>
      </c>
      <c r="E8001" s="59"/>
    </row>
    <row r="8002" spans="3:5" x14ac:dyDescent="0.15">
      <c r="C8002" s="255" t="s">
        <v>758</v>
      </c>
      <c r="D8002" s="59">
        <v>1958.5</v>
      </c>
      <c r="E8002" s="59"/>
    </row>
    <row r="8003" spans="3:5" x14ac:dyDescent="0.15">
      <c r="C8003" s="255" t="s">
        <v>759</v>
      </c>
      <c r="D8003" s="59">
        <v>1157.2</v>
      </c>
      <c r="E8003" s="59"/>
    </row>
    <row r="8004" spans="3:5" x14ac:dyDescent="0.15">
      <c r="C8004" s="255" t="s">
        <v>760</v>
      </c>
      <c r="D8004" s="59">
        <v>226.8</v>
      </c>
      <c r="E8004" s="59"/>
    </row>
    <row r="8005" spans="3:5" x14ac:dyDescent="0.15">
      <c r="C8005" s="255" t="s">
        <v>761</v>
      </c>
      <c r="D8005" s="59">
        <v>344</v>
      </c>
      <c r="E8005" s="59"/>
    </row>
    <row r="8006" spans="3:5" x14ac:dyDescent="0.15">
      <c r="C8006" s="255" t="s">
        <v>762</v>
      </c>
      <c r="D8006" s="59">
        <v>261</v>
      </c>
      <c r="E8006" s="59"/>
    </row>
    <row r="8007" spans="3:5" x14ac:dyDescent="0.15">
      <c r="C8007" s="255" t="s">
        <v>763</v>
      </c>
      <c r="D8007" s="59">
        <v>141.80000000000001</v>
      </c>
      <c r="E8007" s="59"/>
    </row>
    <row r="8008" spans="3:5" x14ac:dyDescent="0.15">
      <c r="C8008" s="255" t="s">
        <v>764</v>
      </c>
      <c r="D8008" s="59">
        <v>2127.1999999999998</v>
      </c>
      <c r="E8008" s="59"/>
    </row>
    <row r="8009" spans="3:5" x14ac:dyDescent="0.15">
      <c r="C8009" s="255" t="s">
        <v>765</v>
      </c>
      <c r="D8009" s="59">
        <v>1232.2</v>
      </c>
      <c r="E8009" s="59"/>
    </row>
    <row r="8010" spans="3:5" x14ac:dyDescent="0.15">
      <c r="C8010" s="255" t="s">
        <v>766</v>
      </c>
      <c r="D8010" s="59">
        <v>103.3</v>
      </c>
      <c r="E8010" s="59"/>
    </row>
    <row r="8011" spans="3:5" x14ac:dyDescent="0.15">
      <c r="C8011" s="255" t="s">
        <v>767</v>
      </c>
      <c r="D8011" s="59">
        <v>963</v>
      </c>
      <c r="E8011" s="59"/>
    </row>
    <row r="8012" spans="3:5" x14ac:dyDescent="0.15">
      <c r="C8012" s="255" t="s">
        <v>768</v>
      </c>
      <c r="D8012" s="59">
        <v>14.8</v>
      </c>
      <c r="E8012" s="59"/>
    </row>
    <row r="8013" spans="3:5" x14ac:dyDescent="0.15">
      <c r="C8013" s="255" t="s">
        <v>769</v>
      </c>
      <c r="D8013" s="59">
        <v>17.2</v>
      </c>
      <c r="E8013" s="59"/>
    </row>
    <row r="8014" spans="3:5" x14ac:dyDescent="0.15">
      <c r="C8014" s="255" t="s">
        <v>770</v>
      </c>
      <c r="D8014" s="59">
        <v>1364.3</v>
      </c>
      <c r="E8014" s="59"/>
    </row>
    <row r="8015" spans="3:5" x14ac:dyDescent="0.15">
      <c r="C8015" s="255" t="s">
        <v>771</v>
      </c>
      <c r="D8015" s="59">
        <v>1617.3</v>
      </c>
      <c r="E8015" s="59"/>
    </row>
    <row r="8016" spans="3:5" x14ac:dyDescent="0.15">
      <c r="C8016" s="255" t="s">
        <v>772</v>
      </c>
      <c r="D8016" s="59">
        <v>364.2</v>
      </c>
      <c r="E8016" s="59"/>
    </row>
    <row r="8017" spans="3:5" x14ac:dyDescent="0.15">
      <c r="C8017" s="255" t="s">
        <v>773</v>
      </c>
      <c r="D8017" s="59">
        <v>67.900000000000006</v>
      </c>
      <c r="E8017" s="59"/>
    </row>
    <row r="8018" spans="3:5" x14ac:dyDescent="0.15">
      <c r="C8018" s="255" t="s">
        <v>774</v>
      </c>
      <c r="D8018" s="59">
        <v>73.900000000000006</v>
      </c>
      <c r="E8018" s="59"/>
    </row>
    <row r="8019" spans="3:5" x14ac:dyDescent="0.15">
      <c r="C8019" s="255" t="s">
        <v>775</v>
      </c>
      <c r="D8019" s="59">
        <v>62.1</v>
      </c>
      <c r="E8019" s="59"/>
    </row>
    <row r="8020" spans="3:5" x14ac:dyDescent="0.15">
      <c r="C8020" s="255" t="s">
        <v>776</v>
      </c>
      <c r="D8020" s="59">
        <v>248.8</v>
      </c>
      <c r="E8020" s="59"/>
    </row>
    <row r="8021" spans="3:5" x14ac:dyDescent="0.15">
      <c r="C8021" s="255" t="s">
        <v>777</v>
      </c>
      <c r="D8021" s="59">
        <v>661.6</v>
      </c>
      <c r="E8021" s="59"/>
    </row>
    <row r="8022" spans="3:5" x14ac:dyDescent="0.15">
      <c r="C8022" s="255" t="s">
        <v>778</v>
      </c>
      <c r="D8022" s="59">
        <v>405.9</v>
      </c>
      <c r="E8022" s="59"/>
    </row>
    <row r="8023" spans="3:5" x14ac:dyDescent="0.15">
      <c r="C8023" s="255" t="s">
        <v>779</v>
      </c>
      <c r="D8023" s="59">
        <v>528.29999999999995</v>
      </c>
      <c r="E8023" s="59"/>
    </row>
    <row r="8024" spans="3:5" x14ac:dyDescent="0.15">
      <c r="C8024" s="255" t="s">
        <v>780</v>
      </c>
      <c r="D8024" s="59">
        <v>15.8</v>
      </c>
      <c r="E8024" s="59"/>
    </row>
    <row r="8025" spans="3:5" x14ac:dyDescent="0.15">
      <c r="C8025" s="255" t="s">
        <v>781</v>
      </c>
      <c r="D8025" s="59">
        <v>533.70000000000005</v>
      </c>
      <c r="E8025" s="59"/>
    </row>
    <row r="8026" spans="3:5" x14ac:dyDescent="0.15">
      <c r="C8026" s="255" t="s">
        <v>782</v>
      </c>
      <c r="D8026" s="59">
        <v>1527.9</v>
      </c>
      <c r="E8026" s="59"/>
    </row>
    <row r="8027" spans="3:5" x14ac:dyDescent="0.15">
      <c r="C8027" s="255" t="s">
        <v>783</v>
      </c>
      <c r="D8027" s="59">
        <v>640.70000000000005</v>
      </c>
      <c r="E8027" s="59"/>
    </row>
    <row r="8028" spans="3:5" x14ac:dyDescent="0.15">
      <c r="C8028" s="255" t="s">
        <v>784</v>
      </c>
      <c r="D8028" s="59">
        <v>497.6</v>
      </c>
      <c r="E8028" s="59"/>
    </row>
    <row r="8029" spans="3:5" x14ac:dyDescent="0.15">
      <c r="C8029" s="255" t="s">
        <v>785</v>
      </c>
      <c r="D8029" s="59">
        <v>578.29999999999995</v>
      </c>
      <c r="E8029" s="59"/>
    </row>
    <row r="8030" spans="3:5" x14ac:dyDescent="0.15">
      <c r="C8030" s="255" t="s">
        <v>786</v>
      </c>
      <c r="D8030" s="59">
        <v>154.1</v>
      </c>
      <c r="E8030" s="59"/>
    </row>
    <row r="8031" spans="3:5" x14ac:dyDescent="0.15">
      <c r="C8031" s="255" t="s">
        <v>787</v>
      </c>
      <c r="D8031" s="59">
        <v>92</v>
      </c>
      <c r="E8031" s="59"/>
    </row>
    <row r="8032" spans="3:5" x14ac:dyDescent="0.15">
      <c r="C8032" s="255" t="s">
        <v>788</v>
      </c>
      <c r="D8032" s="59">
        <v>113.2</v>
      </c>
      <c r="E8032" s="59"/>
    </row>
    <row r="8033" spans="3:5" x14ac:dyDescent="0.15">
      <c r="C8033" s="255" t="s">
        <v>789</v>
      </c>
      <c r="D8033" s="59">
        <v>10.9</v>
      </c>
      <c r="E8033" s="59"/>
    </row>
    <row r="8034" spans="3:5" x14ac:dyDescent="0.15">
      <c r="C8034" s="255" t="s">
        <v>790</v>
      </c>
      <c r="D8034" s="59">
        <v>1637.6</v>
      </c>
      <c r="E8034" s="59"/>
    </row>
    <row r="8035" spans="3:5" x14ac:dyDescent="0.15">
      <c r="C8035" s="255" t="s">
        <v>791</v>
      </c>
      <c r="D8035" s="59">
        <v>54.9</v>
      </c>
      <c r="E8035" s="59"/>
    </row>
    <row r="8036" spans="3:5" x14ac:dyDescent="0.15">
      <c r="C8036" s="255" t="s">
        <v>792</v>
      </c>
      <c r="D8036" s="59">
        <v>567.5</v>
      </c>
      <c r="E8036" s="59"/>
    </row>
    <row r="8037" spans="3:5" x14ac:dyDescent="0.15">
      <c r="C8037" s="255" t="s">
        <v>793</v>
      </c>
      <c r="D8037" s="59">
        <v>108.5</v>
      </c>
      <c r="E8037" s="59"/>
    </row>
    <row r="8038" spans="3:5" x14ac:dyDescent="0.15">
      <c r="C8038" s="255" t="s">
        <v>794</v>
      </c>
      <c r="D8038" s="59">
        <v>1839.7</v>
      </c>
      <c r="E8038" s="59"/>
    </row>
    <row r="8039" spans="3:5" x14ac:dyDescent="0.15">
      <c r="C8039" s="255" t="s">
        <v>795</v>
      </c>
      <c r="D8039" s="59">
        <v>228.1</v>
      </c>
      <c r="E8039" s="59"/>
    </row>
    <row r="8040" spans="3:5" x14ac:dyDescent="0.15">
      <c r="C8040" s="255" t="s">
        <v>796</v>
      </c>
      <c r="D8040" s="59">
        <v>451.4</v>
      </c>
      <c r="E8040" s="59"/>
    </row>
    <row r="8041" spans="3:5" x14ac:dyDescent="0.15">
      <c r="C8041" s="255" t="s">
        <v>797</v>
      </c>
      <c r="D8041" s="59">
        <v>647.4</v>
      </c>
      <c r="E8041" s="59"/>
    </row>
    <row r="8042" spans="3:5" x14ac:dyDescent="0.15">
      <c r="C8042" s="255" t="s">
        <v>798</v>
      </c>
      <c r="D8042" s="59">
        <v>312.60000000000002</v>
      </c>
      <c r="E8042" s="59"/>
    </row>
    <row r="8043" spans="3:5" x14ac:dyDescent="0.15">
      <c r="C8043" s="255" t="s">
        <v>799</v>
      </c>
      <c r="D8043" s="59">
        <v>87.2</v>
      </c>
      <c r="E8043" s="59"/>
    </row>
    <row r="8044" spans="3:5" x14ac:dyDescent="0.15">
      <c r="C8044" s="255" t="s">
        <v>800</v>
      </c>
      <c r="D8044" s="59">
        <v>99.5</v>
      </c>
      <c r="E8044" s="59"/>
    </row>
    <row r="8045" spans="3:5" x14ac:dyDescent="0.15">
      <c r="C8045" s="255" t="s">
        <v>801</v>
      </c>
      <c r="D8045" s="59">
        <v>215.5</v>
      </c>
      <c r="E8045" s="59"/>
    </row>
    <row r="8046" spans="3:5" x14ac:dyDescent="0.15">
      <c r="C8046" s="255" t="s">
        <v>802</v>
      </c>
      <c r="D8046" s="59">
        <v>871.2</v>
      </c>
      <c r="E8046" s="59"/>
    </row>
    <row r="8047" spans="3:5" x14ac:dyDescent="0.15">
      <c r="C8047" s="255" t="s">
        <v>803</v>
      </c>
      <c r="D8047" s="59">
        <v>1248.4000000000001</v>
      </c>
      <c r="E8047" s="59"/>
    </row>
    <row r="8048" spans="3:5" x14ac:dyDescent="0.15">
      <c r="C8048" s="255" t="s">
        <v>804</v>
      </c>
      <c r="D8048" s="59">
        <v>672.6</v>
      </c>
      <c r="E8048" s="59"/>
    </row>
    <row r="8049" spans="3:5" x14ac:dyDescent="0.15">
      <c r="C8049" s="255" t="s">
        <v>805</v>
      </c>
      <c r="D8049" s="59">
        <v>5.0999999999999996</v>
      </c>
      <c r="E8049" s="59"/>
    </row>
    <row r="8050" spans="3:5" x14ac:dyDescent="0.15">
      <c r="C8050" s="255" t="s">
        <v>806</v>
      </c>
      <c r="D8050" s="59">
        <v>695.3</v>
      </c>
      <c r="E8050" s="59"/>
    </row>
    <row r="8051" spans="3:5" x14ac:dyDescent="0.15">
      <c r="C8051" s="255" t="s">
        <v>807</v>
      </c>
      <c r="D8051" s="59">
        <v>315</v>
      </c>
      <c r="E8051" s="59"/>
    </row>
    <row r="8052" spans="3:5" x14ac:dyDescent="0.15">
      <c r="C8052" s="255" t="s">
        <v>808</v>
      </c>
      <c r="D8052" s="59">
        <v>24.4</v>
      </c>
      <c r="E8052" s="59"/>
    </row>
    <row r="8053" spans="3:5" x14ac:dyDescent="0.15">
      <c r="C8053" s="255" t="s">
        <v>809</v>
      </c>
      <c r="D8053" s="59">
        <v>419</v>
      </c>
      <c r="E8053" s="59"/>
    </row>
    <row r="8054" spans="3:5" x14ac:dyDescent="0.15">
      <c r="C8054" s="255" t="s">
        <v>810</v>
      </c>
      <c r="D8054" s="59">
        <v>149.80000000000001</v>
      </c>
      <c r="E8054" s="59"/>
    </row>
    <row r="8055" spans="3:5" x14ac:dyDescent="0.15">
      <c r="C8055" s="255" t="s">
        <v>811</v>
      </c>
      <c r="D8055" s="59">
        <v>840.3</v>
      </c>
      <c r="E8055" s="59"/>
    </row>
    <row r="8056" spans="3:5" x14ac:dyDescent="0.15">
      <c r="C8056" s="255" t="s">
        <v>812</v>
      </c>
      <c r="D8056" s="59">
        <v>85.7</v>
      </c>
      <c r="E8056" s="59"/>
    </row>
    <row r="8057" spans="3:5" x14ac:dyDescent="0.15">
      <c r="C8057" s="255" t="s">
        <v>813</v>
      </c>
      <c r="D8057" s="59">
        <v>29.9</v>
      </c>
      <c r="E8057" s="59"/>
    </row>
    <row r="8058" spans="3:5" x14ac:dyDescent="0.15">
      <c r="C8058" s="255" t="s">
        <v>814</v>
      </c>
      <c r="D8058" s="59">
        <v>159.80000000000001</v>
      </c>
      <c r="E8058" s="59"/>
    </row>
    <row r="8059" spans="3:5" x14ac:dyDescent="0.15">
      <c r="C8059" s="255" t="s">
        <v>815</v>
      </c>
      <c r="D8059" s="59">
        <v>1230.0999999999999</v>
      </c>
      <c r="E8059" s="59"/>
    </row>
    <row r="8060" spans="3:5" x14ac:dyDescent="0.15">
      <c r="C8060" s="255" t="s">
        <v>816</v>
      </c>
      <c r="D8060" s="59">
        <v>400.7</v>
      </c>
      <c r="E8060" s="59"/>
    </row>
    <row r="8061" spans="3:5" x14ac:dyDescent="0.15">
      <c r="C8061" s="255" t="s">
        <v>817</v>
      </c>
      <c r="D8061" s="59">
        <v>7825</v>
      </c>
      <c r="E8061" s="59"/>
    </row>
    <row r="8062" spans="3:5" x14ac:dyDescent="0.15">
      <c r="C8062" s="255" t="s">
        <v>818</v>
      </c>
      <c r="D8062" s="59">
        <v>554</v>
      </c>
      <c r="E8062" s="59"/>
    </row>
    <row r="8063" spans="3:5" x14ac:dyDescent="0.15">
      <c r="C8063" s="255" t="s">
        <v>819</v>
      </c>
      <c r="D8063" s="59">
        <v>34</v>
      </c>
      <c r="E8063" s="59"/>
    </row>
    <row r="8064" spans="3:5" x14ac:dyDescent="0.15">
      <c r="C8064" s="255" t="s">
        <v>820</v>
      </c>
      <c r="D8064" s="59">
        <v>1943.2</v>
      </c>
      <c r="E8064" s="59"/>
    </row>
    <row r="8065" spans="3:5" x14ac:dyDescent="0.15">
      <c r="C8065" s="255" t="s">
        <v>821</v>
      </c>
      <c r="D8065" s="59">
        <v>77.8</v>
      </c>
      <c r="E8065" s="59"/>
    </row>
    <row r="8066" spans="3:5" x14ac:dyDescent="0.15">
      <c r="C8066" s="255" t="s">
        <v>822</v>
      </c>
      <c r="D8066" s="59">
        <v>35.5</v>
      </c>
      <c r="E8066" s="59"/>
    </row>
    <row r="8067" spans="3:5" x14ac:dyDescent="0.15">
      <c r="C8067" s="255" t="s">
        <v>823</v>
      </c>
      <c r="D8067" s="59">
        <v>1.1000000000000001</v>
      </c>
      <c r="E8067" s="59"/>
    </row>
    <row r="8068" spans="3:5" x14ac:dyDescent="0.15">
      <c r="C8068" s="255" t="s">
        <v>824</v>
      </c>
      <c r="D8068" s="59">
        <v>654.1</v>
      </c>
      <c r="E8068" s="59"/>
    </row>
    <row r="8069" spans="3:5" x14ac:dyDescent="0.15">
      <c r="C8069" s="255" t="s">
        <v>825</v>
      </c>
      <c r="D8069" s="59">
        <v>575.4</v>
      </c>
      <c r="E8069" s="59"/>
    </row>
    <row r="8070" spans="3:5" x14ac:dyDescent="0.15">
      <c r="C8070" s="255" t="s">
        <v>826</v>
      </c>
      <c r="D8070" s="59">
        <v>0.8</v>
      </c>
      <c r="E8070" s="59"/>
    </row>
    <row r="8071" spans="3:5" x14ac:dyDescent="0.15">
      <c r="C8071" s="255" t="s">
        <v>827</v>
      </c>
      <c r="D8071" s="59">
        <v>0</v>
      </c>
      <c r="E8071" s="59"/>
    </row>
    <row r="8072" spans="3:5" x14ac:dyDescent="0.15">
      <c r="C8072" s="255" t="s">
        <v>828</v>
      </c>
      <c r="D8072" s="59">
        <v>3242.6</v>
      </c>
      <c r="E8072" s="59"/>
    </row>
    <row r="8073" spans="3:5" x14ac:dyDescent="0.15">
      <c r="C8073" s="255" t="s">
        <v>829</v>
      </c>
      <c r="D8073" s="59">
        <v>3</v>
      </c>
      <c r="E8073" s="59"/>
    </row>
    <row r="8074" spans="3:5" x14ac:dyDescent="0.15">
      <c r="C8074" s="255" t="s">
        <v>830</v>
      </c>
      <c r="D8074" s="59">
        <v>703.5</v>
      </c>
      <c r="E8074" s="59"/>
    </row>
    <row r="8075" spans="3:5" x14ac:dyDescent="0.15">
      <c r="C8075" s="255" t="s">
        <v>831</v>
      </c>
      <c r="D8075" s="59">
        <v>0</v>
      </c>
      <c r="E8075" s="59"/>
    </row>
    <row r="8076" spans="3:5" x14ac:dyDescent="0.15">
      <c r="C8076" s="255" t="s">
        <v>832</v>
      </c>
      <c r="D8076" s="59">
        <v>9196.6</v>
      </c>
      <c r="E8076" s="59"/>
    </row>
    <row r="8077" spans="3:5" x14ac:dyDescent="0.15">
      <c r="C8077" s="255" t="s">
        <v>833</v>
      </c>
      <c r="D8077" s="59">
        <v>35.6</v>
      </c>
      <c r="E8077" s="59"/>
    </row>
    <row r="8078" spans="3:5" x14ac:dyDescent="0.15">
      <c r="C8078" s="255" t="s">
        <v>834</v>
      </c>
      <c r="D8078" s="59">
        <v>2562</v>
      </c>
      <c r="E8078" s="59"/>
    </row>
    <row r="8079" spans="3:5" x14ac:dyDescent="0.15">
      <c r="C8079" s="255" t="s">
        <v>835</v>
      </c>
      <c r="D8079" s="59">
        <v>3503</v>
      </c>
      <c r="E8079" s="59"/>
    </row>
    <row r="8080" spans="3:5" x14ac:dyDescent="0.15">
      <c r="C8080" s="255" t="s">
        <v>836</v>
      </c>
      <c r="D8080" s="59">
        <v>806.5</v>
      </c>
      <c r="E8080" s="59"/>
    </row>
    <row r="8081" spans="3:5" x14ac:dyDescent="0.15">
      <c r="C8081" s="255" t="s">
        <v>837</v>
      </c>
      <c r="D8081" s="59">
        <v>113.8</v>
      </c>
      <c r="E8081" s="59"/>
    </row>
    <row r="8082" spans="3:5" x14ac:dyDescent="0.15">
      <c r="C8082" s="255" t="s">
        <v>838</v>
      </c>
      <c r="D8082" s="59">
        <v>274.10000000000002</v>
      </c>
      <c r="E8082" s="59"/>
    </row>
    <row r="8083" spans="3:5" x14ac:dyDescent="0.15">
      <c r="C8083" s="255" t="s">
        <v>839</v>
      </c>
      <c r="D8083" s="59">
        <v>15.2</v>
      </c>
      <c r="E8083" s="59"/>
    </row>
    <row r="8084" spans="3:5" x14ac:dyDescent="0.15">
      <c r="C8084" s="255" t="s">
        <v>840</v>
      </c>
      <c r="D8084" s="59">
        <v>0</v>
      </c>
      <c r="E8084" s="59"/>
    </row>
    <row r="8085" spans="3:5" x14ac:dyDescent="0.15">
      <c r="C8085" s="255" t="s">
        <v>841</v>
      </c>
      <c r="D8085" s="59">
        <v>612.1</v>
      </c>
      <c r="E8085" s="59"/>
    </row>
    <row r="8086" spans="3:5" x14ac:dyDescent="0.15">
      <c r="C8086" s="255" t="s">
        <v>842</v>
      </c>
      <c r="D8086" s="59">
        <v>999.9</v>
      </c>
      <c r="E8086" s="59"/>
    </row>
    <row r="8087" spans="3:5" x14ac:dyDescent="0.15">
      <c r="C8087" s="255" t="s">
        <v>843</v>
      </c>
      <c r="D8087" s="59">
        <v>274.39999999999998</v>
      </c>
      <c r="E8087" s="59"/>
    </row>
    <row r="8088" spans="3:5" x14ac:dyDescent="0.15">
      <c r="C8088" s="255" t="s">
        <v>844</v>
      </c>
      <c r="D8088" s="59">
        <v>0</v>
      </c>
      <c r="E8088" s="59"/>
    </row>
    <row r="8089" spans="3:5" x14ac:dyDescent="0.15">
      <c r="C8089" s="255" t="s">
        <v>845</v>
      </c>
      <c r="D8089" s="59">
        <v>92584.1</v>
      </c>
      <c r="E8089" s="59"/>
    </row>
    <row r="8090" spans="3:5" x14ac:dyDescent="0.15">
      <c r="C8090" s="255" t="s">
        <v>846</v>
      </c>
      <c r="D8090" s="59">
        <v>62319.7</v>
      </c>
      <c r="E8090" s="59"/>
    </row>
    <row r="8091" spans="3:5" x14ac:dyDescent="0.15">
      <c r="C8091" s="255" t="s">
        <v>847</v>
      </c>
      <c r="D8091" s="59">
        <v>45</v>
      </c>
      <c r="E8091" s="59"/>
    </row>
    <row r="8092" spans="3:5" x14ac:dyDescent="0.15">
      <c r="C8092" s="255" t="s">
        <v>848</v>
      </c>
      <c r="D8092" s="59">
        <v>388.4</v>
      </c>
      <c r="E8092" s="59"/>
    </row>
    <row r="8093" spans="3:5" x14ac:dyDescent="0.15">
      <c r="C8093" s="255" t="s">
        <v>849</v>
      </c>
      <c r="D8093" s="59">
        <v>525.9</v>
      </c>
      <c r="E8093" s="59"/>
    </row>
    <row r="8094" spans="3:5" x14ac:dyDescent="0.15">
      <c r="C8094" s="255" t="s">
        <v>850</v>
      </c>
      <c r="D8094" s="59">
        <v>360.9</v>
      </c>
      <c r="E8094" s="59"/>
    </row>
    <row r="8095" spans="3:5" x14ac:dyDescent="0.15">
      <c r="C8095" s="255" t="s">
        <v>851</v>
      </c>
      <c r="D8095" s="59">
        <v>0</v>
      </c>
      <c r="E8095" s="59"/>
    </row>
    <row r="8096" spans="3:5" x14ac:dyDescent="0.15">
      <c r="C8096" s="255" t="s">
        <v>852</v>
      </c>
      <c r="D8096" s="59">
        <v>0</v>
      </c>
      <c r="E8096" s="59"/>
    </row>
    <row r="8097" spans="3:5" x14ac:dyDescent="0.15">
      <c r="C8097" s="255" t="s">
        <v>853</v>
      </c>
      <c r="D8097" s="59">
        <v>0</v>
      </c>
      <c r="E8097" s="59"/>
    </row>
    <row r="8098" spans="3:5" x14ac:dyDescent="0.15">
      <c r="C8098" s="255" t="s">
        <v>854</v>
      </c>
      <c r="D8098" s="59">
        <v>0</v>
      </c>
      <c r="E8098" s="59"/>
    </row>
    <row r="8099" spans="3:5" x14ac:dyDescent="0.15">
      <c r="C8099" s="255" t="s">
        <v>855</v>
      </c>
      <c r="D8099" s="59">
        <v>0</v>
      </c>
      <c r="E8099" s="59"/>
    </row>
    <row r="8100" spans="3:5" x14ac:dyDescent="0.15">
      <c r="C8100" s="255" t="s">
        <v>856</v>
      </c>
      <c r="D8100" s="59">
        <v>1421.6</v>
      </c>
      <c r="E8100" s="59"/>
    </row>
    <row r="8101" spans="3:5" x14ac:dyDescent="0.15">
      <c r="C8101" s="255" t="s">
        <v>857</v>
      </c>
      <c r="D8101" s="59">
        <v>2375.6</v>
      </c>
      <c r="E8101" s="59"/>
    </row>
    <row r="8102" spans="3:5" x14ac:dyDescent="0.15">
      <c r="C8102" s="255" t="s">
        <v>858</v>
      </c>
      <c r="D8102" s="59">
        <v>2340.1</v>
      </c>
      <c r="E8102" s="59"/>
    </row>
    <row r="8103" spans="3:5" x14ac:dyDescent="0.15">
      <c r="C8103" s="255" t="s">
        <v>859</v>
      </c>
      <c r="D8103" s="59">
        <v>1714.8</v>
      </c>
      <c r="E8103" s="59"/>
    </row>
    <row r="8104" spans="3:5" x14ac:dyDescent="0.15">
      <c r="C8104" s="255" t="s">
        <v>860</v>
      </c>
      <c r="D8104" s="59">
        <v>96.1</v>
      </c>
      <c r="E8104" s="59"/>
    </row>
    <row r="8105" spans="3:5" x14ac:dyDescent="0.15">
      <c r="C8105" s="255" t="s">
        <v>861</v>
      </c>
      <c r="D8105" s="59">
        <v>372.9</v>
      </c>
      <c r="E8105" s="59"/>
    </row>
    <row r="8106" spans="3:5" x14ac:dyDescent="0.15">
      <c r="C8106" s="255" t="s">
        <v>862</v>
      </c>
      <c r="D8106" s="59">
        <v>7200.4</v>
      </c>
      <c r="E8106" s="59"/>
    </row>
    <row r="8107" spans="3:5" x14ac:dyDescent="0.15">
      <c r="C8107" s="255" t="s">
        <v>863</v>
      </c>
      <c r="D8107" s="59">
        <v>1334.1</v>
      </c>
      <c r="E8107" s="59"/>
    </row>
    <row r="8108" spans="3:5" x14ac:dyDescent="0.15">
      <c r="C8108" s="255" t="s">
        <v>864</v>
      </c>
      <c r="D8108" s="59">
        <v>28.1</v>
      </c>
      <c r="E8108" s="59"/>
    </row>
    <row r="8109" spans="3:5" x14ac:dyDescent="0.15">
      <c r="C8109" s="255" t="s">
        <v>865</v>
      </c>
      <c r="D8109" s="59">
        <v>1236.5999999999999</v>
      </c>
      <c r="E8109" s="59"/>
    </row>
    <row r="8110" spans="3:5" x14ac:dyDescent="0.15">
      <c r="C8110" s="255" t="s">
        <v>866</v>
      </c>
      <c r="D8110" s="59">
        <v>20.399999999999999</v>
      </c>
      <c r="E8110" s="59"/>
    </row>
    <row r="8111" spans="3:5" x14ac:dyDescent="0.15">
      <c r="C8111" s="255" t="s">
        <v>867</v>
      </c>
      <c r="D8111" s="59">
        <v>924.2</v>
      </c>
      <c r="E8111" s="59"/>
    </row>
    <row r="8112" spans="3:5" x14ac:dyDescent="0.15">
      <c r="C8112" s="255" t="s">
        <v>868</v>
      </c>
      <c r="D8112" s="59">
        <v>9879.4</v>
      </c>
      <c r="E8112" s="59"/>
    </row>
    <row r="8113" spans="3:5" x14ac:dyDescent="0.15">
      <c r="C8113" s="255" t="s">
        <v>869</v>
      </c>
      <c r="D8113" s="59">
        <v>11871.7</v>
      </c>
      <c r="E8113" s="59"/>
    </row>
    <row r="8114" spans="3:5" x14ac:dyDescent="0.15">
      <c r="C8114" s="255" t="s">
        <v>870</v>
      </c>
      <c r="D8114" s="59">
        <v>2604.9</v>
      </c>
      <c r="E8114" s="59"/>
    </row>
    <row r="8115" spans="3:5" x14ac:dyDescent="0.15">
      <c r="C8115" s="255" t="s">
        <v>871</v>
      </c>
      <c r="D8115" s="59">
        <v>502.4</v>
      </c>
      <c r="E8115" s="59"/>
    </row>
    <row r="8116" spans="3:5" x14ac:dyDescent="0.15">
      <c r="C8116" s="255" t="s">
        <v>872</v>
      </c>
      <c r="D8116" s="59">
        <v>723.1</v>
      </c>
      <c r="E8116" s="59"/>
    </row>
    <row r="8117" spans="3:5" x14ac:dyDescent="0.15">
      <c r="C8117" s="255" t="s">
        <v>873</v>
      </c>
      <c r="D8117" s="59">
        <v>528.5</v>
      </c>
      <c r="E8117" s="59"/>
    </row>
    <row r="8118" spans="3:5" x14ac:dyDescent="0.15">
      <c r="C8118" s="255" t="s">
        <v>874</v>
      </c>
      <c r="D8118" s="59">
        <v>31.4</v>
      </c>
      <c r="E8118" s="59"/>
    </row>
    <row r="8119" spans="3:5" x14ac:dyDescent="0.15">
      <c r="C8119" s="255" t="s">
        <v>875</v>
      </c>
      <c r="D8119" s="59">
        <v>2.8</v>
      </c>
      <c r="E8119" s="59"/>
    </row>
    <row r="8120" spans="3:5" x14ac:dyDescent="0.15">
      <c r="C8120" s="255" t="s">
        <v>876</v>
      </c>
      <c r="D8120" s="59">
        <v>0</v>
      </c>
      <c r="E8120" s="59"/>
    </row>
    <row r="8121" spans="3:5" x14ac:dyDescent="0.15">
      <c r="C8121" s="255" t="s">
        <v>877</v>
      </c>
      <c r="D8121" s="59">
        <v>79</v>
      </c>
      <c r="E8121" s="59"/>
    </row>
    <row r="8122" spans="3:5" x14ac:dyDescent="0.15">
      <c r="C8122" s="255" t="s">
        <v>878</v>
      </c>
      <c r="D8122" s="59">
        <v>9.6999999999999993</v>
      </c>
      <c r="E8122" s="59"/>
    </row>
    <row r="8123" spans="3:5" x14ac:dyDescent="0.15">
      <c r="C8123" s="255" t="s">
        <v>879</v>
      </c>
      <c r="D8123" s="59">
        <v>915.4</v>
      </c>
      <c r="E8123" s="59"/>
    </row>
    <row r="8124" spans="3:5" x14ac:dyDescent="0.15">
      <c r="C8124" s="255" t="s">
        <v>880</v>
      </c>
      <c r="D8124" s="59">
        <v>105.8</v>
      </c>
      <c r="E8124" s="59"/>
    </row>
    <row r="8125" spans="3:5" x14ac:dyDescent="0.15">
      <c r="C8125" s="255" t="s">
        <v>881</v>
      </c>
      <c r="D8125" s="59">
        <v>0</v>
      </c>
      <c r="E8125" s="59"/>
    </row>
    <row r="8126" spans="3:5" x14ac:dyDescent="0.15">
      <c r="C8126" s="255" t="s">
        <v>882</v>
      </c>
      <c r="D8126" s="59">
        <v>161.19999999999999</v>
      </c>
      <c r="E8126" s="59"/>
    </row>
    <row r="8127" spans="3:5" x14ac:dyDescent="0.15">
      <c r="C8127" s="255" t="s">
        <v>883</v>
      </c>
      <c r="D8127" s="59">
        <v>307.5</v>
      </c>
      <c r="E8127" s="59"/>
    </row>
    <row r="8128" spans="3:5" x14ac:dyDescent="0.15">
      <c r="C8128" s="255" t="s">
        <v>884</v>
      </c>
      <c r="D8128" s="59">
        <v>604.70000000000005</v>
      </c>
      <c r="E8128" s="59"/>
    </row>
    <row r="8129" spans="3:5" x14ac:dyDescent="0.15">
      <c r="C8129" s="255" t="s">
        <v>885</v>
      </c>
      <c r="D8129" s="59">
        <v>111.8</v>
      </c>
      <c r="E8129" s="59"/>
    </row>
    <row r="8130" spans="3:5" x14ac:dyDescent="0.15">
      <c r="C8130" s="255" t="s">
        <v>886</v>
      </c>
      <c r="D8130" s="59">
        <v>59.3</v>
      </c>
      <c r="E8130" s="59"/>
    </row>
    <row r="8131" spans="3:5" x14ac:dyDescent="0.15">
      <c r="C8131" s="255" t="s">
        <v>887</v>
      </c>
      <c r="D8131" s="59">
        <v>2.6</v>
      </c>
      <c r="E8131" s="59"/>
    </row>
    <row r="8132" spans="3:5" x14ac:dyDescent="0.15">
      <c r="C8132" s="255" t="s">
        <v>888</v>
      </c>
      <c r="D8132" s="59">
        <v>0.5</v>
      </c>
      <c r="E8132" s="59"/>
    </row>
    <row r="8133" spans="3:5" x14ac:dyDescent="0.15">
      <c r="C8133" s="255" t="s">
        <v>889</v>
      </c>
      <c r="D8133" s="59">
        <v>214.9</v>
      </c>
      <c r="E8133" s="59"/>
    </row>
    <row r="8134" spans="3:5" x14ac:dyDescent="0.15">
      <c r="C8134" s="255" t="s">
        <v>890</v>
      </c>
      <c r="D8134" s="59">
        <v>401.5</v>
      </c>
      <c r="E8134" s="59"/>
    </row>
    <row r="8135" spans="3:5" x14ac:dyDescent="0.15">
      <c r="C8135" s="255" t="s">
        <v>891</v>
      </c>
      <c r="D8135" s="59">
        <v>1.1000000000000001</v>
      </c>
      <c r="E8135" s="59"/>
    </row>
    <row r="8136" spans="3:5" x14ac:dyDescent="0.15">
      <c r="C8136" s="255" t="s">
        <v>892</v>
      </c>
      <c r="D8136" s="59">
        <v>0.4</v>
      </c>
      <c r="E8136" s="59"/>
    </row>
    <row r="8137" spans="3:5" x14ac:dyDescent="0.15">
      <c r="C8137" s="255" t="s">
        <v>893</v>
      </c>
      <c r="D8137" s="59">
        <v>142.69999999999999</v>
      </c>
      <c r="E8137" s="59"/>
    </row>
    <row r="8138" spans="3:5" x14ac:dyDescent="0.15">
      <c r="C8138" s="255" t="s">
        <v>894</v>
      </c>
      <c r="D8138" s="59">
        <v>0</v>
      </c>
      <c r="E8138" s="59"/>
    </row>
    <row r="8139" spans="3:5" x14ac:dyDescent="0.15">
      <c r="C8139" s="255" t="s">
        <v>895</v>
      </c>
      <c r="D8139" s="59">
        <v>335.8</v>
      </c>
      <c r="E8139" s="59"/>
    </row>
    <row r="8140" spans="3:5" x14ac:dyDescent="0.15">
      <c r="C8140" s="255" t="s">
        <v>896</v>
      </c>
      <c r="D8140" s="59">
        <v>9.3000000000000007</v>
      </c>
      <c r="E8140" s="59"/>
    </row>
    <row r="8141" spans="3:5" x14ac:dyDescent="0.15">
      <c r="C8141" s="255" t="s">
        <v>897</v>
      </c>
      <c r="D8141" s="59">
        <v>583.20000000000005</v>
      </c>
      <c r="E8141" s="59"/>
    </row>
    <row r="8142" spans="3:5" x14ac:dyDescent="0.15">
      <c r="C8142" s="255" t="s">
        <v>898</v>
      </c>
      <c r="D8142" s="59">
        <v>108.5</v>
      </c>
      <c r="E8142" s="59"/>
    </row>
    <row r="8143" spans="3:5" x14ac:dyDescent="0.15">
      <c r="C8143" s="255" t="s">
        <v>899</v>
      </c>
      <c r="D8143" s="59">
        <v>1.3</v>
      </c>
      <c r="E8143" s="59"/>
    </row>
    <row r="8144" spans="3:5" x14ac:dyDescent="0.15">
      <c r="C8144" s="255" t="s">
        <v>900</v>
      </c>
      <c r="D8144" s="59">
        <v>213.4</v>
      </c>
      <c r="E8144" s="59"/>
    </row>
    <row r="8145" spans="3:5" x14ac:dyDescent="0.15">
      <c r="C8145" s="255" t="s">
        <v>901</v>
      </c>
      <c r="D8145" s="59">
        <v>892.9</v>
      </c>
      <c r="E8145" s="59"/>
    </row>
    <row r="8146" spans="3:5" x14ac:dyDescent="0.15">
      <c r="C8146" s="255" t="s">
        <v>902</v>
      </c>
      <c r="D8146" s="59">
        <v>0.4</v>
      </c>
      <c r="E8146" s="59"/>
    </row>
    <row r="8147" spans="3:5" x14ac:dyDescent="0.15">
      <c r="C8147" s="255" t="s">
        <v>903</v>
      </c>
      <c r="D8147" s="59">
        <v>731.3</v>
      </c>
      <c r="E8147" s="59"/>
    </row>
    <row r="8148" spans="3:5" x14ac:dyDescent="0.15">
      <c r="C8148" s="255" t="s">
        <v>904</v>
      </c>
      <c r="D8148" s="59">
        <v>931.1</v>
      </c>
      <c r="E8148" s="59"/>
    </row>
    <row r="8149" spans="3:5" x14ac:dyDescent="0.15">
      <c r="C8149" s="255" t="s">
        <v>905</v>
      </c>
      <c r="D8149" s="59">
        <v>170.3</v>
      </c>
      <c r="E8149" s="59"/>
    </row>
    <row r="8150" spans="3:5" x14ac:dyDescent="0.15">
      <c r="C8150" s="255" t="s">
        <v>906</v>
      </c>
      <c r="D8150" s="59">
        <v>156.19999999999999</v>
      </c>
      <c r="E8150" s="59"/>
    </row>
    <row r="8151" spans="3:5" x14ac:dyDescent="0.15">
      <c r="C8151" s="255" t="s">
        <v>907</v>
      </c>
      <c r="D8151" s="59">
        <v>226.9</v>
      </c>
      <c r="E8151" s="59"/>
    </row>
    <row r="8152" spans="3:5" x14ac:dyDescent="0.15">
      <c r="C8152" s="255" t="s">
        <v>908</v>
      </c>
      <c r="D8152" s="59">
        <v>6522.3</v>
      </c>
      <c r="E8152" s="59"/>
    </row>
    <row r="8153" spans="3:5" x14ac:dyDescent="0.15">
      <c r="C8153" s="255" t="s">
        <v>909</v>
      </c>
      <c r="D8153" s="59">
        <v>2238.9</v>
      </c>
      <c r="E8153" s="59"/>
    </row>
    <row r="8154" spans="3:5" x14ac:dyDescent="0.15">
      <c r="C8154" s="255" t="s">
        <v>910</v>
      </c>
      <c r="D8154" s="59">
        <v>2.5</v>
      </c>
      <c r="E8154" s="59"/>
    </row>
    <row r="8155" spans="3:5" x14ac:dyDescent="0.15">
      <c r="C8155" s="255" t="s">
        <v>911</v>
      </c>
      <c r="D8155" s="59">
        <v>151.9</v>
      </c>
      <c r="E8155" s="59"/>
    </row>
    <row r="8156" spans="3:5" x14ac:dyDescent="0.15">
      <c r="C8156" s="255" t="s">
        <v>912</v>
      </c>
      <c r="D8156" s="59">
        <v>1138.2</v>
      </c>
      <c r="E8156" s="59"/>
    </row>
    <row r="8157" spans="3:5" x14ac:dyDescent="0.15">
      <c r="C8157" s="255" t="s">
        <v>913</v>
      </c>
      <c r="D8157" s="59">
        <v>0</v>
      </c>
      <c r="E8157" s="59"/>
    </row>
    <row r="8158" spans="3:5" x14ac:dyDescent="0.15">
      <c r="C8158" s="255" t="s">
        <v>914</v>
      </c>
      <c r="D8158" s="59">
        <v>0</v>
      </c>
      <c r="E8158" s="59"/>
    </row>
    <row r="8159" spans="3:5" x14ac:dyDescent="0.15">
      <c r="C8159" s="255" t="s">
        <v>915</v>
      </c>
      <c r="D8159" s="59">
        <v>0</v>
      </c>
      <c r="E8159" s="59"/>
    </row>
    <row r="8160" spans="3:5" x14ac:dyDescent="0.15">
      <c r="C8160" s="255" t="s">
        <v>916</v>
      </c>
      <c r="D8160" s="59">
        <v>25.1</v>
      </c>
      <c r="E8160" s="59"/>
    </row>
    <row r="8161" spans="3:5" x14ac:dyDescent="0.15">
      <c r="C8161" s="255" t="s">
        <v>917</v>
      </c>
      <c r="D8161" s="59">
        <v>13.3</v>
      </c>
      <c r="E8161" s="59"/>
    </row>
    <row r="8162" spans="3:5" x14ac:dyDescent="0.15">
      <c r="C8162" s="255" t="s">
        <v>918</v>
      </c>
      <c r="D8162" s="59">
        <v>2103.6</v>
      </c>
      <c r="E8162" s="59"/>
    </row>
    <row r="8163" spans="3:5" x14ac:dyDescent="0.15">
      <c r="C8163" s="255" t="s">
        <v>919</v>
      </c>
      <c r="D8163" s="59">
        <v>6.4</v>
      </c>
      <c r="E8163" s="59"/>
    </row>
    <row r="8164" spans="3:5" x14ac:dyDescent="0.15">
      <c r="C8164" s="255" t="s">
        <v>920</v>
      </c>
      <c r="D8164" s="59">
        <v>842.1</v>
      </c>
      <c r="E8164" s="59"/>
    </row>
    <row r="8165" spans="3:5" x14ac:dyDescent="0.15">
      <c r="C8165" s="255" t="s">
        <v>921</v>
      </c>
      <c r="D8165" s="59">
        <v>0.4</v>
      </c>
      <c r="E8165" s="59"/>
    </row>
    <row r="8166" spans="3:5" x14ac:dyDescent="0.15">
      <c r="C8166" s="255" t="s">
        <v>922</v>
      </c>
      <c r="D8166" s="59">
        <v>31349</v>
      </c>
      <c r="E8166" s="59"/>
    </row>
    <row r="8167" spans="3:5" x14ac:dyDescent="0.15">
      <c r="C8167" s="255" t="s">
        <v>923</v>
      </c>
      <c r="D8167" s="59">
        <v>7342.8</v>
      </c>
      <c r="E8167" s="59"/>
    </row>
    <row r="8168" spans="3:5" x14ac:dyDescent="0.15">
      <c r="C8168" s="255" t="s">
        <v>924</v>
      </c>
      <c r="D8168" s="59">
        <v>2943.7</v>
      </c>
      <c r="E8168" s="59"/>
    </row>
    <row r="8169" spans="3:5" x14ac:dyDescent="0.15">
      <c r="C8169" s="255" t="s">
        <v>925</v>
      </c>
      <c r="D8169" s="59">
        <v>207.3</v>
      </c>
      <c r="E8169" s="59"/>
    </row>
    <row r="8170" spans="3:5" x14ac:dyDescent="0.15">
      <c r="C8170" s="255" t="s">
        <v>926</v>
      </c>
      <c r="D8170" s="59">
        <v>615.9</v>
      </c>
      <c r="E8170" s="59"/>
    </row>
    <row r="8171" spans="3:5" x14ac:dyDescent="0.15">
      <c r="C8171" s="255" t="s">
        <v>927</v>
      </c>
      <c r="D8171" s="59">
        <v>264.60000000000002</v>
      </c>
      <c r="E8171" s="59"/>
    </row>
    <row r="8172" spans="3:5" x14ac:dyDescent="0.15">
      <c r="C8172" s="255" t="s">
        <v>928</v>
      </c>
      <c r="D8172" s="59">
        <v>1003.3</v>
      </c>
      <c r="E8172" s="59"/>
    </row>
    <row r="8173" spans="3:5" x14ac:dyDescent="0.15">
      <c r="C8173" s="255" t="s">
        <v>929</v>
      </c>
      <c r="D8173" s="59">
        <v>75.7</v>
      </c>
      <c r="E8173" s="59"/>
    </row>
    <row r="8174" spans="3:5" x14ac:dyDescent="0.15">
      <c r="C8174" s="255" t="s">
        <v>930</v>
      </c>
      <c r="D8174" s="59">
        <v>1260.8</v>
      </c>
      <c r="E8174" s="59"/>
    </row>
    <row r="8175" spans="3:5" x14ac:dyDescent="0.15">
      <c r="C8175" s="255" t="s">
        <v>931</v>
      </c>
      <c r="D8175" s="59">
        <v>5969.8</v>
      </c>
      <c r="E8175" s="59"/>
    </row>
    <row r="8176" spans="3:5" x14ac:dyDescent="0.15">
      <c r="C8176" s="255" t="s">
        <v>932</v>
      </c>
      <c r="D8176" s="59">
        <v>0</v>
      </c>
      <c r="E8176" s="59"/>
    </row>
    <row r="8177" spans="3:5" x14ac:dyDescent="0.15">
      <c r="C8177" s="255" t="s">
        <v>933</v>
      </c>
      <c r="D8177" s="59">
        <v>20.6</v>
      </c>
      <c r="E8177" s="59"/>
    </row>
    <row r="8178" spans="3:5" x14ac:dyDescent="0.15">
      <c r="C8178" s="255" t="s">
        <v>934</v>
      </c>
      <c r="D8178" s="59">
        <v>2996</v>
      </c>
      <c r="E8178" s="59"/>
    </row>
    <row r="8179" spans="3:5" x14ac:dyDescent="0.15">
      <c r="C8179" s="255" t="s">
        <v>935</v>
      </c>
      <c r="D8179" s="59">
        <v>2598.8000000000002</v>
      </c>
      <c r="E8179" s="59"/>
    </row>
    <row r="8180" spans="3:5" x14ac:dyDescent="0.15">
      <c r="C8180" s="255" t="s">
        <v>936</v>
      </c>
      <c r="D8180" s="59">
        <v>2673</v>
      </c>
      <c r="E8180" s="59"/>
    </row>
    <row r="8181" spans="3:5" x14ac:dyDescent="0.15">
      <c r="C8181" s="255" t="s">
        <v>937</v>
      </c>
      <c r="D8181" s="59">
        <v>202.1</v>
      </c>
      <c r="E8181" s="59"/>
    </row>
    <row r="8182" spans="3:5" x14ac:dyDescent="0.15">
      <c r="C8182" s="255" t="s">
        <v>938</v>
      </c>
      <c r="D8182" s="59">
        <v>314.3</v>
      </c>
      <c r="E8182" s="59"/>
    </row>
    <row r="8183" spans="3:5" x14ac:dyDescent="0.15">
      <c r="C8183" s="255" t="s">
        <v>939</v>
      </c>
      <c r="D8183" s="59">
        <v>0</v>
      </c>
      <c r="E8183" s="59"/>
    </row>
    <row r="8184" spans="3:5" x14ac:dyDescent="0.15">
      <c r="C8184" s="255" t="s">
        <v>940</v>
      </c>
      <c r="D8184" s="59">
        <v>188.7</v>
      </c>
      <c r="E8184" s="59"/>
    </row>
    <row r="8185" spans="3:5" x14ac:dyDescent="0.15">
      <c r="C8185" s="255" t="s">
        <v>941</v>
      </c>
      <c r="D8185" s="59">
        <v>354.3</v>
      </c>
      <c r="E8185" s="59"/>
    </row>
    <row r="8186" spans="3:5" x14ac:dyDescent="0.15">
      <c r="C8186" s="255" t="s">
        <v>942</v>
      </c>
      <c r="D8186" s="59">
        <v>0</v>
      </c>
      <c r="E8186" s="59"/>
    </row>
    <row r="8187" spans="3:5" x14ac:dyDescent="0.15">
      <c r="C8187" s="255" t="s">
        <v>943</v>
      </c>
      <c r="D8187" s="59">
        <v>852.6</v>
      </c>
      <c r="E8187" s="59"/>
    </row>
    <row r="8188" spans="3:5" x14ac:dyDescent="0.15">
      <c r="C8188" s="255" t="s">
        <v>944</v>
      </c>
      <c r="D8188" s="59">
        <v>285.2</v>
      </c>
      <c r="E8188" s="59"/>
    </row>
    <row r="8189" spans="3:5" x14ac:dyDescent="0.15">
      <c r="C8189" s="255" t="s">
        <v>945</v>
      </c>
      <c r="D8189" s="59">
        <v>955.2</v>
      </c>
      <c r="E8189" s="59"/>
    </row>
    <row r="8190" spans="3:5" x14ac:dyDescent="0.15">
      <c r="C8190" s="255" t="s">
        <v>946</v>
      </c>
      <c r="D8190" s="59">
        <v>190.7</v>
      </c>
      <c r="E8190" s="59"/>
    </row>
    <row r="8191" spans="3:5" x14ac:dyDescent="0.15">
      <c r="C8191" s="255" t="s">
        <v>947</v>
      </c>
      <c r="D8191" s="59">
        <v>33.6</v>
      </c>
      <c r="E8191" s="59"/>
    </row>
    <row r="8192" spans="3:5" x14ac:dyDescent="0.15">
      <c r="C8192" s="255" t="s">
        <v>948</v>
      </c>
      <c r="D8192" s="59">
        <v>8483.2000000000007</v>
      </c>
      <c r="E8192" s="59"/>
    </row>
    <row r="8193" spans="3:5" x14ac:dyDescent="0.15">
      <c r="C8193" s="255" t="s">
        <v>949</v>
      </c>
      <c r="D8193" s="59">
        <v>93.7</v>
      </c>
      <c r="E8193" s="59"/>
    </row>
    <row r="8194" spans="3:5" x14ac:dyDescent="0.15">
      <c r="C8194" s="255" t="s">
        <v>950</v>
      </c>
      <c r="D8194" s="59">
        <v>0.4</v>
      </c>
      <c r="E8194" s="59"/>
    </row>
    <row r="8195" spans="3:5" x14ac:dyDescent="0.15">
      <c r="C8195" s="255" t="s">
        <v>951</v>
      </c>
      <c r="D8195" s="59">
        <v>1323.1</v>
      </c>
      <c r="E8195" s="59"/>
    </row>
    <row r="8196" spans="3:5" x14ac:dyDescent="0.15">
      <c r="C8196" s="255" t="s">
        <v>952</v>
      </c>
      <c r="D8196" s="59">
        <v>0</v>
      </c>
      <c r="E8196" s="59"/>
    </row>
    <row r="8197" spans="3:5" x14ac:dyDescent="0.15">
      <c r="C8197" s="255" t="s">
        <v>953</v>
      </c>
      <c r="D8197" s="59">
        <v>155.80000000000001</v>
      </c>
      <c r="E8197" s="59"/>
    </row>
    <row r="8198" spans="3:5" x14ac:dyDescent="0.15">
      <c r="C8198" s="255" t="s">
        <v>954</v>
      </c>
      <c r="D8198" s="59">
        <v>2608.3000000000002</v>
      </c>
      <c r="E8198" s="59"/>
    </row>
    <row r="8199" spans="3:5" x14ac:dyDescent="0.15">
      <c r="C8199" s="255" t="s">
        <v>955</v>
      </c>
      <c r="D8199" s="59">
        <v>1477.8</v>
      </c>
      <c r="E8199" s="59"/>
    </row>
    <row r="8200" spans="3:5" x14ac:dyDescent="0.15">
      <c r="C8200" s="255" t="s">
        <v>956</v>
      </c>
      <c r="D8200" s="59">
        <v>2823.9</v>
      </c>
      <c r="E8200" s="59"/>
    </row>
    <row r="8201" spans="3:5" x14ac:dyDescent="0.15">
      <c r="C8201" s="255" t="s">
        <v>957</v>
      </c>
      <c r="D8201" s="59">
        <v>21609.599999999999</v>
      </c>
      <c r="E8201" s="59"/>
    </row>
    <row r="8202" spans="3:5" x14ac:dyDescent="0.15">
      <c r="C8202" s="255" t="s">
        <v>958</v>
      </c>
      <c r="D8202" s="59">
        <v>267.2</v>
      </c>
      <c r="E8202" s="59"/>
    </row>
    <row r="8203" spans="3:5" x14ac:dyDescent="0.15">
      <c r="C8203" s="255" t="s">
        <v>959</v>
      </c>
      <c r="D8203" s="59">
        <v>580.6</v>
      </c>
      <c r="E8203" s="59"/>
    </row>
    <row r="8204" spans="3:5" x14ac:dyDescent="0.15">
      <c r="C8204" s="255" t="s">
        <v>960</v>
      </c>
      <c r="D8204" s="59">
        <v>0.1</v>
      </c>
      <c r="E8204" s="59"/>
    </row>
    <row r="8205" spans="3:5" x14ac:dyDescent="0.15">
      <c r="C8205" s="255" t="s">
        <v>961</v>
      </c>
      <c r="D8205" s="59">
        <v>1.3</v>
      </c>
      <c r="E8205" s="59"/>
    </row>
    <row r="8206" spans="3:5" x14ac:dyDescent="0.15">
      <c r="C8206" s="255" t="s">
        <v>962</v>
      </c>
      <c r="D8206" s="59">
        <v>0</v>
      </c>
      <c r="E8206" s="59"/>
    </row>
    <row r="8207" spans="3:5" x14ac:dyDescent="0.15">
      <c r="C8207" s="255" t="s">
        <v>963</v>
      </c>
      <c r="D8207" s="59">
        <v>924.9</v>
      </c>
      <c r="E8207" s="59"/>
    </row>
    <row r="8208" spans="3:5" x14ac:dyDescent="0.15">
      <c r="C8208" s="255" t="s">
        <v>964</v>
      </c>
      <c r="D8208" s="59">
        <v>1130.4000000000001</v>
      </c>
      <c r="E8208" s="59"/>
    </row>
    <row r="8209" spans="3:5" x14ac:dyDescent="0.15">
      <c r="C8209" s="255" t="s">
        <v>965</v>
      </c>
      <c r="D8209" s="59">
        <v>2.2000000000000002</v>
      </c>
      <c r="E8209" s="59"/>
    </row>
    <row r="8210" spans="3:5" x14ac:dyDescent="0.15">
      <c r="C8210" s="255" t="s">
        <v>966</v>
      </c>
      <c r="D8210" s="59">
        <v>0.3</v>
      </c>
      <c r="E8210" s="59"/>
    </row>
    <row r="8211" spans="3:5" x14ac:dyDescent="0.15">
      <c r="C8211" s="255" t="s">
        <v>967</v>
      </c>
      <c r="D8211" s="59">
        <v>147.1</v>
      </c>
      <c r="E8211" s="59"/>
    </row>
    <row r="8212" spans="3:5" x14ac:dyDescent="0.15">
      <c r="C8212" s="255" t="s">
        <v>968</v>
      </c>
      <c r="D8212" s="59">
        <v>0</v>
      </c>
      <c r="E8212" s="59"/>
    </row>
    <row r="8213" spans="3:5" x14ac:dyDescent="0.15">
      <c r="C8213" s="255" t="s">
        <v>969</v>
      </c>
      <c r="D8213" s="59">
        <v>58.8</v>
      </c>
      <c r="E8213" s="59"/>
    </row>
    <row r="8214" spans="3:5" x14ac:dyDescent="0.15">
      <c r="C8214" s="255" t="s">
        <v>970</v>
      </c>
      <c r="D8214" s="59">
        <v>0</v>
      </c>
      <c r="E8214" s="59"/>
    </row>
    <row r="8215" spans="3:5" x14ac:dyDescent="0.15">
      <c r="C8215" s="255" t="s">
        <v>971</v>
      </c>
      <c r="D8215" s="59">
        <v>392.3</v>
      </c>
      <c r="E8215" s="59"/>
    </row>
    <row r="8216" spans="3:5" x14ac:dyDescent="0.15">
      <c r="C8216" s="255" t="s">
        <v>972</v>
      </c>
      <c r="D8216" s="59">
        <v>-291.3</v>
      </c>
      <c r="E8216" s="59"/>
    </row>
    <row r="8217" spans="3:5" x14ac:dyDescent="0.15">
      <c r="C8217" s="255" t="s">
        <v>973</v>
      </c>
      <c r="D8217" s="59">
        <v>44.6</v>
      </c>
      <c r="E8217" s="59"/>
    </row>
    <row r="8218" spans="3:5" x14ac:dyDescent="0.15">
      <c r="C8218" s="255" t="s">
        <v>974</v>
      </c>
      <c r="D8218" s="59">
        <v>0</v>
      </c>
      <c r="E8218" s="59"/>
    </row>
    <row r="8219" spans="3:5" x14ac:dyDescent="0.15">
      <c r="C8219" s="255" t="s">
        <v>975</v>
      </c>
      <c r="D8219" s="59">
        <v>314.3</v>
      </c>
      <c r="E8219" s="59"/>
    </row>
    <row r="8220" spans="3:5" x14ac:dyDescent="0.15">
      <c r="C8220" s="255" t="s">
        <v>976</v>
      </c>
      <c r="D8220" s="59">
        <v>23.8</v>
      </c>
      <c r="E8220" s="59"/>
    </row>
    <row r="8221" spans="3:5" x14ac:dyDescent="0.15">
      <c r="C8221" s="255" t="s">
        <v>977</v>
      </c>
      <c r="D8221" s="59">
        <v>308.89999999999998</v>
      </c>
      <c r="E8221" s="59"/>
    </row>
    <row r="8222" spans="3:5" x14ac:dyDescent="0.15">
      <c r="C8222" s="255" t="s">
        <v>978</v>
      </c>
      <c r="D8222" s="59">
        <v>751.8</v>
      </c>
      <c r="E8222" s="59"/>
    </row>
    <row r="8223" spans="3:5" x14ac:dyDescent="0.15">
      <c r="C8223" s="255" t="s">
        <v>979</v>
      </c>
      <c r="D8223" s="59">
        <v>42.9</v>
      </c>
      <c r="E8223" s="59"/>
    </row>
    <row r="8224" spans="3:5" x14ac:dyDescent="0.15">
      <c r="C8224" s="255" t="s">
        <v>980</v>
      </c>
      <c r="D8224" s="59">
        <v>224.8</v>
      </c>
      <c r="E8224" s="59"/>
    </row>
    <row r="8225" spans="3:5" x14ac:dyDescent="0.15">
      <c r="C8225" s="255" t="s">
        <v>981</v>
      </c>
      <c r="D8225" s="59">
        <v>0</v>
      </c>
      <c r="E8225" s="59"/>
    </row>
    <row r="8226" spans="3:5" x14ac:dyDescent="0.15">
      <c r="C8226" s="255" t="s">
        <v>982</v>
      </c>
      <c r="D8226" s="59">
        <v>256.8</v>
      </c>
      <c r="E8226" s="59"/>
    </row>
    <row r="8227" spans="3:5" x14ac:dyDescent="0.15">
      <c r="C8227" s="255" t="s">
        <v>983</v>
      </c>
      <c r="D8227" s="59">
        <v>1616.6</v>
      </c>
      <c r="E8227" s="59"/>
    </row>
    <row r="8228" spans="3:5" x14ac:dyDescent="0.15">
      <c r="C8228" s="255" t="s">
        <v>984</v>
      </c>
      <c r="D8228" s="59">
        <v>0</v>
      </c>
      <c r="E8228" s="59"/>
    </row>
    <row r="8229" spans="3:5" x14ac:dyDescent="0.15">
      <c r="C8229" s="255" t="s">
        <v>985</v>
      </c>
      <c r="D8229" s="59">
        <v>1106.2</v>
      </c>
      <c r="E8229" s="59"/>
    </row>
    <row r="8230" spans="3:5" x14ac:dyDescent="0.15">
      <c r="C8230" s="255" t="s">
        <v>986</v>
      </c>
      <c r="D8230" s="59">
        <v>227.3</v>
      </c>
      <c r="E8230" s="59"/>
    </row>
    <row r="8231" spans="3:5" x14ac:dyDescent="0.15">
      <c r="C8231" s="255" t="s">
        <v>987</v>
      </c>
      <c r="D8231" s="59">
        <v>487.6</v>
      </c>
      <c r="E8231" s="59"/>
    </row>
    <row r="8232" spans="3:5" x14ac:dyDescent="0.15">
      <c r="C8232" s="255" t="s">
        <v>988</v>
      </c>
      <c r="D8232" s="59">
        <v>746.4</v>
      </c>
      <c r="E8232" s="59"/>
    </row>
    <row r="8233" spans="3:5" x14ac:dyDescent="0.15">
      <c r="C8233" s="255" t="s">
        <v>989</v>
      </c>
      <c r="D8233" s="59">
        <v>456.1</v>
      </c>
      <c r="E8233" s="59"/>
    </row>
    <row r="8234" spans="3:5" x14ac:dyDescent="0.15">
      <c r="C8234" s="255" t="s">
        <v>990</v>
      </c>
      <c r="D8234" s="59">
        <v>231.5</v>
      </c>
      <c r="E8234" s="59"/>
    </row>
    <row r="8235" spans="3:5" x14ac:dyDescent="0.15">
      <c r="C8235" s="255" t="s">
        <v>991</v>
      </c>
      <c r="D8235" s="59">
        <v>5021.7</v>
      </c>
      <c r="E8235" s="59"/>
    </row>
    <row r="8236" spans="3:5" x14ac:dyDescent="0.15">
      <c r="C8236" s="255" t="s">
        <v>992</v>
      </c>
      <c r="D8236" s="59">
        <v>0</v>
      </c>
      <c r="E8236" s="59"/>
    </row>
    <row r="8237" spans="3:5" x14ac:dyDescent="0.15">
      <c r="C8237" s="255" t="s">
        <v>993</v>
      </c>
      <c r="D8237" s="59">
        <v>140.1</v>
      </c>
      <c r="E8237" s="59"/>
    </row>
    <row r="8238" spans="3:5" x14ac:dyDescent="0.15">
      <c r="C8238" s="255" t="s">
        <v>994</v>
      </c>
      <c r="D8238" s="59">
        <v>0</v>
      </c>
      <c r="E8238" s="59"/>
    </row>
    <row r="8239" spans="3:5" x14ac:dyDescent="0.15">
      <c r="C8239" s="255" t="s">
        <v>995</v>
      </c>
      <c r="D8239" s="59">
        <v>615.5</v>
      </c>
      <c r="E8239" s="59"/>
    </row>
    <row r="8240" spans="3:5" x14ac:dyDescent="0.15">
      <c r="C8240" s="255" t="s">
        <v>996</v>
      </c>
      <c r="D8240" s="59">
        <v>327.10000000000002</v>
      </c>
      <c r="E8240" s="59"/>
    </row>
    <row r="8241" spans="3:5" x14ac:dyDescent="0.15">
      <c r="C8241" s="255" t="s">
        <v>997</v>
      </c>
      <c r="D8241" s="59">
        <v>266.3</v>
      </c>
      <c r="E8241" s="59"/>
    </row>
    <row r="8242" spans="3:5" x14ac:dyDescent="0.15">
      <c r="C8242" s="255" t="s">
        <v>998</v>
      </c>
      <c r="D8242" s="59">
        <v>63.2</v>
      </c>
      <c r="E8242" s="59"/>
    </row>
    <row r="8243" spans="3:5" x14ac:dyDescent="0.15">
      <c r="C8243" s="255" t="s">
        <v>999</v>
      </c>
      <c r="D8243" s="59">
        <v>0</v>
      </c>
      <c r="E8243" s="59"/>
    </row>
    <row r="8244" spans="3:5" x14ac:dyDescent="0.15">
      <c r="C8244" s="255" t="s">
        <v>1000</v>
      </c>
      <c r="D8244" s="59">
        <v>503.3</v>
      </c>
      <c r="E8244" s="59"/>
    </row>
    <row r="8245" spans="3:5" x14ac:dyDescent="0.15">
      <c r="C8245" s="255" t="s">
        <v>1001</v>
      </c>
      <c r="D8245" s="59">
        <v>421</v>
      </c>
      <c r="E8245" s="59"/>
    </row>
    <row r="8246" spans="3:5" x14ac:dyDescent="0.15">
      <c r="C8246" s="255" t="s">
        <v>1002</v>
      </c>
      <c r="D8246" s="59">
        <v>93.3</v>
      </c>
      <c r="E8246" s="59"/>
    </row>
    <row r="8247" spans="3:5" x14ac:dyDescent="0.15">
      <c r="C8247" s="255" t="s">
        <v>1003</v>
      </c>
      <c r="D8247" s="59">
        <v>56.8</v>
      </c>
      <c r="E8247" s="59"/>
    </row>
    <row r="8248" spans="3:5" x14ac:dyDescent="0.15">
      <c r="C8248" s="255" t="s">
        <v>1004</v>
      </c>
      <c r="D8248" s="59">
        <v>80.400000000000006</v>
      </c>
      <c r="E8248" s="59"/>
    </row>
    <row r="8249" spans="3:5" x14ac:dyDescent="0.15">
      <c r="C8249" s="255" t="s">
        <v>1005</v>
      </c>
      <c r="D8249" s="59">
        <v>287.3</v>
      </c>
      <c r="E8249" s="59"/>
    </row>
    <row r="8250" spans="3:5" x14ac:dyDescent="0.15">
      <c r="C8250" s="255" t="s">
        <v>1006</v>
      </c>
      <c r="D8250" s="59">
        <v>3680.1</v>
      </c>
      <c r="E8250" s="59"/>
    </row>
    <row r="8251" spans="3:5" x14ac:dyDescent="0.15">
      <c r="C8251" s="255" t="s">
        <v>1007</v>
      </c>
      <c r="D8251" s="59">
        <v>1040.9000000000001</v>
      </c>
      <c r="E8251" s="59"/>
    </row>
    <row r="8252" spans="3:5" x14ac:dyDescent="0.15">
      <c r="C8252" s="255" t="s">
        <v>1008</v>
      </c>
      <c r="D8252" s="59">
        <v>457.1</v>
      </c>
      <c r="E8252" s="59"/>
    </row>
    <row r="8253" spans="3:5" x14ac:dyDescent="0.15">
      <c r="C8253" s="255" t="s">
        <v>1009</v>
      </c>
      <c r="D8253" s="59">
        <v>197.4</v>
      </c>
      <c r="E8253" s="59"/>
    </row>
    <row r="8254" spans="3:5" x14ac:dyDescent="0.15">
      <c r="C8254" s="255" t="s">
        <v>1010</v>
      </c>
      <c r="D8254" s="59">
        <v>150.5</v>
      </c>
      <c r="E8254" s="59"/>
    </row>
    <row r="8255" spans="3:5" x14ac:dyDescent="0.15">
      <c r="C8255" s="255" t="s">
        <v>1011</v>
      </c>
      <c r="D8255" s="59">
        <v>235.9</v>
      </c>
      <c r="E8255" s="59"/>
    </row>
    <row r="8256" spans="3:5" x14ac:dyDescent="0.15">
      <c r="C8256" s="255" t="s">
        <v>1012</v>
      </c>
      <c r="D8256" s="59">
        <v>10996.3</v>
      </c>
      <c r="E8256" s="59"/>
    </row>
    <row r="8257" spans="3:5" x14ac:dyDescent="0.15">
      <c r="C8257" s="255" t="s">
        <v>1013</v>
      </c>
      <c r="D8257" s="59">
        <v>5518.9</v>
      </c>
      <c r="E8257" s="59"/>
    </row>
    <row r="8258" spans="3:5" x14ac:dyDescent="0.15">
      <c r="C8258" s="255" t="s">
        <v>1014</v>
      </c>
      <c r="D8258" s="59">
        <v>2434.9</v>
      </c>
      <c r="E8258" s="59"/>
    </row>
    <row r="8259" spans="3:5" x14ac:dyDescent="0.15">
      <c r="C8259" s="255" t="s">
        <v>1015</v>
      </c>
      <c r="D8259" s="59">
        <v>655.5</v>
      </c>
      <c r="E8259" s="59"/>
    </row>
    <row r="8260" spans="3:5" x14ac:dyDescent="0.15">
      <c r="C8260" s="255" t="s">
        <v>1016</v>
      </c>
      <c r="D8260" s="59">
        <v>929.6</v>
      </c>
      <c r="E8260" s="59"/>
    </row>
    <row r="8261" spans="3:5" x14ac:dyDescent="0.15">
      <c r="C8261" s="255" t="s">
        <v>1017</v>
      </c>
      <c r="D8261" s="59">
        <v>1457.4</v>
      </c>
      <c r="E8261" s="59"/>
    </row>
    <row r="8262" spans="3:5" x14ac:dyDescent="0.15">
      <c r="C8262" s="255" t="s">
        <v>1018</v>
      </c>
      <c r="D8262" s="59">
        <v>0</v>
      </c>
      <c r="E8262" s="59"/>
    </row>
    <row r="8263" spans="3:5" x14ac:dyDescent="0.15">
      <c r="C8263" s="255" t="s">
        <v>1019</v>
      </c>
      <c r="D8263" s="59">
        <v>21197.1</v>
      </c>
      <c r="E8263" s="59"/>
    </row>
    <row r="8264" spans="3:5" x14ac:dyDescent="0.15">
      <c r="C8264" s="255" t="s">
        <v>1020</v>
      </c>
      <c r="D8264" s="59">
        <v>293.7</v>
      </c>
      <c r="E8264" s="59"/>
    </row>
    <row r="8265" spans="3:5" x14ac:dyDescent="0.15">
      <c r="C8265" s="255" t="s">
        <v>1021</v>
      </c>
      <c r="D8265" s="59">
        <v>909</v>
      </c>
      <c r="E8265" s="59"/>
    </row>
    <row r="8266" spans="3:5" x14ac:dyDescent="0.15">
      <c r="C8266" s="255" t="s">
        <v>1022</v>
      </c>
      <c r="D8266" s="59">
        <v>490.5</v>
      </c>
      <c r="E8266" s="59"/>
    </row>
    <row r="8267" spans="3:5" x14ac:dyDescent="0.15">
      <c r="C8267" s="255" t="s">
        <v>1023</v>
      </c>
      <c r="D8267" s="59">
        <v>15.2</v>
      </c>
      <c r="E8267" s="59"/>
    </row>
    <row r="8268" spans="3:5" x14ac:dyDescent="0.15">
      <c r="C8268" s="255" t="s">
        <v>1024</v>
      </c>
      <c r="D8268" s="59">
        <v>0.8</v>
      </c>
      <c r="E8268" s="59"/>
    </row>
    <row r="8269" spans="3:5" x14ac:dyDescent="0.15">
      <c r="C8269" s="255" t="s">
        <v>1025</v>
      </c>
      <c r="D8269" s="59">
        <v>115.7</v>
      </c>
      <c r="E8269" s="59"/>
    </row>
    <row r="8270" spans="3:5" x14ac:dyDescent="0.15">
      <c r="C8270" s="255" t="s">
        <v>1026</v>
      </c>
      <c r="D8270" s="59">
        <v>2607.6</v>
      </c>
      <c r="E8270" s="59"/>
    </row>
    <row r="8271" spans="3:5" x14ac:dyDescent="0.15">
      <c r="C8271" s="255" t="s">
        <v>1027</v>
      </c>
      <c r="D8271" s="59">
        <v>0</v>
      </c>
      <c r="E8271" s="59"/>
    </row>
    <row r="8272" spans="3:5" x14ac:dyDescent="0.15">
      <c r="C8272" s="255" t="s">
        <v>1028</v>
      </c>
      <c r="D8272" s="59">
        <v>878.5</v>
      </c>
      <c r="E8272" s="59"/>
    </row>
    <row r="8273" spans="3:5" x14ac:dyDescent="0.15">
      <c r="C8273" s="255" t="s">
        <v>1029</v>
      </c>
      <c r="D8273" s="59">
        <v>222.4</v>
      </c>
      <c r="E8273" s="59"/>
    </row>
    <row r="8274" spans="3:5" x14ac:dyDescent="0.15">
      <c r="C8274" s="255" t="s">
        <v>1030</v>
      </c>
      <c r="D8274" s="59">
        <v>0.1</v>
      </c>
      <c r="E8274" s="59"/>
    </row>
    <row r="8275" spans="3:5" x14ac:dyDescent="0.15">
      <c r="C8275" s="255" t="s">
        <v>1031</v>
      </c>
      <c r="D8275" s="59">
        <v>142.1</v>
      </c>
      <c r="E8275" s="59"/>
    </row>
    <row r="8276" spans="3:5" x14ac:dyDescent="0.15">
      <c r="C8276" s="255" t="s">
        <v>1032</v>
      </c>
      <c r="D8276" s="59">
        <v>1788.1</v>
      </c>
      <c r="E8276" s="59"/>
    </row>
    <row r="8277" spans="3:5" x14ac:dyDescent="0.15">
      <c r="C8277" s="255" t="s">
        <v>1033</v>
      </c>
      <c r="D8277" s="59">
        <v>0</v>
      </c>
      <c r="E8277" s="59"/>
    </row>
    <row r="8278" spans="3:5" x14ac:dyDescent="0.15">
      <c r="C8278" s="255" t="s">
        <v>1034</v>
      </c>
      <c r="D8278" s="59">
        <v>223.4</v>
      </c>
      <c r="E8278" s="59"/>
    </row>
    <row r="8279" spans="3:5" x14ac:dyDescent="0.15">
      <c r="C8279" s="255" t="s">
        <v>1035</v>
      </c>
      <c r="D8279" s="59">
        <v>2786.1</v>
      </c>
      <c r="E8279" s="59"/>
    </row>
    <row r="8280" spans="3:5" x14ac:dyDescent="0.15">
      <c r="C8280" s="255" t="s">
        <v>1036</v>
      </c>
      <c r="D8280" s="59">
        <v>318.7</v>
      </c>
      <c r="E8280" s="59"/>
    </row>
    <row r="8281" spans="3:5" x14ac:dyDescent="0.15">
      <c r="C8281" s="255" t="s">
        <v>1037</v>
      </c>
      <c r="D8281" s="59">
        <v>544.20000000000005</v>
      </c>
      <c r="E8281" s="59"/>
    </row>
    <row r="8282" spans="3:5" x14ac:dyDescent="0.15">
      <c r="C8282" s="255" t="s">
        <v>1038</v>
      </c>
      <c r="D8282" s="59">
        <v>1865</v>
      </c>
      <c r="E8282" s="59"/>
    </row>
    <row r="8283" spans="3:5" x14ac:dyDescent="0.15">
      <c r="C8283" s="255" t="s">
        <v>1039</v>
      </c>
      <c r="D8283" s="59">
        <v>836.3</v>
      </c>
      <c r="E8283" s="59"/>
    </row>
    <row r="8284" spans="3:5" x14ac:dyDescent="0.15">
      <c r="C8284" s="255" t="s">
        <v>1040</v>
      </c>
      <c r="D8284" s="59">
        <v>3978.5</v>
      </c>
      <c r="E8284" s="59"/>
    </row>
    <row r="8285" spans="3:5" x14ac:dyDescent="0.15">
      <c r="C8285" s="255" t="s">
        <v>1041</v>
      </c>
      <c r="D8285" s="59">
        <v>286.5</v>
      </c>
      <c r="E8285" s="59"/>
    </row>
    <row r="8286" spans="3:5" x14ac:dyDescent="0.15">
      <c r="C8286" s="255" t="s">
        <v>1042</v>
      </c>
      <c r="D8286" s="59">
        <v>1885.7</v>
      </c>
      <c r="E8286" s="59"/>
    </row>
    <row r="8287" spans="3:5" x14ac:dyDescent="0.15">
      <c r="C8287" s="255" t="s">
        <v>1043</v>
      </c>
      <c r="D8287" s="59">
        <v>204.8</v>
      </c>
      <c r="E8287" s="59"/>
    </row>
    <row r="8288" spans="3:5" x14ac:dyDescent="0.15">
      <c r="C8288" s="255" t="s">
        <v>1044</v>
      </c>
      <c r="D8288" s="59">
        <v>351.9</v>
      </c>
      <c r="E8288" s="59"/>
    </row>
    <row r="8289" spans="2:5" x14ac:dyDescent="0.15">
      <c r="C8289" s="255" t="s">
        <v>1045</v>
      </c>
      <c r="D8289" s="59">
        <v>33.700000000000003</v>
      </c>
      <c r="E8289" s="59"/>
    </row>
    <row r="8290" spans="2:5" x14ac:dyDescent="0.15">
      <c r="C8290" s="255" t="s">
        <v>1046</v>
      </c>
      <c r="D8290" s="59">
        <v>233.5</v>
      </c>
      <c r="E8290" s="59"/>
    </row>
    <row r="8291" spans="2:5" x14ac:dyDescent="0.15">
      <c r="C8291" s="255" t="s">
        <v>1047</v>
      </c>
      <c r="D8291" s="59">
        <v>61.6</v>
      </c>
      <c r="E8291" s="59"/>
    </row>
    <row r="8292" spans="2:5" x14ac:dyDescent="0.15">
      <c r="C8292" s="255" t="s">
        <v>1048</v>
      </c>
      <c r="D8292" s="59">
        <v>123.3</v>
      </c>
      <c r="E8292" s="59"/>
    </row>
    <row r="8293" spans="2:5" x14ac:dyDescent="0.15">
      <c r="B8293" s="255" t="s">
        <v>304</v>
      </c>
      <c r="C8293" s="255" t="s">
        <v>743</v>
      </c>
      <c r="D8293" s="59">
        <v>443</v>
      </c>
      <c r="E8293" s="59"/>
    </row>
    <row r="8294" spans="2:5" x14ac:dyDescent="0.15">
      <c r="C8294" s="255" t="s">
        <v>744</v>
      </c>
      <c r="D8294" s="59">
        <v>717.2</v>
      </c>
      <c r="E8294" s="59"/>
    </row>
    <row r="8295" spans="2:5" x14ac:dyDescent="0.15">
      <c r="C8295" s="255" t="s">
        <v>745</v>
      </c>
      <c r="D8295" s="59">
        <v>1152.5</v>
      </c>
      <c r="E8295" s="59"/>
    </row>
    <row r="8296" spans="2:5" x14ac:dyDescent="0.15">
      <c r="C8296" s="255" t="s">
        <v>746</v>
      </c>
      <c r="D8296" s="59">
        <v>1.6</v>
      </c>
      <c r="E8296" s="59"/>
    </row>
    <row r="8297" spans="2:5" x14ac:dyDescent="0.15">
      <c r="C8297" s="255" t="s">
        <v>747</v>
      </c>
      <c r="D8297" s="59">
        <v>1.4</v>
      </c>
      <c r="E8297" s="59"/>
    </row>
    <row r="8298" spans="2:5" x14ac:dyDescent="0.15">
      <c r="C8298" s="255" t="s">
        <v>748</v>
      </c>
      <c r="D8298" s="59">
        <v>0.3</v>
      </c>
      <c r="E8298" s="59"/>
    </row>
    <row r="8299" spans="2:5" x14ac:dyDescent="0.15">
      <c r="C8299" s="255" t="s">
        <v>749</v>
      </c>
      <c r="D8299" s="59">
        <v>0</v>
      </c>
      <c r="E8299" s="59"/>
    </row>
    <row r="8300" spans="2:5" x14ac:dyDescent="0.15">
      <c r="C8300" s="255" t="s">
        <v>750</v>
      </c>
      <c r="D8300" s="59">
        <v>0.5</v>
      </c>
      <c r="E8300" s="59"/>
    </row>
    <row r="8301" spans="2:5" x14ac:dyDescent="0.15">
      <c r="C8301" s="255" t="s">
        <v>751</v>
      </c>
      <c r="D8301" s="59">
        <v>47.1</v>
      </c>
      <c r="E8301" s="59"/>
    </row>
    <row r="8302" spans="2:5" x14ac:dyDescent="0.15">
      <c r="C8302" s="255" t="s">
        <v>752</v>
      </c>
      <c r="D8302" s="59">
        <v>1.3</v>
      </c>
      <c r="E8302" s="59"/>
    </row>
    <row r="8303" spans="2:5" x14ac:dyDescent="0.15">
      <c r="C8303" s="255" t="s">
        <v>753</v>
      </c>
      <c r="D8303" s="59">
        <v>76.900000000000006</v>
      </c>
      <c r="E8303" s="59"/>
    </row>
    <row r="8304" spans="2:5" x14ac:dyDescent="0.15">
      <c r="C8304" s="255" t="s">
        <v>754</v>
      </c>
      <c r="D8304" s="59">
        <v>1953.3</v>
      </c>
      <c r="E8304" s="59"/>
    </row>
    <row r="8305" spans="3:5" x14ac:dyDescent="0.15">
      <c r="C8305" s="255" t="s">
        <v>192</v>
      </c>
      <c r="D8305" s="59">
        <v>217831.6</v>
      </c>
      <c r="E8305" s="59"/>
    </row>
    <row r="8306" spans="3:5" x14ac:dyDescent="0.15">
      <c r="C8306" s="255" t="s">
        <v>755</v>
      </c>
      <c r="D8306" s="59">
        <v>26894</v>
      </c>
      <c r="E8306" s="59"/>
    </row>
    <row r="8307" spans="3:5" x14ac:dyDescent="0.15">
      <c r="C8307" s="255" t="s">
        <v>756</v>
      </c>
      <c r="D8307" s="59">
        <v>189.4</v>
      </c>
      <c r="E8307" s="59"/>
    </row>
    <row r="8308" spans="3:5" x14ac:dyDescent="0.15">
      <c r="C8308" s="255" t="s">
        <v>757</v>
      </c>
      <c r="D8308" s="59">
        <v>80.099999999999994</v>
      </c>
      <c r="E8308" s="59"/>
    </row>
    <row r="8309" spans="3:5" x14ac:dyDescent="0.15">
      <c r="C8309" s="255" t="s">
        <v>758</v>
      </c>
      <c r="D8309" s="59">
        <v>1605.6</v>
      </c>
      <c r="E8309" s="59"/>
    </row>
    <row r="8310" spans="3:5" x14ac:dyDescent="0.15">
      <c r="C8310" s="255" t="s">
        <v>759</v>
      </c>
      <c r="D8310" s="59">
        <v>1116</v>
      </c>
      <c r="E8310" s="59"/>
    </row>
    <row r="8311" spans="3:5" x14ac:dyDescent="0.15">
      <c r="C8311" s="255" t="s">
        <v>760</v>
      </c>
      <c r="D8311" s="59">
        <v>143.1</v>
      </c>
      <c r="E8311" s="59"/>
    </row>
    <row r="8312" spans="3:5" x14ac:dyDescent="0.15">
      <c r="C8312" s="255" t="s">
        <v>761</v>
      </c>
      <c r="D8312" s="59">
        <v>269.3</v>
      </c>
      <c r="E8312" s="59"/>
    </row>
    <row r="8313" spans="3:5" x14ac:dyDescent="0.15">
      <c r="C8313" s="255" t="s">
        <v>762</v>
      </c>
      <c r="D8313" s="59">
        <v>266.10000000000002</v>
      </c>
      <c r="E8313" s="59"/>
    </row>
    <row r="8314" spans="3:5" x14ac:dyDescent="0.15">
      <c r="C8314" s="255" t="s">
        <v>763</v>
      </c>
      <c r="D8314" s="59">
        <v>127.7</v>
      </c>
      <c r="E8314" s="59"/>
    </row>
    <row r="8315" spans="3:5" x14ac:dyDescent="0.15">
      <c r="C8315" s="255" t="s">
        <v>764</v>
      </c>
      <c r="D8315" s="59">
        <v>1282.7</v>
      </c>
      <c r="E8315" s="59"/>
    </row>
    <row r="8316" spans="3:5" x14ac:dyDescent="0.15">
      <c r="C8316" s="255" t="s">
        <v>765</v>
      </c>
      <c r="D8316" s="59">
        <v>582.20000000000005</v>
      </c>
      <c r="E8316" s="59"/>
    </row>
    <row r="8317" spans="3:5" x14ac:dyDescent="0.15">
      <c r="C8317" s="255" t="s">
        <v>766</v>
      </c>
      <c r="D8317" s="59">
        <v>178.2</v>
      </c>
      <c r="E8317" s="59"/>
    </row>
    <row r="8318" spans="3:5" x14ac:dyDescent="0.15">
      <c r="C8318" s="255" t="s">
        <v>767</v>
      </c>
      <c r="D8318" s="59">
        <v>948.7</v>
      </c>
      <c r="E8318" s="59"/>
    </row>
    <row r="8319" spans="3:5" x14ac:dyDescent="0.15">
      <c r="C8319" s="255" t="s">
        <v>768</v>
      </c>
      <c r="D8319" s="59">
        <v>19</v>
      </c>
      <c r="E8319" s="59"/>
    </row>
    <row r="8320" spans="3:5" x14ac:dyDescent="0.15">
      <c r="C8320" s="255" t="s">
        <v>769</v>
      </c>
      <c r="D8320" s="59">
        <v>14.8</v>
      </c>
      <c r="E8320" s="59"/>
    </row>
    <row r="8321" spans="3:5" x14ac:dyDescent="0.15">
      <c r="C8321" s="255" t="s">
        <v>770</v>
      </c>
      <c r="D8321" s="59">
        <v>950.3</v>
      </c>
      <c r="E8321" s="59"/>
    </row>
    <row r="8322" spans="3:5" x14ac:dyDescent="0.15">
      <c r="C8322" s="255" t="s">
        <v>771</v>
      </c>
      <c r="D8322" s="59">
        <v>1177.7</v>
      </c>
      <c r="E8322" s="59"/>
    </row>
    <row r="8323" spans="3:5" x14ac:dyDescent="0.15">
      <c r="C8323" s="255" t="s">
        <v>772</v>
      </c>
      <c r="D8323" s="59">
        <v>399.6</v>
      </c>
      <c r="E8323" s="59"/>
    </row>
    <row r="8324" spans="3:5" x14ac:dyDescent="0.15">
      <c r="C8324" s="255" t="s">
        <v>773</v>
      </c>
      <c r="D8324" s="59">
        <v>93.9</v>
      </c>
      <c r="E8324" s="59"/>
    </row>
    <row r="8325" spans="3:5" x14ac:dyDescent="0.15">
      <c r="C8325" s="255" t="s">
        <v>774</v>
      </c>
      <c r="D8325" s="59">
        <v>35.5</v>
      </c>
      <c r="E8325" s="59"/>
    </row>
    <row r="8326" spans="3:5" x14ac:dyDescent="0.15">
      <c r="C8326" s="255" t="s">
        <v>775</v>
      </c>
      <c r="D8326" s="59">
        <v>80.900000000000006</v>
      </c>
      <c r="E8326" s="59"/>
    </row>
    <row r="8327" spans="3:5" x14ac:dyDescent="0.15">
      <c r="C8327" s="255" t="s">
        <v>776</v>
      </c>
      <c r="D8327" s="59">
        <v>183</v>
      </c>
      <c r="E8327" s="59"/>
    </row>
    <row r="8328" spans="3:5" x14ac:dyDescent="0.15">
      <c r="C8328" s="255" t="s">
        <v>777</v>
      </c>
      <c r="D8328" s="59">
        <v>489.7</v>
      </c>
      <c r="E8328" s="59"/>
    </row>
    <row r="8329" spans="3:5" x14ac:dyDescent="0.15">
      <c r="C8329" s="255" t="s">
        <v>778</v>
      </c>
      <c r="D8329" s="59">
        <v>350.4</v>
      </c>
      <c r="E8329" s="59"/>
    </row>
    <row r="8330" spans="3:5" x14ac:dyDescent="0.15">
      <c r="C8330" s="255" t="s">
        <v>779</v>
      </c>
      <c r="D8330" s="59">
        <v>367.9</v>
      </c>
      <c r="E8330" s="59"/>
    </row>
    <row r="8331" spans="3:5" x14ac:dyDescent="0.15">
      <c r="C8331" s="255" t="s">
        <v>780</v>
      </c>
      <c r="D8331" s="59">
        <v>7.1</v>
      </c>
      <c r="E8331" s="59"/>
    </row>
    <row r="8332" spans="3:5" x14ac:dyDescent="0.15">
      <c r="C8332" s="255" t="s">
        <v>781</v>
      </c>
      <c r="D8332" s="59">
        <v>566.4</v>
      </c>
      <c r="E8332" s="59"/>
    </row>
    <row r="8333" spans="3:5" x14ac:dyDescent="0.15">
      <c r="C8333" s="255" t="s">
        <v>782</v>
      </c>
      <c r="D8333" s="59">
        <v>1307.8</v>
      </c>
      <c r="E8333" s="59"/>
    </row>
    <row r="8334" spans="3:5" x14ac:dyDescent="0.15">
      <c r="C8334" s="255" t="s">
        <v>783</v>
      </c>
      <c r="D8334" s="59">
        <v>547.70000000000005</v>
      </c>
      <c r="E8334" s="59"/>
    </row>
    <row r="8335" spans="3:5" x14ac:dyDescent="0.15">
      <c r="C8335" s="255" t="s">
        <v>784</v>
      </c>
      <c r="D8335" s="59">
        <v>513.29999999999995</v>
      </c>
      <c r="E8335" s="59"/>
    </row>
    <row r="8336" spans="3:5" x14ac:dyDescent="0.15">
      <c r="C8336" s="255" t="s">
        <v>785</v>
      </c>
      <c r="D8336" s="59">
        <v>396.8</v>
      </c>
      <c r="E8336" s="59"/>
    </row>
    <row r="8337" spans="3:5" x14ac:dyDescent="0.15">
      <c r="C8337" s="255" t="s">
        <v>786</v>
      </c>
      <c r="D8337" s="59">
        <v>111.5</v>
      </c>
      <c r="E8337" s="59"/>
    </row>
    <row r="8338" spans="3:5" x14ac:dyDescent="0.15">
      <c r="C8338" s="255" t="s">
        <v>787</v>
      </c>
      <c r="D8338" s="59">
        <v>60.4</v>
      </c>
      <c r="E8338" s="59"/>
    </row>
    <row r="8339" spans="3:5" x14ac:dyDescent="0.15">
      <c r="C8339" s="255" t="s">
        <v>788</v>
      </c>
      <c r="D8339" s="59">
        <v>92.9</v>
      </c>
      <c r="E8339" s="59"/>
    </row>
    <row r="8340" spans="3:5" x14ac:dyDescent="0.15">
      <c r="C8340" s="255" t="s">
        <v>789</v>
      </c>
      <c r="D8340" s="59">
        <v>15.7</v>
      </c>
      <c r="E8340" s="59"/>
    </row>
    <row r="8341" spans="3:5" x14ac:dyDescent="0.15">
      <c r="C8341" s="255" t="s">
        <v>790</v>
      </c>
      <c r="D8341" s="59">
        <v>1691.7</v>
      </c>
      <c r="E8341" s="59"/>
    </row>
    <row r="8342" spans="3:5" x14ac:dyDescent="0.15">
      <c r="C8342" s="255" t="s">
        <v>791</v>
      </c>
      <c r="D8342" s="59">
        <v>45.3</v>
      </c>
      <c r="E8342" s="59"/>
    </row>
    <row r="8343" spans="3:5" x14ac:dyDescent="0.15">
      <c r="C8343" s="255" t="s">
        <v>792</v>
      </c>
      <c r="D8343" s="59">
        <v>624.70000000000005</v>
      </c>
      <c r="E8343" s="59"/>
    </row>
    <row r="8344" spans="3:5" x14ac:dyDescent="0.15">
      <c r="C8344" s="255" t="s">
        <v>793</v>
      </c>
      <c r="D8344" s="59">
        <v>124.1</v>
      </c>
      <c r="E8344" s="59"/>
    </row>
    <row r="8345" spans="3:5" x14ac:dyDescent="0.15">
      <c r="C8345" s="255" t="s">
        <v>794</v>
      </c>
      <c r="D8345" s="59">
        <v>1812.7</v>
      </c>
      <c r="E8345" s="59"/>
    </row>
    <row r="8346" spans="3:5" x14ac:dyDescent="0.15">
      <c r="C8346" s="255" t="s">
        <v>795</v>
      </c>
      <c r="D8346" s="59">
        <v>188.4</v>
      </c>
      <c r="E8346" s="59"/>
    </row>
    <row r="8347" spans="3:5" x14ac:dyDescent="0.15">
      <c r="C8347" s="255" t="s">
        <v>796</v>
      </c>
      <c r="D8347" s="59">
        <v>440.4</v>
      </c>
      <c r="E8347" s="59"/>
    </row>
    <row r="8348" spans="3:5" x14ac:dyDescent="0.15">
      <c r="C8348" s="255" t="s">
        <v>797</v>
      </c>
      <c r="D8348" s="59">
        <v>406.5</v>
      </c>
      <c r="E8348" s="59"/>
    </row>
    <row r="8349" spans="3:5" x14ac:dyDescent="0.15">
      <c r="C8349" s="255" t="s">
        <v>798</v>
      </c>
      <c r="D8349" s="59">
        <v>258.39999999999998</v>
      </c>
      <c r="E8349" s="59"/>
    </row>
    <row r="8350" spans="3:5" x14ac:dyDescent="0.15">
      <c r="C8350" s="255" t="s">
        <v>799</v>
      </c>
      <c r="D8350" s="59">
        <v>66</v>
      </c>
      <c r="E8350" s="59"/>
    </row>
    <row r="8351" spans="3:5" x14ac:dyDescent="0.15">
      <c r="C8351" s="255" t="s">
        <v>800</v>
      </c>
      <c r="D8351" s="59">
        <v>78.099999999999994</v>
      </c>
      <c r="E8351" s="59"/>
    </row>
    <row r="8352" spans="3:5" x14ac:dyDescent="0.15">
      <c r="C8352" s="255" t="s">
        <v>801</v>
      </c>
      <c r="D8352" s="59">
        <v>200.3</v>
      </c>
      <c r="E8352" s="59"/>
    </row>
    <row r="8353" spans="3:5" x14ac:dyDescent="0.15">
      <c r="C8353" s="255" t="s">
        <v>802</v>
      </c>
      <c r="D8353" s="59">
        <v>892.3</v>
      </c>
      <c r="E8353" s="59"/>
    </row>
    <row r="8354" spans="3:5" x14ac:dyDescent="0.15">
      <c r="C8354" s="255" t="s">
        <v>803</v>
      </c>
      <c r="D8354" s="59">
        <v>907.5</v>
      </c>
      <c r="E8354" s="59"/>
    </row>
    <row r="8355" spans="3:5" x14ac:dyDescent="0.15">
      <c r="C8355" s="255" t="s">
        <v>804</v>
      </c>
      <c r="D8355" s="59">
        <v>509.4</v>
      </c>
      <c r="E8355" s="59"/>
    </row>
    <row r="8356" spans="3:5" x14ac:dyDescent="0.15">
      <c r="C8356" s="255" t="s">
        <v>805</v>
      </c>
      <c r="D8356" s="59">
        <v>3.3</v>
      </c>
      <c r="E8356" s="59"/>
    </row>
    <row r="8357" spans="3:5" x14ac:dyDescent="0.15">
      <c r="C8357" s="255" t="s">
        <v>806</v>
      </c>
      <c r="D8357" s="59">
        <v>601.29999999999995</v>
      </c>
      <c r="E8357" s="59"/>
    </row>
    <row r="8358" spans="3:5" x14ac:dyDescent="0.15">
      <c r="C8358" s="255" t="s">
        <v>807</v>
      </c>
      <c r="D8358" s="59">
        <v>281.2</v>
      </c>
      <c r="E8358" s="59"/>
    </row>
    <row r="8359" spans="3:5" x14ac:dyDescent="0.15">
      <c r="C8359" s="255" t="s">
        <v>808</v>
      </c>
      <c r="D8359" s="59">
        <v>69.5</v>
      </c>
      <c r="E8359" s="59"/>
    </row>
    <row r="8360" spans="3:5" x14ac:dyDescent="0.15">
      <c r="C8360" s="255" t="s">
        <v>809</v>
      </c>
      <c r="D8360" s="59">
        <v>299</v>
      </c>
      <c r="E8360" s="59"/>
    </row>
    <row r="8361" spans="3:5" x14ac:dyDescent="0.15">
      <c r="C8361" s="255" t="s">
        <v>810</v>
      </c>
      <c r="D8361" s="59">
        <v>203.5</v>
      </c>
      <c r="E8361" s="59"/>
    </row>
    <row r="8362" spans="3:5" x14ac:dyDescent="0.15">
      <c r="C8362" s="255" t="s">
        <v>811</v>
      </c>
      <c r="D8362" s="59">
        <v>715.4</v>
      </c>
      <c r="E8362" s="59"/>
    </row>
    <row r="8363" spans="3:5" x14ac:dyDescent="0.15">
      <c r="C8363" s="255" t="s">
        <v>812</v>
      </c>
      <c r="D8363" s="59">
        <v>169.5</v>
      </c>
      <c r="E8363" s="59"/>
    </row>
    <row r="8364" spans="3:5" x14ac:dyDescent="0.15">
      <c r="C8364" s="255" t="s">
        <v>813</v>
      </c>
      <c r="D8364" s="59">
        <v>19.3</v>
      </c>
      <c r="E8364" s="59"/>
    </row>
    <row r="8365" spans="3:5" x14ac:dyDescent="0.15">
      <c r="C8365" s="255" t="s">
        <v>814</v>
      </c>
      <c r="D8365" s="59">
        <v>143.9</v>
      </c>
      <c r="E8365" s="59"/>
    </row>
    <row r="8366" spans="3:5" x14ac:dyDescent="0.15">
      <c r="C8366" s="255" t="s">
        <v>815</v>
      </c>
      <c r="D8366" s="59">
        <v>1040.7</v>
      </c>
      <c r="E8366" s="59"/>
    </row>
    <row r="8367" spans="3:5" x14ac:dyDescent="0.15">
      <c r="C8367" s="255" t="s">
        <v>816</v>
      </c>
      <c r="D8367" s="59">
        <v>530.4</v>
      </c>
      <c r="E8367" s="59"/>
    </row>
    <row r="8368" spans="3:5" x14ac:dyDescent="0.15">
      <c r="C8368" s="255" t="s">
        <v>817</v>
      </c>
      <c r="D8368" s="59">
        <v>4980.5</v>
      </c>
      <c r="E8368" s="59"/>
    </row>
    <row r="8369" spans="3:5" x14ac:dyDescent="0.15">
      <c r="C8369" s="255" t="s">
        <v>818</v>
      </c>
      <c r="D8369" s="59">
        <v>462.8</v>
      </c>
      <c r="E8369" s="59"/>
    </row>
    <row r="8370" spans="3:5" x14ac:dyDescent="0.15">
      <c r="C8370" s="255" t="s">
        <v>819</v>
      </c>
      <c r="D8370" s="59">
        <v>11.3</v>
      </c>
      <c r="E8370" s="59"/>
    </row>
    <row r="8371" spans="3:5" x14ac:dyDescent="0.15">
      <c r="C8371" s="255" t="s">
        <v>820</v>
      </c>
      <c r="D8371" s="59">
        <v>1137.5999999999999</v>
      </c>
      <c r="E8371" s="59"/>
    </row>
    <row r="8372" spans="3:5" x14ac:dyDescent="0.15">
      <c r="C8372" s="255" t="s">
        <v>821</v>
      </c>
      <c r="D8372" s="59">
        <v>38.799999999999997</v>
      </c>
      <c r="E8372" s="59"/>
    </row>
    <row r="8373" spans="3:5" x14ac:dyDescent="0.15">
      <c r="C8373" s="255" t="s">
        <v>822</v>
      </c>
      <c r="D8373" s="59">
        <v>88.6</v>
      </c>
      <c r="E8373" s="59"/>
    </row>
    <row r="8374" spans="3:5" x14ac:dyDescent="0.15">
      <c r="C8374" s="255" t="s">
        <v>823</v>
      </c>
      <c r="D8374" s="59">
        <v>3.4</v>
      </c>
      <c r="E8374" s="59"/>
    </row>
    <row r="8375" spans="3:5" x14ac:dyDescent="0.15">
      <c r="C8375" s="255" t="s">
        <v>824</v>
      </c>
      <c r="D8375" s="59">
        <v>368.7</v>
      </c>
      <c r="E8375" s="59"/>
    </row>
    <row r="8376" spans="3:5" x14ac:dyDescent="0.15">
      <c r="C8376" s="255" t="s">
        <v>825</v>
      </c>
      <c r="D8376" s="59">
        <v>372.4</v>
      </c>
      <c r="E8376" s="59"/>
    </row>
    <row r="8377" spans="3:5" x14ac:dyDescent="0.15">
      <c r="C8377" s="255" t="s">
        <v>826</v>
      </c>
      <c r="D8377" s="59">
        <v>7.7</v>
      </c>
      <c r="E8377" s="59"/>
    </row>
    <row r="8378" spans="3:5" x14ac:dyDescent="0.15">
      <c r="C8378" s="255" t="s">
        <v>827</v>
      </c>
      <c r="D8378" s="59">
        <v>5.2</v>
      </c>
      <c r="E8378" s="59"/>
    </row>
    <row r="8379" spans="3:5" x14ac:dyDescent="0.15">
      <c r="C8379" s="255" t="s">
        <v>828</v>
      </c>
      <c r="D8379" s="59">
        <v>2058.5</v>
      </c>
      <c r="E8379" s="59"/>
    </row>
    <row r="8380" spans="3:5" x14ac:dyDescent="0.15">
      <c r="C8380" s="255" t="s">
        <v>829</v>
      </c>
      <c r="D8380" s="59">
        <v>3.5</v>
      </c>
      <c r="E8380" s="59"/>
    </row>
    <row r="8381" spans="3:5" x14ac:dyDescent="0.15">
      <c r="C8381" s="255" t="s">
        <v>830</v>
      </c>
      <c r="D8381" s="59">
        <v>421.8</v>
      </c>
      <c r="E8381" s="59"/>
    </row>
    <row r="8382" spans="3:5" x14ac:dyDescent="0.15">
      <c r="C8382" s="255" t="s">
        <v>831</v>
      </c>
      <c r="D8382" s="59">
        <v>0</v>
      </c>
      <c r="E8382" s="59"/>
    </row>
    <row r="8383" spans="3:5" x14ac:dyDescent="0.15">
      <c r="C8383" s="255" t="s">
        <v>832</v>
      </c>
      <c r="D8383" s="59">
        <v>8621.5</v>
      </c>
      <c r="E8383" s="59"/>
    </row>
    <row r="8384" spans="3:5" x14ac:dyDescent="0.15">
      <c r="C8384" s="255" t="s">
        <v>833</v>
      </c>
      <c r="D8384" s="59">
        <v>45.1</v>
      </c>
      <c r="E8384" s="59"/>
    </row>
    <row r="8385" spans="3:5" x14ac:dyDescent="0.15">
      <c r="C8385" s="255" t="s">
        <v>834</v>
      </c>
      <c r="D8385" s="59">
        <v>1637.7</v>
      </c>
      <c r="E8385" s="59"/>
    </row>
    <row r="8386" spans="3:5" x14ac:dyDescent="0.15">
      <c r="C8386" s="255" t="s">
        <v>835</v>
      </c>
      <c r="D8386" s="59">
        <v>3979.2</v>
      </c>
      <c r="E8386" s="59"/>
    </row>
    <row r="8387" spans="3:5" x14ac:dyDescent="0.15">
      <c r="C8387" s="255" t="s">
        <v>836</v>
      </c>
      <c r="D8387" s="59">
        <v>1062.8</v>
      </c>
      <c r="E8387" s="59"/>
    </row>
    <row r="8388" spans="3:5" x14ac:dyDescent="0.15">
      <c r="C8388" s="255" t="s">
        <v>837</v>
      </c>
      <c r="D8388" s="59">
        <v>311.3</v>
      </c>
      <c r="E8388" s="59"/>
    </row>
    <row r="8389" spans="3:5" x14ac:dyDescent="0.15">
      <c r="C8389" s="255" t="s">
        <v>838</v>
      </c>
      <c r="D8389" s="59">
        <v>163.30000000000001</v>
      </c>
      <c r="E8389" s="59"/>
    </row>
    <row r="8390" spans="3:5" x14ac:dyDescent="0.15">
      <c r="C8390" s="255" t="s">
        <v>839</v>
      </c>
      <c r="D8390" s="59">
        <v>69.8</v>
      </c>
      <c r="E8390" s="59"/>
    </row>
    <row r="8391" spans="3:5" x14ac:dyDescent="0.15">
      <c r="C8391" s="255" t="s">
        <v>840</v>
      </c>
      <c r="D8391" s="59">
        <v>18.7</v>
      </c>
      <c r="E8391" s="59"/>
    </row>
    <row r="8392" spans="3:5" x14ac:dyDescent="0.15">
      <c r="C8392" s="255" t="s">
        <v>841</v>
      </c>
      <c r="D8392" s="59">
        <v>426.1</v>
      </c>
      <c r="E8392" s="59"/>
    </row>
    <row r="8393" spans="3:5" x14ac:dyDescent="0.15">
      <c r="C8393" s="255" t="s">
        <v>842</v>
      </c>
      <c r="D8393" s="59">
        <v>726.1</v>
      </c>
      <c r="E8393" s="59"/>
    </row>
    <row r="8394" spans="3:5" x14ac:dyDescent="0.15">
      <c r="C8394" s="255" t="s">
        <v>843</v>
      </c>
      <c r="D8394" s="59">
        <v>174</v>
      </c>
      <c r="E8394" s="59"/>
    </row>
    <row r="8395" spans="3:5" x14ac:dyDescent="0.15">
      <c r="C8395" s="255" t="s">
        <v>844</v>
      </c>
      <c r="D8395" s="59">
        <v>7.5</v>
      </c>
      <c r="E8395" s="59"/>
    </row>
    <row r="8396" spans="3:5" x14ac:dyDescent="0.15">
      <c r="C8396" s="255" t="s">
        <v>845</v>
      </c>
      <c r="D8396" s="59">
        <v>81071</v>
      </c>
      <c r="E8396" s="59"/>
    </row>
    <row r="8397" spans="3:5" x14ac:dyDescent="0.15">
      <c r="C8397" s="255" t="s">
        <v>846</v>
      </c>
      <c r="D8397" s="59">
        <v>57070.6</v>
      </c>
      <c r="E8397" s="59"/>
    </row>
    <row r="8398" spans="3:5" x14ac:dyDescent="0.15">
      <c r="C8398" s="255" t="s">
        <v>847</v>
      </c>
      <c r="D8398" s="59">
        <v>138</v>
      </c>
      <c r="E8398" s="59"/>
    </row>
    <row r="8399" spans="3:5" x14ac:dyDescent="0.15">
      <c r="C8399" s="255" t="s">
        <v>848</v>
      </c>
      <c r="D8399" s="59">
        <v>276.2</v>
      </c>
      <c r="E8399" s="59"/>
    </row>
    <row r="8400" spans="3:5" x14ac:dyDescent="0.15">
      <c r="C8400" s="255" t="s">
        <v>849</v>
      </c>
      <c r="D8400" s="59">
        <v>896.9</v>
      </c>
      <c r="E8400" s="59"/>
    </row>
    <row r="8401" spans="3:5" x14ac:dyDescent="0.15">
      <c r="C8401" s="255" t="s">
        <v>850</v>
      </c>
      <c r="D8401" s="59">
        <v>296.5</v>
      </c>
      <c r="E8401" s="59"/>
    </row>
    <row r="8402" spans="3:5" x14ac:dyDescent="0.15">
      <c r="C8402" s="255" t="s">
        <v>851</v>
      </c>
      <c r="D8402" s="59">
        <v>0</v>
      </c>
      <c r="E8402" s="59"/>
    </row>
    <row r="8403" spans="3:5" x14ac:dyDescent="0.15">
      <c r="C8403" s="255" t="s">
        <v>852</v>
      </c>
      <c r="D8403" s="59">
        <v>0</v>
      </c>
      <c r="E8403" s="59"/>
    </row>
    <row r="8404" spans="3:5" x14ac:dyDescent="0.15">
      <c r="C8404" s="255" t="s">
        <v>853</v>
      </c>
      <c r="D8404" s="59">
        <v>0</v>
      </c>
      <c r="E8404" s="59"/>
    </row>
    <row r="8405" spans="3:5" x14ac:dyDescent="0.15">
      <c r="C8405" s="255" t="s">
        <v>854</v>
      </c>
      <c r="D8405" s="59">
        <v>0</v>
      </c>
      <c r="E8405" s="59"/>
    </row>
    <row r="8406" spans="3:5" x14ac:dyDescent="0.15">
      <c r="C8406" s="255" t="s">
        <v>855</v>
      </c>
      <c r="D8406" s="59">
        <v>0</v>
      </c>
      <c r="E8406" s="59"/>
    </row>
    <row r="8407" spans="3:5" x14ac:dyDescent="0.15">
      <c r="C8407" s="255" t="s">
        <v>856</v>
      </c>
      <c r="D8407" s="59">
        <v>343.4</v>
      </c>
      <c r="E8407" s="59"/>
    </row>
    <row r="8408" spans="3:5" x14ac:dyDescent="0.15">
      <c r="C8408" s="255" t="s">
        <v>857</v>
      </c>
      <c r="D8408" s="59">
        <v>2245.6</v>
      </c>
      <c r="E8408" s="59"/>
    </row>
    <row r="8409" spans="3:5" x14ac:dyDescent="0.15">
      <c r="C8409" s="255" t="s">
        <v>858</v>
      </c>
      <c r="D8409" s="59">
        <v>2181.4</v>
      </c>
      <c r="E8409" s="59"/>
    </row>
    <row r="8410" spans="3:5" x14ac:dyDescent="0.15">
      <c r="C8410" s="255" t="s">
        <v>859</v>
      </c>
      <c r="D8410" s="59">
        <v>694.9</v>
      </c>
      <c r="E8410" s="59"/>
    </row>
    <row r="8411" spans="3:5" x14ac:dyDescent="0.15">
      <c r="C8411" s="255" t="s">
        <v>860</v>
      </c>
      <c r="D8411" s="59">
        <v>6.9</v>
      </c>
      <c r="E8411" s="59"/>
    </row>
    <row r="8412" spans="3:5" x14ac:dyDescent="0.15">
      <c r="C8412" s="255" t="s">
        <v>861</v>
      </c>
      <c r="D8412" s="59">
        <v>321.89999999999998</v>
      </c>
      <c r="E8412" s="59"/>
    </row>
    <row r="8413" spans="3:5" x14ac:dyDescent="0.15">
      <c r="C8413" s="255" t="s">
        <v>862</v>
      </c>
      <c r="D8413" s="59">
        <v>4986.8999999999996</v>
      </c>
      <c r="E8413" s="59"/>
    </row>
    <row r="8414" spans="3:5" x14ac:dyDescent="0.15">
      <c r="C8414" s="255" t="s">
        <v>863</v>
      </c>
      <c r="D8414" s="59">
        <v>207.8</v>
      </c>
      <c r="E8414" s="59"/>
    </row>
    <row r="8415" spans="3:5" x14ac:dyDescent="0.15">
      <c r="C8415" s="255" t="s">
        <v>864</v>
      </c>
      <c r="D8415" s="59">
        <v>142.6</v>
      </c>
      <c r="E8415" s="59"/>
    </row>
    <row r="8416" spans="3:5" x14ac:dyDescent="0.15">
      <c r="C8416" s="255" t="s">
        <v>865</v>
      </c>
      <c r="D8416" s="59">
        <v>72.7</v>
      </c>
      <c r="E8416" s="59"/>
    </row>
    <row r="8417" spans="3:5" x14ac:dyDescent="0.15">
      <c r="C8417" s="255" t="s">
        <v>866</v>
      </c>
      <c r="D8417" s="59">
        <v>5.9</v>
      </c>
      <c r="E8417" s="59"/>
    </row>
    <row r="8418" spans="3:5" x14ac:dyDescent="0.15">
      <c r="C8418" s="255" t="s">
        <v>867</v>
      </c>
      <c r="D8418" s="59">
        <v>61</v>
      </c>
      <c r="E8418" s="59"/>
    </row>
    <row r="8419" spans="3:5" x14ac:dyDescent="0.15">
      <c r="C8419" s="255" t="s">
        <v>868</v>
      </c>
      <c r="D8419" s="59">
        <v>11121.9</v>
      </c>
      <c r="E8419" s="59"/>
    </row>
    <row r="8420" spans="3:5" x14ac:dyDescent="0.15">
      <c r="C8420" s="255" t="s">
        <v>869</v>
      </c>
      <c r="D8420" s="59">
        <v>9377.1</v>
      </c>
      <c r="E8420" s="59"/>
    </row>
    <row r="8421" spans="3:5" x14ac:dyDescent="0.15">
      <c r="C8421" s="255" t="s">
        <v>870</v>
      </c>
      <c r="D8421" s="59">
        <v>3280.8</v>
      </c>
      <c r="E8421" s="59"/>
    </row>
    <row r="8422" spans="3:5" x14ac:dyDescent="0.15">
      <c r="C8422" s="255" t="s">
        <v>871</v>
      </c>
      <c r="D8422" s="59">
        <v>78.5</v>
      </c>
      <c r="E8422" s="59"/>
    </row>
    <row r="8423" spans="3:5" x14ac:dyDescent="0.15">
      <c r="C8423" s="255" t="s">
        <v>872</v>
      </c>
      <c r="D8423" s="59">
        <v>162.19999999999999</v>
      </c>
      <c r="E8423" s="59"/>
    </row>
    <row r="8424" spans="3:5" x14ac:dyDescent="0.15">
      <c r="C8424" s="255" t="s">
        <v>873</v>
      </c>
      <c r="D8424" s="59">
        <v>781.6</v>
      </c>
      <c r="E8424" s="59"/>
    </row>
    <row r="8425" spans="3:5" x14ac:dyDescent="0.15">
      <c r="C8425" s="255" t="s">
        <v>874</v>
      </c>
      <c r="D8425" s="59">
        <v>423.9</v>
      </c>
      <c r="E8425" s="59"/>
    </row>
    <row r="8426" spans="3:5" x14ac:dyDescent="0.15">
      <c r="C8426" s="255" t="s">
        <v>875</v>
      </c>
      <c r="D8426" s="59">
        <v>2.5</v>
      </c>
      <c r="E8426" s="59"/>
    </row>
    <row r="8427" spans="3:5" x14ac:dyDescent="0.15">
      <c r="C8427" s="255" t="s">
        <v>876</v>
      </c>
      <c r="D8427" s="59">
        <v>0</v>
      </c>
      <c r="E8427" s="59"/>
    </row>
    <row r="8428" spans="3:5" x14ac:dyDescent="0.15">
      <c r="C8428" s="255" t="s">
        <v>877</v>
      </c>
      <c r="D8428" s="59">
        <v>2.6</v>
      </c>
      <c r="E8428" s="59"/>
    </row>
    <row r="8429" spans="3:5" x14ac:dyDescent="0.15">
      <c r="C8429" s="255" t="s">
        <v>878</v>
      </c>
      <c r="D8429" s="59">
        <v>31.4</v>
      </c>
      <c r="E8429" s="59"/>
    </row>
    <row r="8430" spans="3:5" x14ac:dyDescent="0.15">
      <c r="C8430" s="255" t="s">
        <v>879</v>
      </c>
      <c r="D8430" s="59">
        <v>469.3</v>
      </c>
      <c r="E8430" s="59"/>
    </row>
    <row r="8431" spans="3:5" x14ac:dyDescent="0.15">
      <c r="C8431" s="255" t="s">
        <v>880</v>
      </c>
      <c r="D8431" s="59">
        <v>19.899999999999999</v>
      </c>
      <c r="E8431" s="59"/>
    </row>
    <row r="8432" spans="3:5" x14ac:dyDescent="0.15">
      <c r="C8432" s="255" t="s">
        <v>881</v>
      </c>
      <c r="D8432" s="59">
        <v>0</v>
      </c>
      <c r="E8432" s="59"/>
    </row>
    <row r="8433" spans="3:5" x14ac:dyDescent="0.15">
      <c r="C8433" s="255" t="s">
        <v>882</v>
      </c>
      <c r="D8433" s="59">
        <v>98.1</v>
      </c>
      <c r="E8433" s="59"/>
    </row>
    <row r="8434" spans="3:5" x14ac:dyDescent="0.15">
      <c r="C8434" s="255" t="s">
        <v>883</v>
      </c>
      <c r="D8434" s="59">
        <v>261.39999999999998</v>
      </c>
      <c r="E8434" s="59"/>
    </row>
    <row r="8435" spans="3:5" x14ac:dyDescent="0.15">
      <c r="C8435" s="255" t="s">
        <v>884</v>
      </c>
      <c r="D8435" s="59">
        <v>381.9</v>
      </c>
      <c r="E8435" s="59"/>
    </row>
    <row r="8436" spans="3:5" x14ac:dyDescent="0.15">
      <c r="C8436" s="255" t="s">
        <v>885</v>
      </c>
      <c r="D8436" s="59">
        <v>51.9</v>
      </c>
      <c r="E8436" s="59"/>
    </row>
    <row r="8437" spans="3:5" x14ac:dyDescent="0.15">
      <c r="C8437" s="255" t="s">
        <v>886</v>
      </c>
      <c r="D8437" s="59">
        <v>0.3</v>
      </c>
      <c r="E8437" s="59"/>
    </row>
    <row r="8438" spans="3:5" x14ac:dyDescent="0.15">
      <c r="C8438" s="255" t="s">
        <v>887</v>
      </c>
      <c r="D8438" s="59">
        <v>64.099999999999994</v>
      </c>
      <c r="E8438" s="59"/>
    </row>
    <row r="8439" spans="3:5" x14ac:dyDescent="0.15">
      <c r="C8439" s="255" t="s">
        <v>888</v>
      </c>
      <c r="D8439" s="59">
        <v>0.4</v>
      </c>
      <c r="E8439" s="59"/>
    </row>
    <row r="8440" spans="3:5" x14ac:dyDescent="0.15">
      <c r="C8440" s="255" t="s">
        <v>889</v>
      </c>
      <c r="D8440" s="59">
        <v>82</v>
      </c>
      <c r="E8440" s="59"/>
    </row>
    <row r="8441" spans="3:5" x14ac:dyDescent="0.15">
      <c r="C8441" s="255" t="s">
        <v>890</v>
      </c>
      <c r="D8441" s="59">
        <v>51.1</v>
      </c>
      <c r="E8441" s="59"/>
    </row>
    <row r="8442" spans="3:5" x14ac:dyDescent="0.15">
      <c r="C8442" s="255" t="s">
        <v>891</v>
      </c>
      <c r="D8442" s="59">
        <v>5.7</v>
      </c>
      <c r="E8442" s="59"/>
    </row>
    <row r="8443" spans="3:5" x14ac:dyDescent="0.15">
      <c r="C8443" s="255" t="s">
        <v>892</v>
      </c>
      <c r="D8443" s="59">
        <v>0.1</v>
      </c>
      <c r="E8443" s="59"/>
    </row>
    <row r="8444" spans="3:5" x14ac:dyDescent="0.15">
      <c r="C8444" s="255" t="s">
        <v>893</v>
      </c>
      <c r="D8444" s="59">
        <v>138.5</v>
      </c>
      <c r="E8444" s="59"/>
    </row>
    <row r="8445" spans="3:5" x14ac:dyDescent="0.15">
      <c r="C8445" s="255" t="s">
        <v>894</v>
      </c>
      <c r="D8445" s="59">
        <v>0</v>
      </c>
      <c r="E8445" s="59"/>
    </row>
    <row r="8446" spans="3:5" x14ac:dyDescent="0.15">
      <c r="C8446" s="255" t="s">
        <v>895</v>
      </c>
      <c r="D8446" s="59">
        <v>266.5</v>
      </c>
      <c r="E8446" s="59"/>
    </row>
    <row r="8447" spans="3:5" x14ac:dyDescent="0.15">
      <c r="C8447" s="255" t="s">
        <v>896</v>
      </c>
      <c r="D8447" s="59">
        <v>28.4</v>
      </c>
      <c r="E8447" s="59"/>
    </row>
    <row r="8448" spans="3:5" x14ac:dyDescent="0.15">
      <c r="C8448" s="255" t="s">
        <v>897</v>
      </c>
      <c r="D8448" s="59">
        <v>594.29999999999995</v>
      </c>
      <c r="E8448" s="59"/>
    </row>
    <row r="8449" spans="3:5" x14ac:dyDescent="0.15">
      <c r="C8449" s="255" t="s">
        <v>898</v>
      </c>
      <c r="D8449" s="59">
        <v>51.8</v>
      </c>
      <c r="E8449" s="59"/>
    </row>
    <row r="8450" spans="3:5" x14ac:dyDescent="0.15">
      <c r="C8450" s="255" t="s">
        <v>899</v>
      </c>
      <c r="D8450" s="59">
        <v>5.5</v>
      </c>
      <c r="E8450" s="59"/>
    </row>
    <row r="8451" spans="3:5" x14ac:dyDescent="0.15">
      <c r="C8451" s="255" t="s">
        <v>900</v>
      </c>
      <c r="D8451" s="59">
        <v>123</v>
      </c>
      <c r="E8451" s="59"/>
    </row>
    <row r="8452" spans="3:5" x14ac:dyDescent="0.15">
      <c r="C8452" s="255" t="s">
        <v>901</v>
      </c>
      <c r="D8452" s="59">
        <v>301.10000000000002</v>
      </c>
      <c r="E8452" s="59"/>
    </row>
    <row r="8453" spans="3:5" x14ac:dyDescent="0.15">
      <c r="C8453" s="255" t="s">
        <v>902</v>
      </c>
      <c r="D8453" s="59">
        <v>0</v>
      </c>
      <c r="E8453" s="59"/>
    </row>
    <row r="8454" spans="3:5" x14ac:dyDescent="0.15">
      <c r="C8454" s="255" t="s">
        <v>903</v>
      </c>
      <c r="D8454" s="59">
        <v>456.8</v>
      </c>
      <c r="E8454" s="59"/>
    </row>
    <row r="8455" spans="3:5" x14ac:dyDescent="0.15">
      <c r="C8455" s="255" t="s">
        <v>904</v>
      </c>
      <c r="D8455" s="59">
        <v>829.9</v>
      </c>
      <c r="E8455" s="59"/>
    </row>
    <row r="8456" spans="3:5" x14ac:dyDescent="0.15">
      <c r="C8456" s="255" t="s">
        <v>905</v>
      </c>
      <c r="D8456" s="59">
        <v>27.4</v>
      </c>
      <c r="E8456" s="59"/>
    </row>
    <row r="8457" spans="3:5" x14ac:dyDescent="0.15">
      <c r="C8457" s="255" t="s">
        <v>906</v>
      </c>
      <c r="D8457" s="59">
        <v>39.6</v>
      </c>
      <c r="E8457" s="59"/>
    </row>
    <row r="8458" spans="3:5" x14ac:dyDescent="0.15">
      <c r="C8458" s="255" t="s">
        <v>907</v>
      </c>
      <c r="D8458" s="59">
        <v>264.60000000000002</v>
      </c>
      <c r="E8458" s="59"/>
    </row>
    <row r="8459" spans="3:5" x14ac:dyDescent="0.15">
      <c r="C8459" s="255" t="s">
        <v>908</v>
      </c>
      <c r="D8459" s="59">
        <v>6489.5</v>
      </c>
      <c r="E8459" s="59"/>
    </row>
    <row r="8460" spans="3:5" x14ac:dyDescent="0.15">
      <c r="C8460" s="255" t="s">
        <v>909</v>
      </c>
      <c r="D8460" s="59">
        <v>1848.2</v>
      </c>
      <c r="E8460" s="59"/>
    </row>
    <row r="8461" spans="3:5" x14ac:dyDescent="0.15">
      <c r="C8461" s="255" t="s">
        <v>910</v>
      </c>
      <c r="D8461" s="59">
        <v>10.5</v>
      </c>
      <c r="E8461" s="59"/>
    </row>
    <row r="8462" spans="3:5" x14ac:dyDescent="0.15">
      <c r="C8462" s="255" t="s">
        <v>911</v>
      </c>
      <c r="D8462" s="59">
        <v>180.3</v>
      </c>
      <c r="E8462" s="59"/>
    </row>
    <row r="8463" spans="3:5" x14ac:dyDescent="0.15">
      <c r="C8463" s="255" t="s">
        <v>912</v>
      </c>
      <c r="D8463" s="59">
        <v>987.2</v>
      </c>
      <c r="E8463" s="59"/>
    </row>
    <row r="8464" spans="3:5" x14ac:dyDescent="0.15">
      <c r="C8464" s="255" t="s">
        <v>913</v>
      </c>
      <c r="D8464" s="59">
        <v>0</v>
      </c>
      <c r="E8464" s="59"/>
    </row>
    <row r="8465" spans="3:5" x14ac:dyDescent="0.15">
      <c r="C8465" s="255" t="s">
        <v>914</v>
      </c>
      <c r="D8465" s="59">
        <v>0.5</v>
      </c>
      <c r="E8465" s="59"/>
    </row>
    <row r="8466" spans="3:5" x14ac:dyDescent="0.15">
      <c r="C8466" s="255" t="s">
        <v>915</v>
      </c>
      <c r="D8466" s="59">
        <v>57.4</v>
      </c>
      <c r="E8466" s="59"/>
    </row>
    <row r="8467" spans="3:5" x14ac:dyDescent="0.15">
      <c r="C8467" s="255" t="s">
        <v>916</v>
      </c>
      <c r="D8467" s="59">
        <v>200.6</v>
      </c>
      <c r="E8467" s="59"/>
    </row>
    <row r="8468" spans="3:5" x14ac:dyDescent="0.15">
      <c r="C8468" s="255" t="s">
        <v>917</v>
      </c>
      <c r="D8468" s="59">
        <v>16.899999999999999</v>
      </c>
      <c r="E8468" s="59"/>
    </row>
    <row r="8469" spans="3:5" x14ac:dyDescent="0.15">
      <c r="C8469" s="255" t="s">
        <v>918</v>
      </c>
      <c r="D8469" s="59">
        <v>2240.6</v>
      </c>
      <c r="E8469" s="59"/>
    </row>
    <row r="8470" spans="3:5" x14ac:dyDescent="0.15">
      <c r="C8470" s="255" t="s">
        <v>919</v>
      </c>
      <c r="D8470" s="59">
        <v>1.3</v>
      </c>
      <c r="E8470" s="59"/>
    </row>
    <row r="8471" spans="3:5" x14ac:dyDescent="0.15">
      <c r="C8471" s="255" t="s">
        <v>920</v>
      </c>
      <c r="D8471" s="59">
        <v>945.9</v>
      </c>
      <c r="E8471" s="59"/>
    </row>
    <row r="8472" spans="3:5" x14ac:dyDescent="0.15">
      <c r="C8472" s="255" t="s">
        <v>921</v>
      </c>
      <c r="D8472" s="59">
        <v>0</v>
      </c>
      <c r="E8472" s="59"/>
    </row>
    <row r="8473" spans="3:5" x14ac:dyDescent="0.15">
      <c r="C8473" s="255" t="s">
        <v>922</v>
      </c>
      <c r="D8473" s="59">
        <v>23631.5</v>
      </c>
      <c r="E8473" s="59"/>
    </row>
    <row r="8474" spans="3:5" x14ac:dyDescent="0.15">
      <c r="C8474" s="255" t="s">
        <v>923</v>
      </c>
      <c r="D8474" s="59">
        <v>7556.2</v>
      </c>
      <c r="E8474" s="59"/>
    </row>
    <row r="8475" spans="3:5" x14ac:dyDescent="0.15">
      <c r="C8475" s="255" t="s">
        <v>924</v>
      </c>
      <c r="D8475" s="59">
        <v>-6.1</v>
      </c>
      <c r="E8475" s="59"/>
    </row>
    <row r="8476" spans="3:5" x14ac:dyDescent="0.15">
      <c r="C8476" s="255" t="s">
        <v>925</v>
      </c>
      <c r="D8476" s="59">
        <v>270.89999999999998</v>
      </c>
      <c r="E8476" s="59"/>
    </row>
    <row r="8477" spans="3:5" x14ac:dyDescent="0.15">
      <c r="C8477" s="255" t="s">
        <v>926</v>
      </c>
      <c r="D8477" s="59">
        <v>692.6</v>
      </c>
      <c r="E8477" s="59"/>
    </row>
    <row r="8478" spans="3:5" x14ac:dyDescent="0.15">
      <c r="C8478" s="255" t="s">
        <v>927</v>
      </c>
      <c r="D8478" s="59">
        <v>247.5</v>
      </c>
      <c r="E8478" s="59"/>
    </row>
    <row r="8479" spans="3:5" x14ac:dyDescent="0.15">
      <c r="C8479" s="255" t="s">
        <v>928</v>
      </c>
      <c r="D8479" s="59">
        <v>973.8</v>
      </c>
      <c r="E8479" s="59"/>
    </row>
    <row r="8480" spans="3:5" x14ac:dyDescent="0.15">
      <c r="C8480" s="255" t="s">
        <v>929</v>
      </c>
      <c r="D8480" s="59">
        <v>109.9</v>
      </c>
      <c r="E8480" s="59"/>
    </row>
    <row r="8481" spans="3:5" x14ac:dyDescent="0.15">
      <c r="C8481" s="255" t="s">
        <v>930</v>
      </c>
      <c r="D8481" s="59">
        <v>383.3</v>
      </c>
      <c r="E8481" s="59"/>
    </row>
    <row r="8482" spans="3:5" x14ac:dyDescent="0.15">
      <c r="C8482" s="255" t="s">
        <v>931</v>
      </c>
      <c r="D8482" s="59">
        <v>3392.1</v>
      </c>
      <c r="E8482" s="59"/>
    </row>
    <row r="8483" spans="3:5" x14ac:dyDescent="0.15">
      <c r="C8483" s="255" t="s">
        <v>932</v>
      </c>
      <c r="D8483" s="59">
        <v>0</v>
      </c>
      <c r="E8483" s="59"/>
    </row>
    <row r="8484" spans="3:5" x14ac:dyDescent="0.15">
      <c r="C8484" s="255" t="s">
        <v>933</v>
      </c>
      <c r="D8484" s="59">
        <v>19.7</v>
      </c>
      <c r="E8484" s="59"/>
    </row>
    <row r="8485" spans="3:5" x14ac:dyDescent="0.15">
      <c r="C8485" s="255" t="s">
        <v>934</v>
      </c>
      <c r="D8485" s="59">
        <v>2663.3</v>
      </c>
      <c r="E8485" s="59"/>
    </row>
    <row r="8486" spans="3:5" x14ac:dyDescent="0.15">
      <c r="C8486" s="255" t="s">
        <v>935</v>
      </c>
      <c r="D8486" s="59">
        <v>937.1</v>
      </c>
      <c r="E8486" s="59"/>
    </row>
    <row r="8487" spans="3:5" x14ac:dyDescent="0.15">
      <c r="C8487" s="255" t="s">
        <v>936</v>
      </c>
      <c r="D8487" s="59">
        <v>1744.2</v>
      </c>
      <c r="E8487" s="59"/>
    </row>
    <row r="8488" spans="3:5" x14ac:dyDescent="0.15">
      <c r="C8488" s="255" t="s">
        <v>937</v>
      </c>
      <c r="D8488" s="59">
        <v>496.4</v>
      </c>
      <c r="E8488" s="59"/>
    </row>
    <row r="8489" spans="3:5" x14ac:dyDescent="0.15">
      <c r="C8489" s="255" t="s">
        <v>938</v>
      </c>
      <c r="D8489" s="59">
        <v>477.2</v>
      </c>
      <c r="E8489" s="59"/>
    </row>
    <row r="8490" spans="3:5" x14ac:dyDescent="0.15">
      <c r="C8490" s="255" t="s">
        <v>939</v>
      </c>
      <c r="D8490" s="59">
        <v>9</v>
      </c>
      <c r="E8490" s="59"/>
    </row>
    <row r="8491" spans="3:5" x14ac:dyDescent="0.15">
      <c r="C8491" s="255" t="s">
        <v>940</v>
      </c>
      <c r="D8491" s="59">
        <v>125.5</v>
      </c>
      <c r="E8491" s="59"/>
    </row>
    <row r="8492" spans="3:5" x14ac:dyDescent="0.15">
      <c r="C8492" s="255" t="s">
        <v>941</v>
      </c>
      <c r="D8492" s="59">
        <v>326.60000000000002</v>
      </c>
      <c r="E8492" s="59"/>
    </row>
    <row r="8493" spans="3:5" x14ac:dyDescent="0.15">
      <c r="C8493" s="255" t="s">
        <v>942</v>
      </c>
      <c r="D8493" s="59">
        <v>0</v>
      </c>
      <c r="E8493" s="59"/>
    </row>
    <row r="8494" spans="3:5" x14ac:dyDescent="0.15">
      <c r="C8494" s="255" t="s">
        <v>943</v>
      </c>
      <c r="D8494" s="59">
        <v>860.2</v>
      </c>
      <c r="E8494" s="59"/>
    </row>
    <row r="8495" spans="3:5" x14ac:dyDescent="0.15">
      <c r="C8495" s="255" t="s">
        <v>944</v>
      </c>
      <c r="D8495" s="59">
        <v>340.1</v>
      </c>
      <c r="E8495" s="59"/>
    </row>
    <row r="8496" spans="3:5" x14ac:dyDescent="0.15">
      <c r="C8496" s="255" t="s">
        <v>945</v>
      </c>
      <c r="D8496" s="59">
        <v>1931.9</v>
      </c>
      <c r="E8496" s="59"/>
    </row>
    <row r="8497" spans="3:5" x14ac:dyDescent="0.15">
      <c r="C8497" s="255" t="s">
        <v>946</v>
      </c>
      <c r="D8497" s="59">
        <v>64.400000000000006</v>
      </c>
      <c r="E8497" s="59"/>
    </row>
    <row r="8498" spans="3:5" x14ac:dyDescent="0.15">
      <c r="C8498" s="255" t="s">
        <v>947</v>
      </c>
      <c r="D8498" s="59">
        <v>15.7</v>
      </c>
      <c r="E8498" s="59"/>
    </row>
    <row r="8499" spans="3:5" x14ac:dyDescent="0.15">
      <c r="C8499" s="255" t="s">
        <v>948</v>
      </c>
      <c r="D8499" s="59">
        <v>7050.8</v>
      </c>
      <c r="E8499" s="59"/>
    </row>
    <row r="8500" spans="3:5" x14ac:dyDescent="0.15">
      <c r="C8500" s="255" t="s">
        <v>949</v>
      </c>
      <c r="D8500" s="59">
        <v>132.4</v>
      </c>
      <c r="E8500" s="59"/>
    </row>
    <row r="8501" spans="3:5" x14ac:dyDescent="0.15">
      <c r="C8501" s="255" t="s">
        <v>950</v>
      </c>
      <c r="D8501" s="59">
        <v>1.5</v>
      </c>
      <c r="E8501" s="59"/>
    </row>
    <row r="8502" spans="3:5" x14ac:dyDescent="0.15">
      <c r="C8502" s="255" t="s">
        <v>951</v>
      </c>
      <c r="D8502" s="59">
        <v>1292</v>
      </c>
      <c r="E8502" s="59"/>
    </row>
    <row r="8503" spans="3:5" x14ac:dyDescent="0.15">
      <c r="C8503" s="255" t="s">
        <v>952</v>
      </c>
      <c r="D8503" s="59">
        <v>0</v>
      </c>
      <c r="E8503" s="59"/>
    </row>
    <row r="8504" spans="3:5" x14ac:dyDescent="0.15">
      <c r="C8504" s="255" t="s">
        <v>953</v>
      </c>
      <c r="D8504" s="59">
        <v>204.3</v>
      </c>
      <c r="E8504" s="59"/>
    </row>
    <row r="8505" spans="3:5" x14ac:dyDescent="0.15">
      <c r="C8505" s="255" t="s">
        <v>954</v>
      </c>
      <c r="D8505" s="59">
        <v>2332.5</v>
      </c>
      <c r="E8505" s="59"/>
    </row>
    <row r="8506" spans="3:5" x14ac:dyDescent="0.15">
      <c r="C8506" s="255" t="s">
        <v>955</v>
      </c>
      <c r="D8506" s="59">
        <v>1641.4</v>
      </c>
      <c r="E8506" s="59"/>
    </row>
    <row r="8507" spans="3:5" x14ac:dyDescent="0.15">
      <c r="C8507" s="255" t="s">
        <v>956</v>
      </c>
      <c r="D8507" s="59">
        <v>1446.8</v>
      </c>
      <c r="E8507" s="59"/>
    </row>
    <row r="8508" spans="3:5" x14ac:dyDescent="0.15">
      <c r="C8508" s="255" t="s">
        <v>957</v>
      </c>
      <c r="D8508" s="59">
        <v>20505</v>
      </c>
      <c r="E8508" s="59"/>
    </row>
    <row r="8509" spans="3:5" x14ac:dyDescent="0.15">
      <c r="C8509" s="255" t="s">
        <v>958</v>
      </c>
      <c r="D8509" s="59">
        <v>93.8</v>
      </c>
      <c r="E8509" s="59"/>
    </row>
    <row r="8510" spans="3:5" x14ac:dyDescent="0.15">
      <c r="C8510" s="255" t="s">
        <v>959</v>
      </c>
      <c r="D8510" s="59">
        <v>1018.9</v>
      </c>
      <c r="E8510" s="59"/>
    </row>
    <row r="8511" spans="3:5" x14ac:dyDescent="0.15">
      <c r="C8511" s="255" t="s">
        <v>960</v>
      </c>
      <c r="D8511" s="59">
        <v>198.2</v>
      </c>
      <c r="E8511" s="59"/>
    </row>
    <row r="8512" spans="3:5" x14ac:dyDescent="0.15">
      <c r="C8512" s="255" t="s">
        <v>961</v>
      </c>
      <c r="D8512" s="59">
        <v>96.6</v>
      </c>
      <c r="E8512" s="59"/>
    </row>
    <row r="8513" spans="3:5" x14ac:dyDescent="0.15">
      <c r="C8513" s="255" t="s">
        <v>962</v>
      </c>
      <c r="D8513" s="59">
        <v>0</v>
      </c>
      <c r="E8513" s="59"/>
    </row>
    <row r="8514" spans="3:5" x14ac:dyDescent="0.15">
      <c r="C8514" s="255" t="s">
        <v>963</v>
      </c>
      <c r="D8514" s="59">
        <v>1164.7</v>
      </c>
      <c r="E8514" s="59"/>
    </row>
    <row r="8515" spans="3:5" x14ac:dyDescent="0.15">
      <c r="C8515" s="255" t="s">
        <v>964</v>
      </c>
      <c r="D8515" s="59">
        <v>218.1</v>
      </c>
      <c r="E8515" s="59"/>
    </row>
    <row r="8516" spans="3:5" x14ac:dyDescent="0.15">
      <c r="C8516" s="255" t="s">
        <v>965</v>
      </c>
      <c r="D8516" s="59">
        <v>119.1</v>
      </c>
      <c r="E8516" s="59"/>
    </row>
    <row r="8517" spans="3:5" x14ac:dyDescent="0.15">
      <c r="C8517" s="255" t="s">
        <v>966</v>
      </c>
      <c r="D8517" s="59">
        <v>4.8</v>
      </c>
      <c r="E8517" s="59"/>
    </row>
    <row r="8518" spans="3:5" x14ac:dyDescent="0.15">
      <c r="C8518" s="255" t="s">
        <v>967</v>
      </c>
      <c r="D8518" s="59">
        <v>172.8</v>
      </c>
      <c r="E8518" s="59"/>
    </row>
    <row r="8519" spans="3:5" x14ac:dyDescent="0.15">
      <c r="C8519" s="255" t="s">
        <v>968</v>
      </c>
      <c r="D8519" s="59">
        <v>5</v>
      </c>
      <c r="E8519" s="59"/>
    </row>
    <row r="8520" spans="3:5" x14ac:dyDescent="0.15">
      <c r="C8520" s="255" t="s">
        <v>969</v>
      </c>
      <c r="D8520" s="59">
        <v>26.4</v>
      </c>
      <c r="E8520" s="59"/>
    </row>
    <row r="8521" spans="3:5" x14ac:dyDescent="0.15">
      <c r="C8521" s="255" t="s">
        <v>970</v>
      </c>
      <c r="D8521" s="59">
        <v>213</v>
      </c>
      <c r="E8521" s="59"/>
    </row>
    <row r="8522" spans="3:5" x14ac:dyDescent="0.15">
      <c r="C8522" s="255" t="s">
        <v>971</v>
      </c>
      <c r="D8522" s="59">
        <v>-61</v>
      </c>
      <c r="E8522" s="59"/>
    </row>
    <row r="8523" spans="3:5" x14ac:dyDescent="0.15">
      <c r="C8523" s="255" t="s">
        <v>972</v>
      </c>
      <c r="D8523" s="59">
        <v>-99.3</v>
      </c>
      <c r="E8523" s="59"/>
    </row>
    <row r="8524" spans="3:5" x14ac:dyDescent="0.15">
      <c r="C8524" s="255" t="s">
        <v>973</v>
      </c>
      <c r="D8524" s="59">
        <v>21.3</v>
      </c>
      <c r="E8524" s="59"/>
    </row>
    <row r="8525" spans="3:5" x14ac:dyDescent="0.15">
      <c r="C8525" s="255" t="s">
        <v>974</v>
      </c>
      <c r="D8525" s="59">
        <v>21.7</v>
      </c>
      <c r="E8525" s="59"/>
    </row>
    <row r="8526" spans="3:5" x14ac:dyDescent="0.15">
      <c r="C8526" s="255" t="s">
        <v>975</v>
      </c>
      <c r="D8526" s="59">
        <v>4.9000000000000004</v>
      </c>
      <c r="E8526" s="59"/>
    </row>
    <row r="8527" spans="3:5" x14ac:dyDescent="0.15">
      <c r="C8527" s="255" t="s">
        <v>976</v>
      </c>
      <c r="D8527" s="59">
        <v>3.3</v>
      </c>
      <c r="E8527" s="59"/>
    </row>
    <row r="8528" spans="3:5" x14ac:dyDescent="0.15">
      <c r="C8528" s="255" t="s">
        <v>977</v>
      </c>
      <c r="D8528" s="59">
        <v>378.1</v>
      </c>
      <c r="E8528" s="59"/>
    </row>
    <row r="8529" spans="3:5" x14ac:dyDescent="0.15">
      <c r="C8529" s="255" t="s">
        <v>978</v>
      </c>
      <c r="D8529" s="59">
        <v>565.70000000000005</v>
      </c>
      <c r="E8529" s="59"/>
    </row>
    <row r="8530" spans="3:5" x14ac:dyDescent="0.15">
      <c r="C8530" s="255" t="s">
        <v>979</v>
      </c>
      <c r="D8530" s="59">
        <v>127.2</v>
      </c>
      <c r="E8530" s="59"/>
    </row>
    <row r="8531" spans="3:5" x14ac:dyDescent="0.15">
      <c r="C8531" s="255" t="s">
        <v>980</v>
      </c>
      <c r="D8531" s="59">
        <v>228.5</v>
      </c>
      <c r="E8531" s="59"/>
    </row>
    <row r="8532" spans="3:5" x14ac:dyDescent="0.15">
      <c r="C8532" s="255" t="s">
        <v>981</v>
      </c>
      <c r="D8532" s="59">
        <v>0</v>
      </c>
      <c r="E8532" s="59"/>
    </row>
    <row r="8533" spans="3:5" x14ac:dyDescent="0.15">
      <c r="C8533" s="255" t="s">
        <v>982</v>
      </c>
      <c r="D8533" s="59">
        <v>119.3</v>
      </c>
      <c r="E8533" s="59"/>
    </row>
    <row r="8534" spans="3:5" x14ac:dyDescent="0.15">
      <c r="C8534" s="255" t="s">
        <v>983</v>
      </c>
      <c r="D8534" s="59">
        <v>844.3</v>
      </c>
      <c r="E8534" s="59"/>
    </row>
    <row r="8535" spans="3:5" x14ac:dyDescent="0.15">
      <c r="C8535" s="255" t="s">
        <v>984</v>
      </c>
      <c r="D8535" s="59">
        <v>33</v>
      </c>
      <c r="E8535" s="59"/>
    </row>
    <row r="8536" spans="3:5" x14ac:dyDescent="0.15">
      <c r="C8536" s="255" t="s">
        <v>985</v>
      </c>
      <c r="D8536" s="59">
        <v>580.6</v>
      </c>
      <c r="E8536" s="59"/>
    </row>
    <row r="8537" spans="3:5" x14ac:dyDescent="0.15">
      <c r="C8537" s="255" t="s">
        <v>986</v>
      </c>
      <c r="D8537" s="59">
        <v>595.1</v>
      </c>
      <c r="E8537" s="59"/>
    </row>
    <row r="8538" spans="3:5" x14ac:dyDescent="0.15">
      <c r="C8538" s="255" t="s">
        <v>987</v>
      </c>
      <c r="D8538" s="59">
        <v>443.6</v>
      </c>
      <c r="E8538" s="59"/>
    </row>
    <row r="8539" spans="3:5" x14ac:dyDescent="0.15">
      <c r="C8539" s="255" t="s">
        <v>988</v>
      </c>
      <c r="D8539" s="59">
        <v>1136.4000000000001</v>
      </c>
      <c r="E8539" s="59"/>
    </row>
    <row r="8540" spans="3:5" x14ac:dyDescent="0.15">
      <c r="C8540" s="255" t="s">
        <v>989</v>
      </c>
      <c r="D8540" s="59">
        <v>899.1</v>
      </c>
      <c r="E8540" s="59"/>
    </row>
    <row r="8541" spans="3:5" x14ac:dyDescent="0.15">
      <c r="C8541" s="255" t="s">
        <v>990</v>
      </c>
      <c r="D8541" s="59">
        <v>353.9</v>
      </c>
      <c r="E8541" s="59"/>
    </row>
    <row r="8542" spans="3:5" x14ac:dyDescent="0.15">
      <c r="C8542" s="255" t="s">
        <v>991</v>
      </c>
      <c r="D8542" s="59">
        <v>5397.8</v>
      </c>
      <c r="E8542" s="59"/>
    </row>
    <row r="8543" spans="3:5" x14ac:dyDescent="0.15">
      <c r="C8543" s="255" t="s">
        <v>992</v>
      </c>
      <c r="D8543" s="59">
        <v>21.2</v>
      </c>
      <c r="E8543" s="59"/>
    </row>
    <row r="8544" spans="3:5" x14ac:dyDescent="0.15">
      <c r="C8544" s="255" t="s">
        <v>993</v>
      </c>
      <c r="D8544" s="59">
        <v>66.599999999999994</v>
      </c>
      <c r="E8544" s="59"/>
    </row>
    <row r="8545" spans="3:5" x14ac:dyDescent="0.15">
      <c r="C8545" s="255" t="s">
        <v>994</v>
      </c>
      <c r="D8545" s="59">
        <v>0</v>
      </c>
      <c r="E8545" s="59"/>
    </row>
    <row r="8546" spans="3:5" x14ac:dyDescent="0.15">
      <c r="C8546" s="255" t="s">
        <v>995</v>
      </c>
      <c r="D8546" s="59">
        <v>746.6</v>
      </c>
      <c r="E8546" s="59"/>
    </row>
    <row r="8547" spans="3:5" x14ac:dyDescent="0.15">
      <c r="C8547" s="255" t="s">
        <v>996</v>
      </c>
      <c r="D8547" s="59">
        <v>368.5</v>
      </c>
      <c r="E8547" s="59"/>
    </row>
    <row r="8548" spans="3:5" x14ac:dyDescent="0.15">
      <c r="C8548" s="255" t="s">
        <v>997</v>
      </c>
      <c r="D8548" s="59">
        <v>322.60000000000002</v>
      </c>
      <c r="E8548" s="59"/>
    </row>
    <row r="8549" spans="3:5" x14ac:dyDescent="0.15">
      <c r="C8549" s="255" t="s">
        <v>998</v>
      </c>
      <c r="D8549" s="59">
        <v>107.3</v>
      </c>
      <c r="E8549" s="59"/>
    </row>
    <row r="8550" spans="3:5" x14ac:dyDescent="0.15">
      <c r="C8550" s="255" t="s">
        <v>999</v>
      </c>
      <c r="D8550" s="59">
        <v>15.1</v>
      </c>
      <c r="E8550" s="59"/>
    </row>
    <row r="8551" spans="3:5" x14ac:dyDescent="0.15">
      <c r="C8551" s="255" t="s">
        <v>1000</v>
      </c>
      <c r="D8551" s="59">
        <v>474.2</v>
      </c>
      <c r="E8551" s="59"/>
    </row>
    <row r="8552" spans="3:5" x14ac:dyDescent="0.15">
      <c r="C8552" s="255" t="s">
        <v>1001</v>
      </c>
      <c r="D8552" s="59">
        <v>368.4</v>
      </c>
      <c r="E8552" s="59"/>
    </row>
    <row r="8553" spans="3:5" x14ac:dyDescent="0.15">
      <c r="C8553" s="255" t="s">
        <v>1002</v>
      </c>
      <c r="D8553" s="59">
        <v>73.5</v>
      </c>
      <c r="E8553" s="59"/>
    </row>
    <row r="8554" spans="3:5" x14ac:dyDescent="0.15">
      <c r="C8554" s="255" t="s">
        <v>1003</v>
      </c>
      <c r="D8554" s="59">
        <v>111.9</v>
      </c>
      <c r="E8554" s="59"/>
    </row>
    <row r="8555" spans="3:5" x14ac:dyDescent="0.15">
      <c r="C8555" s="255" t="s">
        <v>1004</v>
      </c>
      <c r="D8555" s="59">
        <v>64.5</v>
      </c>
      <c r="E8555" s="59"/>
    </row>
    <row r="8556" spans="3:5" x14ac:dyDescent="0.15">
      <c r="C8556" s="255" t="s">
        <v>1005</v>
      </c>
      <c r="D8556" s="59">
        <v>29.3</v>
      </c>
      <c r="E8556" s="59"/>
    </row>
    <row r="8557" spans="3:5" x14ac:dyDescent="0.15">
      <c r="C8557" s="255" t="s">
        <v>1006</v>
      </c>
      <c r="D8557" s="59">
        <v>2810.4</v>
      </c>
      <c r="E8557" s="59"/>
    </row>
    <row r="8558" spans="3:5" x14ac:dyDescent="0.15">
      <c r="C8558" s="255" t="s">
        <v>1007</v>
      </c>
      <c r="D8558" s="59">
        <v>685.5</v>
      </c>
      <c r="E8558" s="59"/>
    </row>
    <row r="8559" spans="3:5" x14ac:dyDescent="0.15">
      <c r="C8559" s="255" t="s">
        <v>1008</v>
      </c>
      <c r="D8559" s="59">
        <v>295.39999999999998</v>
      </c>
      <c r="E8559" s="59"/>
    </row>
    <row r="8560" spans="3:5" x14ac:dyDescent="0.15">
      <c r="C8560" s="255" t="s">
        <v>1009</v>
      </c>
      <c r="D8560" s="59">
        <v>3.2</v>
      </c>
      <c r="E8560" s="59"/>
    </row>
    <row r="8561" spans="3:5" x14ac:dyDescent="0.15">
      <c r="C8561" s="255" t="s">
        <v>1010</v>
      </c>
      <c r="D8561" s="59">
        <v>352.9</v>
      </c>
      <c r="E8561" s="59"/>
    </row>
    <row r="8562" spans="3:5" x14ac:dyDescent="0.15">
      <c r="C8562" s="255" t="s">
        <v>1011</v>
      </c>
      <c r="D8562" s="59">
        <v>34</v>
      </c>
      <c r="E8562" s="59"/>
    </row>
    <row r="8563" spans="3:5" x14ac:dyDescent="0.15">
      <c r="C8563" s="255" t="s">
        <v>1012</v>
      </c>
      <c r="D8563" s="59">
        <v>12105.5</v>
      </c>
      <c r="E8563" s="59"/>
    </row>
    <row r="8564" spans="3:5" x14ac:dyDescent="0.15">
      <c r="C8564" s="255" t="s">
        <v>1013</v>
      </c>
      <c r="D8564" s="59">
        <v>6093.8</v>
      </c>
      <c r="E8564" s="59"/>
    </row>
    <row r="8565" spans="3:5" x14ac:dyDescent="0.15">
      <c r="C8565" s="255" t="s">
        <v>1014</v>
      </c>
      <c r="D8565" s="59">
        <v>2773</v>
      </c>
      <c r="E8565" s="59"/>
    </row>
    <row r="8566" spans="3:5" x14ac:dyDescent="0.15">
      <c r="C8566" s="255" t="s">
        <v>1015</v>
      </c>
      <c r="D8566" s="59">
        <v>640.5</v>
      </c>
      <c r="E8566" s="59"/>
    </row>
    <row r="8567" spans="3:5" x14ac:dyDescent="0.15">
      <c r="C8567" s="255" t="s">
        <v>1016</v>
      </c>
      <c r="D8567" s="59">
        <v>1464.8</v>
      </c>
      <c r="E8567" s="59"/>
    </row>
    <row r="8568" spans="3:5" x14ac:dyDescent="0.15">
      <c r="C8568" s="255" t="s">
        <v>1017</v>
      </c>
      <c r="D8568" s="59">
        <v>1133.4000000000001</v>
      </c>
      <c r="E8568" s="59"/>
    </row>
    <row r="8569" spans="3:5" x14ac:dyDescent="0.15">
      <c r="C8569" s="255" t="s">
        <v>1018</v>
      </c>
      <c r="D8569" s="59">
        <v>0</v>
      </c>
      <c r="E8569" s="59"/>
    </row>
    <row r="8570" spans="3:5" x14ac:dyDescent="0.15">
      <c r="C8570" s="255" t="s">
        <v>1019</v>
      </c>
      <c r="D8570" s="59">
        <v>16419.5</v>
      </c>
      <c r="E8570" s="59"/>
    </row>
    <row r="8571" spans="3:5" x14ac:dyDescent="0.15">
      <c r="C8571" s="255" t="s">
        <v>1020</v>
      </c>
      <c r="D8571" s="59">
        <v>344.8</v>
      </c>
      <c r="E8571" s="59"/>
    </row>
    <row r="8572" spans="3:5" x14ac:dyDescent="0.15">
      <c r="C8572" s="255" t="s">
        <v>1021</v>
      </c>
      <c r="D8572" s="59">
        <v>1090.5</v>
      </c>
      <c r="E8572" s="59"/>
    </row>
    <row r="8573" spans="3:5" x14ac:dyDescent="0.15">
      <c r="C8573" s="255" t="s">
        <v>1022</v>
      </c>
      <c r="D8573" s="59">
        <v>227.9</v>
      </c>
      <c r="E8573" s="59"/>
    </row>
    <row r="8574" spans="3:5" x14ac:dyDescent="0.15">
      <c r="C8574" s="255" t="s">
        <v>1023</v>
      </c>
      <c r="D8574" s="59">
        <v>63.2</v>
      </c>
      <c r="E8574" s="59"/>
    </row>
    <row r="8575" spans="3:5" x14ac:dyDescent="0.15">
      <c r="C8575" s="255" t="s">
        <v>1024</v>
      </c>
      <c r="D8575" s="59">
        <v>30.7</v>
      </c>
      <c r="E8575" s="59"/>
    </row>
    <row r="8576" spans="3:5" x14ac:dyDescent="0.15">
      <c r="C8576" s="255" t="s">
        <v>1025</v>
      </c>
      <c r="D8576" s="59">
        <v>191.4</v>
      </c>
      <c r="E8576" s="59"/>
    </row>
    <row r="8577" spans="3:5" x14ac:dyDescent="0.15">
      <c r="C8577" s="255" t="s">
        <v>1026</v>
      </c>
      <c r="D8577" s="59">
        <v>2913.5</v>
      </c>
      <c r="E8577" s="59"/>
    </row>
    <row r="8578" spans="3:5" x14ac:dyDescent="0.15">
      <c r="C8578" s="255" t="s">
        <v>1027</v>
      </c>
      <c r="D8578" s="59">
        <v>0</v>
      </c>
      <c r="E8578" s="59"/>
    </row>
    <row r="8579" spans="3:5" x14ac:dyDescent="0.15">
      <c r="C8579" s="255" t="s">
        <v>1028</v>
      </c>
      <c r="D8579" s="59">
        <v>375.6</v>
      </c>
      <c r="E8579" s="59"/>
    </row>
    <row r="8580" spans="3:5" x14ac:dyDescent="0.15">
      <c r="C8580" s="255" t="s">
        <v>1029</v>
      </c>
      <c r="D8580" s="59">
        <v>301</v>
      </c>
      <c r="E8580" s="59"/>
    </row>
    <row r="8581" spans="3:5" x14ac:dyDescent="0.15">
      <c r="C8581" s="255" t="s">
        <v>1030</v>
      </c>
      <c r="D8581" s="59">
        <v>121.9</v>
      </c>
      <c r="E8581" s="59"/>
    </row>
    <row r="8582" spans="3:5" x14ac:dyDescent="0.15">
      <c r="C8582" s="255" t="s">
        <v>1031</v>
      </c>
      <c r="D8582" s="59">
        <v>454.1</v>
      </c>
      <c r="E8582" s="59"/>
    </row>
    <row r="8583" spans="3:5" x14ac:dyDescent="0.15">
      <c r="C8583" s="255" t="s">
        <v>1032</v>
      </c>
      <c r="D8583" s="59">
        <v>18.600000000000001</v>
      </c>
      <c r="E8583" s="59"/>
    </row>
    <row r="8584" spans="3:5" x14ac:dyDescent="0.15">
      <c r="C8584" s="255" t="s">
        <v>1033</v>
      </c>
      <c r="D8584" s="59">
        <v>2.7</v>
      </c>
      <c r="E8584" s="59"/>
    </row>
    <row r="8585" spans="3:5" x14ac:dyDescent="0.15">
      <c r="C8585" s="255" t="s">
        <v>1034</v>
      </c>
      <c r="D8585" s="59">
        <v>77.099999999999994</v>
      </c>
      <c r="E8585" s="59"/>
    </row>
    <row r="8586" spans="3:5" x14ac:dyDescent="0.15">
      <c r="C8586" s="255" t="s">
        <v>1035</v>
      </c>
      <c r="D8586" s="59">
        <v>1472.9</v>
      </c>
      <c r="E8586" s="59"/>
    </row>
    <row r="8587" spans="3:5" x14ac:dyDescent="0.15">
      <c r="C8587" s="255" t="s">
        <v>1036</v>
      </c>
      <c r="D8587" s="59">
        <v>645.5</v>
      </c>
      <c r="E8587" s="59"/>
    </row>
    <row r="8588" spans="3:5" x14ac:dyDescent="0.15">
      <c r="C8588" s="255" t="s">
        <v>1037</v>
      </c>
      <c r="D8588" s="59">
        <v>472.6</v>
      </c>
      <c r="E8588" s="59"/>
    </row>
    <row r="8589" spans="3:5" x14ac:dyDescent="0.15">
      <c r="C8589" s="255" t="s">
        <v>1038</v>
      </c>
      <c r="D8589" s="59">
        <v>1778.8</v>
      </c>
      <c r="E8589" s="59"/>
    </row>
    <row r="8590" spans="3:5" x14ac:dyDescent="0.15">
      <c r="C8590" s="255" t="s">
        <v>1039</v>
      </c>
      <c r="D8590" s="59">
        <v>799.6</v>
      </c>
      <c r="E8590" s="59"/>
    </row>
    <row r="8591" spans="3:5" x14ac:dyDescent="0.15">
      <c r="C8591" s="255" t="s">
        <v>1040</v>
      </c>
      <c r="D8591" s="59">
        <v>2600.6</v>
      </c>
      <c r="E8591" s="59"/>
    </row>
    <row r="8592" spans="3:5" x14ac:dyDescent="0.15">
      <c r="C8592" s="255" t="s">
        <v>1041</v>
      </c>
      <c r="D8592" s="59">
        <v>251.1</v>
      </c>
      <c r="E8592" s="59"/>
    </row>
    <row r="8593" spans="2:5" x14ac:dyDescent="0.15">
      <c r="C8593" s="255" t="s">
        <v>1042</v>
      </c>
      <c r="D8593" s="59">
        <v>1359.8</v>
      </c>
      <c r="E8593" s="59"/>
    </row>
    <row r="8594" spans="2:5" x14ac:dyDescent="0.15">
      <c r="C8594" s="255" t="s">
        <v>1043</v>
      </c>
      <c r="D8594" s="59">
        <v>216.3</v>
      </c>
      <c r="E8594" s="59"/>
    </row>
    <row r="8595" spans="2:5" x14ac:dyDescent="0.15">
      <c r="C8595" s="255" t="s">
        <v>1044</v>
      </c>
      <c r="D8595" s="59">
        <v>69.900000000000006</v>
      </c>
      <c r="E8595" s="59"/>
    </row>
    <row r="8596" spans="2:5" x14ac:dyDescent="0.15">
      <c r="C8596" s="255" t="s">
        <v>1045</v>
      </c>
      <c r="D8596" s="59">
        <v>13.7</v>
      </c>
      <c r="E8596" s="59"/>
    </row>
    <row r="8597" spans="2:5" x14ac:dyDescent="0.15">
      <c r="C8597" s="255" t="s">
        <v>1046</v>
      </c>
      <c r="D8597" s="59">
        <v>96</v>
      </c>
      <c r="E8597" s="59"/>
    </row>
    <row r="8598" spans="2:5" x14ac:dyDescent="0.15">
      <c r="C8598" s="255" t="s">
        <v>1047</v>
      </c>
      <c r="D8598" s="59">
        <v>392.1</v>
      </c>
      <c r="E8598" s="59"/>
    </row>
    <row r="8599" spans="2:5" x14ac:dyDescent="0.15">
      <c r="C8599" s="255" t="s">
        <v>1048</v>
      </c>
      <c r="D8599" s="59">
        <v>37.6</v>
      </c>
      <c r="E8599" s="59"/>
    </row>
    <row r="8600" spans="2:5" x14ac:dyDescent="0.15">
      <c r="B8600" s="255" t="s">
        <v>305</v>
      </c>
      <c r="C8600" s="255" t="s">
        <v>743</v>
      </c>
      <c r="D8600" s="59">
        <v>191</v>
      </c>
      <c r="E8600" s="59"/>
    </row>
    <row r="8601" spans="2:5" x14ac:dyDescent="0.15">
      <c r="C8601" s="255" t="s">
        <v>744</v>
      </c>
      <c r="D8601" s="59">
        <v>286.3</v>
      </c>
      <c r="E8601" s="59"/>
    </row>
    <row r="8602" spans="2:5" x14ac:dyDescent="0.15">
      <c r="C8602" s="255" t="s">
        <v>745</v>
      </c>
      <c r="D8602" s="59">
        <v>502.2</v>
      </c>
      <c r="E8602" s="59"/>
    </row>
    <row r="8603" spans="2:5" x14ac:dyDescent="0.15">
      <c r="C8603" s="255" t="s">
        <v>746</v>
      </c>
      <c r="D8603" s="59">
        <v>1.8</v>
      </c>
      <c r="E8603" s="59"/>
    </row>
    <row r="8604" spans="2:5" x14ac:dyDescent="0.15">
      <c r="C8604" s="255" t="s">
        <v>747</v>
      </c>
      <c r="D8604" s="59">
        <v>1.5</v>
      </c>
      <c r="E8604" s="59"/>
    </row>
    <row r="8605" spans="2:5" x14ac:dyDescent="0.15">
      <c r="C8605" s="255" t="s">
        <v>748</v>
      </c>
      <c r="D8605" s="59">
        <v>0.3</v>
      </c>
      <c r="E8605" s="59"/>
    </row>
    <row r="8606" spans="2:5" x14ac:dyDescent="0.15">
      <c r="C8606" s="255" t="s">
        <v>749</v>
      </c>
      <c r="D8606" s="59">
        <v>0</v>
      </c>
      <c r="E8606" s="59"/>
    </row>
    <row r="8607" spans="2:5" x14ac:dyDescent="0.15">
      <c r="C8607" s="255" t="s">
        <v>750</v>
      </c>
      <c r="D8607" s="59">
        <v>0.6</v>
      </c>
      <c r="E8607" s="59"/>
    </row>
    <row r="8608" spans="2:5" x14ac:dyDescent="0.15">
      <c r="C8608" s="255" t="s">
        <v>751</v>
      </c>
      <c r="D8608" s="59">
        <v>53.9</v>
      </c>
      <c r="E8608" s="59"/>
    </row>
    <row r="8609" spans="3:5" x14ac:dyDescent="0.15">
      <c r="C8609" s="255" t="s">
        <v>752</v>
      </c>
      <c r="D8609" s="59">
        <v>1.3</v>
      </c>
      <c r="E8609" s="59"/>
    </row>
    <row r="8610" spans="3:5" x14ac:dyDescent="0.15">
      <c r="C8610" s="255" t="s">
        <v>753</v>
      </c>
      <c r="D8610" s="59">
        <v>86.5</v>
      </c>
      <c r="E8610" s="59"/>
    </row>
    <row r="8611" spans="3:5" x14ac:dyDescent="0.15">
      <c r="C8611" s="255" t="s">
        <v>754</v>
      </c>
      <c r="D8611" s="59">
        <v>1955.5</v>
      </c>
      <c r="E8611" s="59"/>
    </row>
    <row r="8612" spans="3:5" x14ac:dyDescent="0.15">
      <c r="C8612" s="255" t="s">
        <v>192</v>
      </c>
      <c r="D8612" s="59">
        <v>256700.79999999999</v>
      </c>
      <c r="E8612" s="59"/>
    </row>
    <row r="8613" spans="3:5" x14ac:dyDescent="0.15">
      <c r="C8613" s="255" t="s">
        <v>755</v>
      </c>
      <c r="D8613" s="59">
        <v>32039.3</v>
      </c>
      <c r="E8613" s="59"/>
    </row>
    <row r="8614" spans="3:5" x14ac:dyDescent="0.15">
      <c r="C8614" s="255" t="s">
        <v>756</v>
      </c>
      <c r="D8614" s="59">
        <v>95.8</v>
      </c>
      <c r="E8614" s="59"/>
    </row>
    <row r="8615" spans="3:5" x14ac:dyDescent="0.15">
      <c r="C8615" s="255" t="s">
        <v>757</v>
      </c>
      <c r="D8615" s="59">
        <v>97.4</v>
      </c>
      <c r="E8615" s="59"/>
    </row>
    <row r="8616" spans="3:5" x14ac:dyDescent="0.15">
      <c r="C8616" s="255" t="s">
        <v>758</v>
      </c>
      <c r="D8616" s="59">
        <v>1869.5</v>
      </c>
      <c r="E8616" s="59"/>
    </row>
    <row r="8617" spans="3:5" x14ac:dyDescent="0.15">
      <c r="C8617" s="255" t="s">
        <v>759</v>
      </c>
      <c r="D8617" s="59">
        <v>1147</v>
      </c>
      <c r="E8617" s="59"/>
    </row>
    <row r="8618" spans="3:5" x14ac:dyDescent="0.15">
      <c r="C8618" s="255" t="s">
        <v>760</v>
      </c>
      <c r="D8618" s="59">
        <v>156.1</v>
      </c>
      <c r="E8618" s="59"/>
    </row>
    <row r="8619" spans="3:5" x14ac:dyDescent="0.15">
      <c r="C8619" s="255" t="s">
        <v>761</v>
      </c>
      <c r="D8619" s="59">
        <v>285.5</v>
      </c>
      <c r="E8619" s="59"/>
    </row>
    <row r="8620" spans="3:5" x14ac:dyDescent="0.15">
      <c r="C8620" s="255" t="s">
        <v>762</v>
      </c>
      <c r="D8620" s="59">
        <v>408.8</v>
      </c>
      <c r="E8620" s="59"/>
    </row>
    <row r="8621" spans="3:5" x14ac:dyDescent="0.15">
      <c r="C8621" s="255" t="s">
        <v>763</v>
      </c>
      <c r="D8621" s="59">
        <v>130.19999999999999</v>
      </c>
      <c r="E8621" s="59"/>
    </row>
    <row r="8622" spans="3:5" x14ac:dyDescent="0.15">
      <c r="C8622" s="255" t="s">
        <v>764</v>
      </c>
      <c r="D8622" s="59">
        <v>1477.6</v>
      </c>
      <c r="E8622" s="59"/>
    </row>
    <row r="8623" spans="3:5" x14ac:dyDescent="0.15">
      <c r="C8623" s="255" t="s">
        <v>765</v>
      </c>
      <c r="D8623" s="59">
        <v>769.4</v>
      </c>
      <c r="E8623" s="59"/>
    </row>
    <row r="8624" spans="3:5" x14ac:dyDescent="0.15">
      <c r="C8624" s="255" t="s">
        <v>766</v>
      </c>
      <c r="D8624" s="59">
        <v>167.8</v>
      </c>
      <c r="E8624" s="59"/>
    </row>
    <row r="8625" spans="3:5" x14ac:dyDescent="0.15">
      <c r="C8625" s="255" t="s">
        <v>767</v>
      </c>
      <c r="D8625" s="59">
        <v>960.4</v>
      </c>
      <c r="E8625" s="59"/>
    </row>
    <row r="8626" spans="3:5" x14ac:dyDescent="0.15">
      <c r="C8626" s="255" t="s">
        <v>768</v>
      </c>
      <c r="D8626" s="59">
        <v>30.3</v>
      </c>
      <c r="E8626" s="59"/>
    </row>
    <row r="8627" spans="3:5" x14ac:dyDescent="0.15">
      <c r="C8627" s="255" t="s">
        <v>769</v>
      </c>
      <c r="D8627" s="59">
        <v>11.4</v>
      </c>
      <c r="E8627" s="59"/>
    </row>
    <row r="8628" spans="3:5" x14ac:dyDescent="0.15">
      <c r="C8628" s="255" t="s">
        <v>770</v>
      </c>
      <c r="D8628" s="59">
        <v>1353.7</v>
      </c>
      <c r="E8628" s="59"/>
    </row>
    <row r="8629" spans="3:5" x14ac:dyDescent="0.15">
      <c r="C8629" s="255" t="s">
        <v>771</v>
      </c>
      <c r="D8629" s="59">
        <v>1110.4000000000001</v>
      </c>
      <c r="E8629" s="59"/>
    </row>
    <row r="8630" spans="3:5" x14ac:dyDescent="0.15">
      <c r="C8630" s="255" t="s">
        <v>772</v>
      </c>
      <c r="D8630" s="59">
        <v>587.29999999999995</v>
      </c>
      <c r="E8630" s="59"/>
    </row>
    <row r="8631" spans="3:5" x14ac:dyDescent="0.15">
      <c r="C8631" s="255" t="s">
        <v>773</v>
      </c>
      <c r="D8631" s="59">
        <v>85.8</v>
      </c>
      <c r="E8631" s="59"/>
    </row>
    <row r="8632" spans="3:5" x14ac:dyDescent="0.15">
      <c r="C8632" s="255" t="s">
        <v>774</v>
      </c>
      <c r="D8632" s="59">
        <v>73.2</v>
      </c>
      <c r="E8632" s="59"/>
    </row>
    <row r="8633" spans="3:5" x14ac:dyDescent="0.15">
      <c r="C8633" s="255" t="s">
        <v>775</v>
      </c>
      <c r="D8633" s="59">
        <v>71.099999999999994</v>
      </c>
      <c r="E8633" s="59"/>
    </row>
    <row r="8634" spans="3:5" x14ac:dyDescent="0.15">
      <c r="C8634" s="255" t="s">
        <v>776</v>
      </c>
      <c r="D8634" s="59">
        <v>270</v>
      </c>
      <c r="E8634" s="59"/>
    </row>
    <row r="8635" spans="3:5" x14ac:dyDescent="0.15">
      <c r="C8635" s="255" t="s">
        <v>777</v>
      </c>
      <c r="D8635" s="59">
        <v>709.8</v>
      </c>
      <c r="E8635" s="59"/>
    </row>
    <row r="8636" spans="3:5" x14ac:dyDescent="0.15">
      <c r="C8636" s="255" t="s">
        <v>778</v>
      </c>
      <c r="D8636" s="59">
        <v>397.2</v>
      </c>
      <c r="E8636" s="59"/>
    </row>
    <row r="8637" spans="3:5" x14ac:dyDescent="0.15">
      <c r="C8637" s="255" t="s">
        <v>779</v>
      </c>
      <c r="D8637" s="59">
        <v>462.1</v>
      </c>
      <c r="E8637" s="59"/>
    </row>
    <row r="8638" spans="3:5" x14ac:dyDescent="0.15">
      <c r="C8638" s="255" t="s">
        <v>780</v>
      </c>
      <c r="D8638" s="59">
        <v>4.0999999999999996</v>
      </c>
      <c r="E8638" s="59"/>
    </row>
    <row r="8639" spans="3:5" x14ac:dyDescent="0.15">
      <c r="C8639" s="255" t="s">
        <v>781</v>
      </c>
      <c r="D8639" s="59">
        <v>781.5</v>
      </c>
      <c r="E8639" s="59"/>
    </row>
    <row r="8640" spans="3:5" x14ac:dyDescent="0.15">
      <c r="C8640" s="255" t="s">
        <v>782</v>
      </c>
      <c r="D8640" s="59">
        <v>1763.1</v>
      </c>
      <c r="E8640" s="59"/>
    </row>
    <row r="8641" spans="3:5" x14ac:dyDescent="0.15">
      <c r="C8641" s="255" t="s">
        <v>783</v>
      </c>
      <c r="D8641" s="59">
        <v>635.6</v>
      </c>
      <c r="E8641" s="59"/>
    </row>
    <row r="8642" spans="3:5" x14ac:dyDescent="0.15">
      <c r="C8642" s="255" t="s">
        <v>784</v>
      </c>
      <c r="D8642" s="59">
        <v>594.20000000000005</v>
      </c>
      <c r="E8642" s="59"/>
    </row>
    <row r="8643" spans="3:5" x14ac:dyDescent="0.15">
      <c r="C8643" s="255" t="s">
        <v>785</v>
      </c>
      <c r="D8643" s="59">
        <v>482.4</v>
      </c>
      <c r="E8643" s="59"/>
    </row>
    <row r="8644" spans="3:5" x14ac:dyDescent="0.15">
      <c r="C8644" s="255" t="s">
        <v>786</v>
      </c>
      <c r="D8644" s="59">
        <v>130.6</v>
      </c>
      <c r="E8644" s="59"/>
    </row>
    <row r="8645" spans="3:5" x14ac:dyDescent="0.15">
      <c r="C8645" s="255" t="s">
        <v>787</v>
      </c>
      <c r="D8645" s="59">
        <v>77.2</v>
      </c>
      <c r="E8645" s="59"/>
    </row>
    <row r="8646" spans="3:5" x14ac:dyDescent="0.15">
      <c r="C8646" s="255" t="s">
        <v>788</v>
      </c>
      <c r="D8646" s="59">
        <v>123.9</v>
      </c>
      <c r="E8646" s="59"/>
    </row>
    <row r="8647" spans="3:5" x14ac:dyDescent="0.15">
      <c r="C8647" s="255" t="s">
        <v>789</v>
      </c>
      <c r="D8647" s="59">
        <v>7.3</v>
      </c>
      <c r="E8647" s="59"/>
    </row>
    <row r="8648" spans="3:5" x14ac:dyDescent="0.15">
      <c r="C8648" s="255" t="s">
        <v>790</v>
      </c>
      <c r="D8648" s="59">
        <v>2319.5</v>
      </c>
      <c r="E8648" s="59"/>
    </row>
    <row r="8649" spans="3:5" x14ac:dyDescent="0.15">
      <c r="C8649" s="255" t="s">
        <v>791</v>
      </c>
      <c r="D8649" s="59">
        <v>60.2</v>
      </c>
      <c r="E8649" s="59"/>
    </row>
    <row r="8650" spans="3:5" x14ac:dyDescent="0.15">
      <c r="C8650" s="255" t="s">
        <v>792</v>
      </c>
      <c r="D8650" s="59">
        <v>791.7</v>
      </c>
      <c r="E8650" s="59"/>
    </row>
    <row r="8651" spans="3:5" x14ac:dyDescent="0.15">
      <c r="C8651" s="255" t="s">
        <v>793</v>
      </c>
      <c r="D8651" s="59">
        <v>136</v>
      </c>
      <c r="E8651" s="59"/>
    </row>
    <row r="8652" spans="3:5" x14ac:dyDescent="0.15">
      <c r="C8652" s="255" t="s">
        <v>794</v>
      </c>
      <c r="D8652" s="59">
        <v>2261.6</v>
      </c>
      <c r="E8652" s="59"/>
    </row>
    <row r="8653" spans="3:5" x14ac:dyDescent="0.15">
      <c r="C8653" s="255" t="s">
        <v>795</v>
      </c>
      <c r="D8653" s="59">
        <v>207</v>
      </c>
      <c r="E8653" s="59"/>
    </row>
    <row r="8654" spans="3:5" x14ac:dyDescent="0.15">
      <c r="C8654" s="255" t="s">
        <v>796</v>
      </c>
      <c r="D8654" s="59">
        <v>580.1</v>
      </c>
      <c r="E8654" s="59"/>
    </row>
    <row r="8655" spans="3:5" x14ac:dyDescent="0.15">
      <c r="C8655" s="255" t="s">
        <v>797</v>
      </c>
      <c r="D8655" s="59">
        <v>459.8</v>
      </c>
      <c r="E8655" s="59"/>
    </row>
    <row r="8656" spans="3:5" x14ac:dyDescent="0.15">
      <c r="C8656" s="255" t="s">
        <v>798</v>
      </c>
      <c r="D8656" s="59">
        <v>269.60000000000002</v>
      </c>
      <c r="E8656" s="59"/>
    </row>
    <row r="8657" spans="3:5" x14ac:dyDescent="0.15">
      <c r="C8657" s="255" t="s">
        <v>799</v>
      </c>
      <c r="D8657" s="59">
        <v>101.3</v>
      </c>
      <c r="E8657" s="59"/>
    </row>
    <row r="8658" spans="3:5" x14ac:dyDescent="0.15">
      <c r="C8658" s="255" t="s">
        <v>800</v>
      </c>
      <c r="D8658" s="59">
        <v>98.9</v>
      </c>
      <c r="E8658" s="59"/>
    </row>
    <row r="8659" spans="3:5" x14ac:dyDescent="0.15">
      <c r="C8659" s="255" t="s">
        <v>801</v>
      </c>
      <c r="D8659" s="59">
        <v>288.7</v>
      </c>
      <c r="E8659" s="59"/>
    </row>
    <row r="8660" spans="3:5" x14ac:dyDescent="0.15">
      <c r="C8660" s="255" t="s">
        <v>802</v>
      </c>
      <c r="D8660" s="59">
        <v>929.4</v>
      </c>
      <c r="E8660" s="59"/>
    </row>
    <row r="8661" spans="3:5" x14ac:dyDescent="0.15">
      <c r="C8661" s="255" t="s">
        <v>803</v>
      </c>
      <c r="D8661" s="59">
        <v>1175.9000000000001</v>
      </c>
      <c r="E8661" s="59"/>
    </row>
    <row r="8662" spans="3:5" x14ac:dyDescent="0.15">
      <c r="C8662" s="255" t="s">
        <v>804</v>
      </c>
      <c r="D8662" s="59">
        <v>682.3</v>
      </c>
      <c r="E8662" s="59"/>
    </row>
    <row r="8663" spans="3:5" x14ac:dyDescent="0.15">
      <c r="C8663" s="255" t="s">
        <v>805</v>
      </c>
      <c r="D8663" s="59">
        <v>51.5</v>
      </c>
      <c r="E8663" s="59"/>
    </row>
    <row r="8664" spans="3:5" x14ac:dyDescent="0.15">
      <c r="C8664" s="255" t="s">
        <v>806</v>
      </c>
      <c r="D8664" s="59">
        <v>587.29999999999995</v>
      </c>
      <c r="E8664" s="59"/>
    </row>
    <row r="8665" spans="3:5" x14ac:dyDescent="0.15">
      <c r="C8665" s="255" t="s">
        <v>807</v>
      </c>
      <c r="D8665" s="59">
        <v>339.6</v>
      </c>
      <c r="E8665" s="59"/>
    </row>
    <row r="8666" spans="3:5" x14ac:dyDescent="0.15">
      <c r="C8666" s="255" t="s">
        <v>808</v>
      </c>
      <c r="D8666" s="59">
        <v>118.8</v>
      </c>
      <c r="E8666" s="59"/>
    </row>
    <row r="8667" spans="3:5" x14ac:dyDescent="0.15">
      <c r="C8667" s="255" t="s">
        <v>809</v>
      </c>
      <c r="D8667" s="59">
        <v>277.10000000000002</v>
      </c>
      <c r="E8667" s="59"/>
    </row>
    <row r="8668" spans="3:5" x14ac:dyDescent="0.15">
      <c r="C8668" s="255" t="s">
        <v>810</v>
      </c>
      <c r="D8668" s="59">
        <v>179.9</v>
      </c>
      <c r="E8668" s="59"/>
    </row>
    <row r="8669" spans="3:5" x14ac:dyDescent="0.15">
      <c r="C8669" s="255" t="s">
        <v>811</v>
      </c>
      <c r="D8669" s="59">
        <v>996.7</v>
      </c>
      <c r="E8669" s="59"/>
    </row>
    <row r="8670" spans="3:5" x14ac:dyDescent="0.15">
      <c r="C8670" s="255" t="s">
        <v>812</v>
      </c>
      <c r="D8670" s="59">
        <v>145.9</v>
      </c>
      <c r="E8670" s="59"/>
    </row>
    <row r="8671" spans="3:5" x14ac:dyDescent="0.15">
      <c r="C8671" s="255" t="s">
        <v>813</v>
      </c>
      <c r="D8671" s="59">
        <v>36.200000000000003</v>
      </c>
      <c r="E8671" s="59"/>
    </row>
    <row r="8672" spans="3:5" x14ac:dyDescent="0.15">
      <c r="C8672" s="255" t="s">
        <v>814</v>
      </c>
      <c r="D8672" s="59">
        <v>193.9</v>
      </c>
      <c r="E8672" s="59"/>
    </row>
    <row r="8673" spans="3:5" x14ac:dyDescent="0.15">
      <c r="C8673" s="255" t="s">
        <v>815</v>
      </c>
      <c r="D8673" s="59">
        <v>874</v>
      </c>
      <c r="E8673" s="59"/>
    </row>
    <row r="8674" spans="3:5" x14ac:dyDescent="0.15">
      <c r="C8674" s="255" t="s">
        <v>816</v>
      </c>
      <c r="D8674" s="59">
        <v>548.70000000000005</v>
      </c>
      <c r="E8674" s="59"/>
    </row>
    <row r="8675" spans="3:5" x14ac:dyDescent="0.15">
      <c r="C8675" s="255" t="s">
        <v>817</v>
      </c>
      <c r="D8675" s="59">
        <v>6141.1</v>
      </c>
      <c r="E8675" s="59"/>
    </row>
    <row r="8676" spans="3:5" x14ac:dyDescent="0.15">
      <c r="C8676" s="255" t="s">
        <v>818</v>
      </c>
      <c r="D8676" s="59">
        <v>582.20000000000005</v>
      </c>
      <c r="E8676" s="59"/>
    </row>
    <row r="8677" spans="3:5" x14ac:dyDescent="0.15">
      <c r="C8677" s="255" t="s">
        <v>819</v>
      </c>
      <c r="D8677" s="59">
        <v>5.9</v>
      </c>
      <c r="E8677" s="59"/>
    </row>
    <row r="8678" spans="3:5" x14ac:dyDescent="0.15">
      <c r="C8678" s="255" t="s">
        <v>820</v>
      </c>
      <c r="D8678" s="59">
        <v>2507.9</v>
      </c>
      <c r="E8678" s="59"/>
    </row>
    <row r="8679" spans="3:5" x14ac:dyDescent="0.15">
      <c r="C8679" s="255" t="s">
        <v>821</v>
      </c>
      <c r="D8679" s="59">
        <v>44.8</v>
      </c>
      <c r="E8679" s="59"/>
    </row>
    <row r="8680" spans="3:5" x14ac:dyDescent="0.15">
      <c r="C8680" s="255" t="s">
        <v>822</v>
      </c>
      <c r="D8680" s="59">
        <v>268</v>
      </c>
      <c r="E8680" s="59"/>
    </row>
    <row r="8681" spans="3:5" x14ac:dyDescent="0.15">
      <c r="C8681" s="255" t="s">
        <v>823</v>
      </c>
      <c r="D8681" s="59">
        <v>2.6</v>
      </c>
      <c r="E8681" s="59"/>
    </row>
    <row r="8682" spans="3:5" x14ac:dyDescent="0.15">
      <c r="C8682" s="255" t="s">
        <v>824</v>
      </c>
      <c r="D8682" s="59">
        <v>670.2</v>
      </c>
      <c r="E8682" s="59"/>
    </row>
    <row r="8683" spans="3:5" x14ac:dyDescent="0.15">
      <c r="C8683" s="255" t="s">
        <v>825</v>
      </c>
      <c r="D8683" s="59">
        <v>751</v>
      </c>
      <c r="E8683" s="59"/>
    </row>
    <row r="8684" spans="3:5" x14ac:dyDescent="0.15">
      <c r="C8684" s="255" t="s">
        <v>826</v>
      </c>
      <c r="D8684" s="59">
        <v>3.4</v>
      </c>
      <c r="E8684" s="59"/>
    </row>
    <row r="8685" spans="3:5" x14ac:dyDescent="0.15">
      <c r="C8685" s="255" t="s">
        <v>827</v>
      </c>
      <c r="D8685" s="59">
        <v>7.8</v>
      </c>
      <c r="E8685" s="59"/>
    </row>
    <row r="8686" spans="3:5" x14ac:dyDescent="0.15">
      <c r="C8686" s="255" t="s">
        <v>828</v>
      </c>
      <c r="D8686" s="59">
        <v>1009.8</v>
      </c>
      <c r="E8686" s="59"/>
    </row>
    <row r="8687" spans="3:5" x14ac:dyDescent="0.15">
      <c r="C8687" s="255" t="s">
        <v>829</v>
      </c>
      <c r="D8687" s="59">
        <v>5.0999999999999996</v>
      </c>
      <c r="E8687" s="59"/>
    </row>
    <row r="8688" spans="3:5" x14ac:dyDescent="0.15">
      <c r="C8688" s="255" t="s">
        <v>830</v>
      </c>
      <c r="D8688" s="59">
        <v>282.39999999999998</v>
      </c>
      <c r="E8688" s="59"/>
    </row>
    <row r="8689" spans="3:5" x14ac:dyDescent="0.15">
      <c r="C8689" s="255" t="s">
        <v>831</v>
      </c>
      <c r="D8689" s="59">
        <v>0</v>
      </c>
      <c r="E8689" s="59"/>
    </row>
    <row r="8690" spans="3:5" x14ac:dyDescent="0.15">
      <c r="C8690" s="255" t="s">
        <v>832</v>
      </c>
      <c r="D8690" s="59">
        <v>11054.4</v>
      </c>
      <c r="E8690" s="59"/>
    </row>
    <row r="8691" spans="3:5" x14ac:dyDescent="0.15">
      <c r="C8691" s="255" t="s">
        <v>833</v>
      </c>
      <c r="D8691" s="59">
        <v>112</v>
      </c>
      <c r="E8691" s="59"/>
    </row>
    <row r="8692" spans="3:5" x14ac:dyDescent="0.15">
      <c r="C8692" s="255" t="s">
        <v>834</v>
      </c>
      <c r="D8692" s="59">
        <v>2240.1999999999998</v>
      </c>
      <c r="E8692" s="59"/>
    </row>
    <row r="8693" spans="3:5" x14ac:dyDescent="0.15">
      <c r="C8693" s="255" t="s">
        <v>835</v>
      </c>
      <c r="D8693" s="59">
        <v>5403.5</v>
      </c>
      <c r="E8693" s="59"/>
    </row>
    <row r="8694" spans="3:5" x14ac:dyDescent="0.15">
      <c r="C8694" s="255" t="s">
        <v>836</v>
      </c>
      <c r="D8694" s="59">
        <v>774.7</v>
      </c>
      <c r="E8694" s="59"/>
    </row>
    <row r="8695" spans="3:5" x14ac:dyDescent="0.15">
      <c r="C8695" s="255" t="s">
        <v>837</v>
      </c>
      <c r="D8695" s="59">
        <v>151.9</v>
      </c>
      <c r="E8695" s="59"/>
    </row>
    <row r="8696" spans="3:5" x14ac:dyDescent="0.15">
      <c r="C8696" s="255" t="s">
        <v>838</v>
      </c>
      <c r="D8696" s="59">
        <v>230.9</v>
      </c>
      <c r="E8696" s="59"/>
    </row>
    <row r="8697" spans="3:5" x14ac:dyDescent="0.15">
      <c r="C8697" s="255" t="s">
        <v>839</v>
      </c>
      <c r="D8697" s="59">
        <v>63.3</v>
      </c>
      <c r="E8697" s="59"/>
    </row>
    <row r="8698" spans="3:5" x14ac:dyDescent="0.15">
      <c r="C8698" s="255" t="s">
        <v>840</v>
      </c>
      <c r="D8698" s="59">
        <v>8.5</v>
      </c>
      <c r="E8698" s="59"/>
    </row>
    <row r="8699" spans="3:5" x14ac:dyDescent="0.15">
      <c r="C8699" s="255" t="s">
        <v>841</v>
      </c>
      <c r="D8699" s="59">
        <v>766.1</v>
      </c>
      <c r="E8699" s="59"/>
    </row>
    <row r="8700" spans="3:5" x14ac:dyDescent="0.15">
      <c r="C8700" s="255" t="s">
        <v>842</v>
      </c>
      <c r="D8700" s="59">
        <v>1060.0999999999999</v>
      </c>
      <c r="E8700" s="59"/>
    </row>
    <row r="8701" spans="3:5" x14ac:dyDescent="0.15">
      <c r="C8701" s="255" t="s">
        <v>843</v>
      </c>
      <c r="D8701" s="59">
        <v>236</v>
      </c>
      <c r="E8701" s="59"/>
    </row>
    <row r="8702" spans="3:5" x14ac:dyDescent="0.15">
      <c r="C8702" s="255" t="s">
        <v>844</v>
      </c>
      <c r="D8702" s="59">
        <v>7.1</v>
      </c>
      <c r="E8702" s="59"/>
    </row>
    <row r="8703" spans="3:5" x14ac:dyDescent="0.15">
      <c r="C8703" s="255" t="s">
        <v>845</v>
      </c>
      <c r="D8703" s="59">
        <v>78597.3</v>
      </c>
      <c r="E8703" s="59"/>
    </row>
    <row r="8704" spans="3:5" x14ac:dyDescent="0.15">
      <c r="C8704" s="255" t="s">
        <v>846</v>
      </c>
      <c r="D8704" s="59">
        <v>47903.1</v>
      </c>
      <c r="E8704" s="59"/>
    </row>
    <row r="8705" spans="3:5" x14ac:dyDescent="0.15">
      <c r="C8705" s="255" t="s">
        <v>847</v>
      </c>
      <c r="D8705" s="59">
        <v>116.4</v>
      </c>
      <c r="E8705" s="59"/>
    </row>
    <row r="8706" spans="3:5" x14ac:dyDescent="0.15">
      <c r="C8706" s="255" t="s">
        <v>848</v>
      </c>
      <c r="D8706" s="59">
        <v>240</v>
      </c>
      <c r="E8706" s="59"/>
    </row>
    <row r="8707" spans="3:5" x14ac:dyDescent="0.15">
      <c r="C8707" s="255" t="s">
        <v>849</v>
      </c>
      <c r="D8707" s="59">
        <v>3750.6</v>
      </c>
      <c r="E8707" s="59"/>
    </row>
    <row r="8708" spans="3:5" x14ac:dyDescent="0.15">
      <c r="C8708" s="255" t="s">
        <v>850</v>
      </c>
      <c r="D8708" s="59">
        <v>1003.6</v>
      </c>
      <c r="E8708" s="59"/>
    </row>
    <row r="8709" spans="3:5" x14ac:dyDescent="0.15">
      <c r="C8709" s="255" t="s">
        <v>851</v>
      </c>
      <c r="D8709" s="59">
        <v>0</v>
      </c>
      <c r="E8709" s="59"/>
    </row>
    <row r="8710" spans="3:5" x14ac:dyDescent="0.15">
      <c r="C8710" s="255" t="s">
        <v>852</v>
      </c>
      <c r="D8710" s="59">
        <v>0</v>
      </c>
      <c r="E8710" s="59"/>
    </row>
    <row r="8711" spans="3:5" x14ac:dyDescent="0.15">
      <c r="C8711" s="255" t="s">
        <v>853</v>
      </c>
      <c r="D8711" s="59">
        <v>0</v>
      </c>
      <c r="E8711" s="59"/>
    </row>
    <row r="8712" spans="3:5" x14ac:dyDescent="0.15">
      <c r="C8712" s="255" t="s">
        <v>854</v>
      </c>
      <c r="D8712" s="59">
        <v>0</v>
      </c>
      <c r="E8712" s="59"/>
    </row>
    <row r="8713" spans="3:5" x14ac:dyDescent="0.15">
      <c r="C8713" s="255" t="s">
        <v>855</v>
      </c>
      <c r="D8713" s="59">
        <v>32.799999999999997</v>
      </c>
      <c r="E8713" s="59"/>
    </row>
    <row r="8714" spans="3:5" x14ac:dyDescent="0.15">
      <c r="C8714" s="255" t="s">
        <v>856</v>
      </c>
      <c r="D8714" s="59">
        <v>1982.5</v>
      </c>
      <c r="E8714" s="59"/>
    </row>
    <row r="8715" spans="3:5" x14ac:dyDescent="0.15">
      <c r="C8715" s="255" t="s">
        <v>857</v>
      </c>
      <c r="D8715" s="59">
        <v>1940</v>
      </c>
      <c r="E8715" s="59"/>
    </row>
    <row r="8716" spans="3:5" x14ac:dyDescent="0.15">
      <c r="C8716" s="255" t="s">
        <v>858</v>
      </c>
      <c r="D8716" s="59">
        <v>1966.5</v>
      </c>
      <c r="E8716" s="59"/>
    </row>
    <row r="8717" spans="3:5" x14ac:dyDescent="0.15">
      <c r="C8717" s="255" t="s">
        <v>859</v>
      </c>
      <c r="D8717" s="59">
        <v>1225.7</v>
      </c>
      <c r="E8717" s="59"/>
    </row>
    <row r="8718" spans="3:5" x14ac:dyDescent="0.15">
      <c r="C8718" s="255" t="s">
        <v>860</v>
      </c>
      <c r="D8718" s="59">
        <v>57.5</v>
      </c>
      <c r="E8718" s="59"/>
    </row>
    <row r="8719" spans="3:5" x14ac:dyDescent="0.15">
      <c r="C8719" s="255" t="s">
        <v>861</v>
      </c>
      <c r="D8719" s="59">
        <v>995.1</v>
      </c>
      <c r="E8719" s="59"/>
    </row>
    <row r="8720" spans="3:5" x14ac:dyDescent="0.15">
      <c r="C8720" s="255" t="s">
        <v>862</v>
      </c>
      <c r="D8720" s="59">
        <v>5436.8</v>
      </c>
      <c r="E8720" s="59"/>
    </row>
    <row r="8721" spans="3:5" x14ac:dyDescent="0.15">
      <c r="C8721" s="255" t="s">
        <v>863</v>
      </c>
      <c r="D8721" s="59">
        <v>1082.7</v>
      </c>
      <c r="E8721" s="59"/>
    </row>
    <row r="8722" spans="3:5" x14ac:dyDescent="0.15">
      <c r="C8722" s="255" t="s">
        <v>864</v>
      </c>
      <c r="D8722" s="59">
        <v>3.6</v>
      </c>
      <c r="E8722" s="59"/>
    </row>
    <row r="8723" spans="3:5" x14ac:dyDescent="0.15">
      <c r="C8723" s="255" t="s">
        <v>865</v>
      </c>
      <c r="D8723" s="59">
        <v>68.599999999999994</v>
      </c>
      <c r="E8723" s="59"/>
    </row>
    <row r="8724" spans="3:5" x14ac:dyDescent="0.15">
      <c r="C8724" s="255" t="s">
        <v>866</v>
      </c>
      <c r="D8724" s="59">
        <v>145.5</v>
      </c>
      <c r="E8724" s="59"/>
    </row>
    <row r="8725" spans="3:5" x14ac:dyDescent="0.15">
      <c r="C8725" s="255" t="s">
        <v>867</v>
      </c>
      <c r="D8725" s="59">
        <v>233.3</v>
      </c>
      <c r="E8725" s="59"/>
    </row>
    <row r="8726" spans="3:5" x14ac:dyDescent="0.15">
      <c r="C8726" s="255" t="s">
        <v>868</v>
      </c>
      <c r="D8726" s="59">
        <v>10413.1</v>
      </c>
      <c r="E8726" s="59"/>
    </row>
    <row r="8727" spans="3:5" x14ac:dyDescent="0.15">
      <c r="C8727" s="255" t="s">
        <v>869</v>
      </c>
      <c r="D8727" s="59">
        <v>13816.2</v>
      </c>
      <c r="E8727" s="59"/>
    </row>
    <row r="8728" spans="3:5" x14ac:dyDescent="0.15">
      <c r="C8728" s="255" t="s">
        <v>870</v>
      </c>
      <c r="D8728" s="59">
        <v>3807.4</v>
      </c>
      <c r="E8728" s="59"/>
    </row>
    <row r="8729" spans="3:5" x14ac:dyDescent="0.15">
      <c r="C8729" s="255" t="s">
        <v>871</v>
      </c>
      <c r="D8729" s="59">
        <v>520.5</v>
      </c>
      <c r="E8729" s="59"/>
    </row>
    <row r="8730" spans="3:5" x14ac:dyDescent="0.15">
      <c r="C8730" s="255" t="s">
        <v>872</v>
      </c>
      <c r="D8730" s="59">
        <v>181.3</v>
      </c>
      <c r="E8730" s="59"/>
    </row>
    <row r="8731" spans="3:5" x14ac:dyDescent="0.15">
      <c r="C8731" s="255" t="s">
        <v>873</v>
      </c>
      <c r="D8731" s="59">
        <v>629.20000000000005</v>
      </c>
      <c r="E8731" s="59"/>
    </row>
    <row r="8732" spans="3:5" x14ac:dyDescent="0.15">
      <c r="C8732" s="255" t="s">
        <v>874</v>
      </c>
      <c r="D8732" s="59">
        <v>125.9</v>
      </c>
      <c r="E8732" s="59"/>
    </row>
    <row r="8733" spans="3:5" x14ac:dyDescent="0.15">
      <c r="C8733" s="255" t="s">
        <v>875</v>
      </c>
      <c r="D8733" s="59">
        <v>111.2</v>
      </c>
      <c r="E8733" s="59"/>
    </row>
    <row r="8734" spans="3:5" x14ac:dyDescent="0.15">
      <c r="C8734" s="255" t="s">
        <v>876</v>
      </c>
      <c r="D8734" s="59">
        <v>75.099999999999994</v>
      </c>
      <c r="E8734" s="59"/>
    </row>
    <row r="8735" spans="3:5" x14ac:dyDescent="0.15">
      <c r="C8735" s="255" t="s">
        <v>877</v>
      </c>
      <c r="D8735" s="59">
        <v>0.4</v>
      </c>
      <c r="E8735" s="59"/>
    </row>
    <row r="8736" spans="3:5" x14ac:dyDescent="0.15">
      <c r="C8736" s="255" t="s">
        <v>878</v>
      </c>
      <c r="D8736" s="59">
        <v>13.8</v>
      </c>
      <c r="E8736" s="59"/>
    </row>
    <row r="8737" spans="3:5" x14ac:dyDescent="0.15">
      <c r="C8737" s="255" t="s">
        <v>879</v>
      </c>
      <c r="D8737" s="59">
        <v>478.6</v>
      </c>
      <c r="E8737" s="59"/>
    </row>
    <row r="8738" spans="3:5" x14ac:dyDescent="0.15">
      <c r="C8738" s="255" t="s">
        <v>880</v>
      </c>
      <c r="D8738" s="59">
        <v>15.5</v>
      </c>
      <c r="E8738" s="59"/>
    </row>
    <row r="8739" spans="3:5" x14ac:dyDescent="0.15">
      <c r="C8739" s="255" t="s">
        <v>881</v>
      </c>
      <c r="D8739" s="59">
        <v>0</v>
      </c>
      <c r="E8739" s="59"/>
    </row>
    <row r="8740" spans="3:5" x14ac:dyDescent="0.15">
      <c r="C8740" s="255" t="s">
        <v>882</v>
      </c>
      <c r="D8740" s="59">
        <v>118.4</v>
      </c>
      <c r="E8740" s="59"/>
    </row>
    <row r="8741" spans="3:5" x14ac:dyDescent="0.15">
      <c r="C8741" s="255" t="s">
        <v>883</v>
      </c>
      <c r="D8741" s="59">
        <v>533.6</v>
      </c>
      <c r="E8741" s="59"/>
    </row>
    <row r="8742" spans="3:5" x14ac:dyDescent="0.15">
      <c r="C8742" s="255" t="s">
        <v>884</v>
      </c>
      <c r="D8742" s="59">
        <v>947.5</v>
      </c>
      <c r="E8742" s="59"/>
    </row>
    <row r="8743" spans="3:5" x14ac:dyDescent="0.15">
      <c r="C8743" s="255" t="s">
        <v>885</v>
      </c>
      <c r="D8743" s="59">
        <v>444.6</v>
      </c>
      <c r="E8743" s="59"/>
    </row>
    <row r="8744" spans="3:5" x14ac:dyDescent="0.15">
      <c r="C8744" s="255" t="s">
        <v>886</v>
      </c>
      <c r="D8744" s="59">
        <v>1.3</v>
      </c>
      <c r="E8744" s="59"/>
    </row>
    <row r="8745" spans="3:5" x14ac:dyDescent="0.15">
      <c r="C8745" s="255" t="s">
        <v>887</v>
      </c>
      <c r="D8745" s="59">
        <v>354.2</v>
      </c>
      <c r="E8745" s="59"/>
    </row>
    <row r="8746" spans="3:5" x14ac:dyDescent="0.15">
      <c r="C8746" s="255" t="s">
        <v>888</v>
      </c>
      <c r="D8746" s="59">
        <v>233.3</v>
      </c>
      <c r="E8746" s="59"/>
    </row>
    <row r="8747" spans="3:5" x14ac:dyDescent="0.15">
      <c r="C8747" s="255" t="s">
        <v>889</v>
      </c>
      <c r="D8747" s="59">
        <v>199.8</v>
      </c>
      <c r="E8747" s="59"/>
    </row>
    <row r="8748" spans="3:5" x14ac:dyDescent="0.15">
      <c r="C8748" s="255" t="s">
        <v>890</v>
      </c>
      <c r="D8748" s="59">
        <v>83.5</v>
      </c>
      <c r="E8748" s="59"/>
    </row>
    <row r="8749" spans="3:5" x14ac:dyDescent="0.15">
      <c r="C8749" s="255" t="s">
        <v>891</v>
      </c>
      <c r="D8749" s="59">
        <v>40.5</v>
      </c>
      <c r="E8749" s="59"/>
    </row>
    <row r="8750" spans="3:5" x14ac:dyDescent="0.15">
      <c r="C8750" s="255" t="s">
        <v>892</v>
      </c>
      <c r="D8750" s="59">
        <v>23.3</v>
      </c>
      <c r="E8750" s="59"/>
    </row>
    <row r="8751" spans="3:5" x14ac:dyDescent="0.15">
      <c r="C8751" s="255" t="s">
        <v>893</v>
      </c>
      <c r="D8751" s="59">
        <v>72.5</v>
      </c>
      <c r="E8751" s="59"/>
    </row>
    <row r="8752" spans="3:5" x14ac:dyDescent="0.15">
      <c r="C8752" s="255" t="s">
        <v>894</v>
      </c>
      <c r="D8752" s="59">
        <v>0</v>
      </c>
      <c r="E8752" s="59"/>
    </row>
    <row r="8753" spans="3:5" x14ac:dyDescent="0.15">
      <c r="C8753" s="255" t="s">
        <v>895</v>
      </c>
      <c r="D8753" s="59">
        <v>214.2</v>
      </c>
      <c r="E8753" s="59"/>
    </row>
    <row r="8754" spans="3:5" x14ac:dyDescent="0.15">
      <c r="C8754" s="255" t="s">
        <v>896</v>
      </c>
      <c r="D8754" s="59">
        <v>103.3</v>
      </c>
      <c r="E8754" s="59"/>
    </row>
    <row r="8755" spans="3:5" x14ac:dyDescent="0.15">
      <c r="C8755" s="255" t="s">
        <v>897</v>
      </c>
      <c r="D8755" s="59">
        <v>799.6</v>
      </c>
      <c r="E8755" s="59"/>
    </row>
    <row r="8756" spans="3:5" x14ac:dyDescent="0.15">
      <c r="C8756" s="255" t="s">
        <v>898</v>
      </c>
      <c r="D8756" s="59">
        <v>68.900000000000006</v>
      </c>
      <c r="E8756" s="59"/>
    </row>
    <row r="8757" spans="3:5" x14ac:dyDescent="0.15">
      <c r="C8757" s="255" t="s">
        <v>899</v>
      </c>
      <c r="D8757" s="59">
        <v>1</v>
      </c>
      <c r="E8757" s="59"/>
    </row>
    <row r="8758" spans="3:5" x14ac:dyDescent="0.15">
      <c r="C8758" s="255" t="s">
        <v>900</v>
      </c>
      <c r="D8758" s="59">
        <v>262.7</v>
      </c>
      <c r="E8758" s="59"/>
    </row>
    <row r="8759" spans="3:5" x14ac:dyDescent="0.15">
      <c r="C8759" s="255" t="s">
        <v>901</v>
      </c>
      <c r="D8759" s="59">
        <v>856.5</v>
      </c>
      <c r="E8759" s="59"/>
    </row>
    <row r="8760" spans="3:5" x14ac:dyDescent="0.15">
      <c r="C8760" s="255" t="s">
        <v>902</v>
      </c>
      <c r="D8760" s="59">
        <v>26</v>
      </c>
      <c r="E8760" s="59"/>
    </row>
    <row r="8761" spans="3:5" x14ac:dyDescent="0.15">
      <c r="C8761" s="255" t="s">
        <v>903</v>
      </c>
      <c r="D8761" s="59">
        <v>860</v>
      </c>
      <c r="E8761" s="59"/>
    </row>
    <row r="8762" spans="3:5" x14ac:dyDescent="0.15">
      <c r="C8762" s="255" t="s">
        <v>904</v>
      </c>
      <c r="D8762" s="59">
        <v>934</v>
      </c>
      <c r="E8762" s="59"/>
    </row>
    <row r="8763" spans="3:5" x14ac:dyDescent="0.15">
      <c r="C8763" s="255" t="s">
        <v>905</v>
      </c>
      <c r="D8763" s="59">
        <v>142</v>
      </c>
      <c r="E8763" s="59"/>
    </row>
    <row r="8764" spans="3:5" x14ac:dyDescent="0.15">
      <c r="C8764" s="255" t="s">
        <v>906</v>
      </c>
      <c r="D8764" s="59">
        <v>25.8</v>
      </c>
      <c r="E8764" s="59"/>
    </row>
    <row r="8765" spans="3:5" x14ac:dyDescent="0.15">
      <c r="C8765" s="255" t="s">
        <v>907</v>
      </c>
      <c r="D8765" s="59">
        <v>510.7</v>
      </c>
      <c r="E8765" s="59"/>
    </row>
    <row r="8766" spans="3:5" x14ac:dyDescent="0.15">
      <c r="C8766" s="255" t="s">
        <v>908</v>
      </c>
      <c r="D8766" s="59">
        <v>9425.9</v>
      </c>
      <c r="E8766" s="59"/>
    </row>
    <row r="8767" spans="3:5" x14ac:dyDescent="0.15">
      <c r="C8767" s="255" t="s">
        <v>909</v>
      </c>
      <c r="D8767" s="59">
        <v>1856.4</v>
      </c>
      <c r="E8767" s="59"/>
    </row>
    <row r="8768" spans="3:5" x14ac:dyDescent="0.15">
      <c r="C8768" s="255" t="s">
        <v>910</v>
      </c>
      <c r="D8768" s="59">
        <v>2.2000000000000002</v>
      </c>
      <c r="E8768" s="59"/>
    </row>
    <row r="8769" spans="3:5" x14ac:dyDescent="0.15">
      <c r="C8769" s="255" t="s">
        <v>911</v>
      </c>
      <c r="D8769" s="59">
        <v>197.5</v>
      </c>
      <c r="E8769" s="59"/>
    </row>
    <row r="8770" spans="3:5" x14ac:dyDescent="0.15">
      <c r="C8770" s="255" t="s">
        <v>912</v>
      </c>
      <c r="D8770" s="59">
        <v>2631.4</v>
      </c>
      <c r="E8770" s="59"/>
    </row>
    <row r="8771" spans="3:5" x14ac:dyDescent="0.15">
      <c r="C8771" s="255" t="s">
        <v>913</v>
      </c>
      <c r="D8771" s="59">
        <v>0</v>
      </c>
      <c r="E8771" s="59"/>
    </row>
    <row r="8772" spans="3:5" x14ac:dyDescent="0.15">
      <c r="C8772" s="255" t="s">
        <v>914</v>
      </c>
      <c r="D8772" s="59">
        <v>3.5</v>
      </c>
      <c r="E8772" s="59"/>
    </row>
    <row r="8773" spans="3:5" x14ac:dyDescent="0.15">
      <c r="C8773" s="255" t="s">
        <v>915</v>
      </c>
      <c r="D8773" s="59">
        <v>17.600000000000001</v>
      </c>
      <c r="E8773" s="59"/>
    </row>
    <row r="8774" spans="3:5" x14ac:dyDescent="0.15">
      <c r="C8774" s="255" t="s">
        <v>916</v>
      </c>
      <c r="D8774" s="59">
        <v>137</v>
      </c>
      <c r="E8774" s="59"/>
    </row>
    <row r="8775" spans="3:5" x14ac:dyDescent="0.15">
      <c r="C8775" s="255" t="s">
        <v>917</v>
      </c>
      <c r="D8775" s="59">
        <v>704.6</v>
      </c>
      <c r="E8775" s="59"/>
    </row>
    <row r="8776" spans="3:5" x14ac:dyDescent="0.15">
      <c r="C8776" s="255" t="s">
        <v>918</v>
      </c>
      <c r="D8776" s="59">
        <v>2439.5</v>
      </c>
      <c r="E8776" s="59"/>
    </row>
    <row r="8777" spans="3:5" x14ac:dyDescent="0.15">
      <c r="C8777" s="255" t="s">
        <v>919</v>
      </c>
      <c r="D8777" s="59">
        <v>0</v>
      </c>
      <c r="E8777" s="59"/>
    </row>
    <row r="8778" spans="3:5" x14ac:dyDescent="0.15">
      <c r="C8778" s="255" t="s">
        <v>920</v>
      </c>
      <c r="D8778" s="59">
        <v>1436.2</v>
      </c>
      <c r="E8778" s="59"/>
    </row>
    <row r="8779" spans="3:5" x14ac:dyDescent="0.15">
      <c r="C8779" s="255" t="s">
        <v>921</v>
      </c>
      <c r="D8779" s="59">
        <v>0</v>
      </c>
      <c r="E8779" s="59"/>
    </row>
    <row r="8780" spans="3:5" x14ac:dyDescent="0.15">
      <c r="C8780" s="255" t="s">
        <v>922</v>
      </c>
      <c r="D8780" s="59">
        <v>32769.4</v>
      </c>
      <c r="E8780" s="59"/>
    </row>
    <row r="8781" spans="3:5" x14ac:dyDescent="0.15">
      <c r="C8781" s="255" t="s">
        <v>923</v>
      </c>
      <c r="D8781" s="59">
        <v>10245.1</v>
      </c>
      <c r="E8781" s="59"/>
    </row>
    <row r="8782" spans="3:5" x14ac:dyDescent="0.15">
      <c r="C8782" s="255" t="s">
        <v>924</v>
      </c>
      <c r="D8782" s="59">
        <v>2515.5</v>
      </c>
      <c r="E8782" s="59"/>
    </row>
    <row r="8783" spans="3:5" x14ac:dyDescent="0.15">
      <c r="C8783" s="255" t="s">
        <v>925</v>
      </c>
      <c r="D8783" s="59">
        <v>122.3</v>
      </c>
      <c r="E8783" s="59"/>
    </row>
    <row r="8784" spans="3:5" x14ac:dyDescent="0.15">
      <c r="C8784" s="255" t="s">
        <v>926</v>
      </c>
      <c r="D8784" s="59">
        <v>1057.9000000000001</v>
      </c>
      <c r="E8784" s="59"/>
    </row>
    <row r="8785" spans="3:5" x14ac:dyDescent="0.15">
      <c r="C8785" s="255" t="s">
        <v>927</v>
      </c>
      <c r="D8785" s="59">
        <v>345.6</v>
      </c>
      <c r="E8785" s="59"/>
    </row>
    <row r="8786" spans="3:5" x14ac:dyDescent="0.15">
      <c r="C8786" s="255" t="s">
        <v>928</v>
      </c>
      <c r="D8786" s="59">
        <v>455.9</v>
      </c>
      <c r="E8786" s="59"/>
    </row>
    <row r="8787" spans="3:5" x14ac:dyDescent="0.15">
      <c r="C8787" s="255" t="s">
        <v>929</v>
      </c>
      <c r="D8787" s="59">
        <v>76</v>
      </c>
      <c r="E8787" s="59"/>
    </row>
    <row r="8788" spans="3:5" x14ac:dyDescent="0.15">
      <c r="C8788" s="255" t="s">
        <v>930</v>
      </c>
      <c r="D8788" s="59">
        <v>898.9</v>
      </c>
      <c r="E8788" s="59"/>
    </row>
    <row r="8789" spans="3:5" x14ac:dyDescent="0.15">
      <c r="C8789" s="255" t="s">
        <v>931</v>
      </c>
      <c r="D8789" s="59">
        <v>3892.9</v>
      </c>
      <c r="E8789" s="59"/>
    </row>
    <row r="8790" spans="3:5" x14ac:dyDescent="0.15">
      <c r="C8790" s="255" t="s">
        <v>932</v>
      </c>
      <c r="D8790" s="59">
        <v>0</v>
      </c>
      <c r="E8790" s="59"/>
    </row>
    <row r="8791" spans="3:5" x14ac:dyDescent="0.15">
      <c r="C8791" s="255" t="s">
        <v>933</v>
      </c>
      <c r="D8791" s="59">
        <v>40.700000000000003</v>
      </c>
      <c r="E8791" s="59"/>
    </row>
    <row r="8792" spans="3:5" x14ac:dyDescent="0.15">
      <c r="C8792" s="255" t="s">
        <v>934</v>
      </c>
      <c r="D8792" s="59">
        <v>3222.2</v>
      </c>
      <c r="E8792" s="59"/>
    </row>
    <row r="8793" spans="3:5" x14ac:dyDescent="0.15">
      <c r="C8793" s="255" t="s">
        <v>935</v>
      </c>
      <c r="D8793" s="59">
        <v>1258.0999999999999</v>
      </c>
      <c r="E8793" s="59"/>
    </row>
    <row r="8794" spans="3:5" x14ac:dyDescent="0.15">
      <c r="C8794" s="255" t="s">
        <v>936</v>
      </c>
      <c r="D8794" s="59">
        <v>2670</v>
      </c>
      <c r="E8794" s="59"/>
    </row>
    <row r="8795" spans="3:5" x14ac:dyDescent="0.15">
      <c r="C8795" s="255" t="s">
        <v>937</v>
      </c>
      <c r="D8795" s="59">
        <v>392.1</v>
      </c>
      <c r="E8795" s="59"/>
    </row>
    <row r="8796" spans="3:5" x14ac:dyDescent="0.15">
      <c r="C8796" s="255" t="s">
        <v>938</v>
      </c>
      <c r="D8796" s="59">
        <v>135.9</v>
      </c>
      <c r="E8796" s="59"/>
    </row>
    <row r="8797" spans="3:5" x14ac:dyDescent="0.15">
      <c r="C8797" s="255" t="s">
        <v>939</v>
      </c>
      <c r="D8797" s="59">
        <v>0</v>
      </c>
      <c r="E8797" s="59"/>
    </row>
    <row r="8798" spans="3:5" x14ac:dyDescent="0.15">
      <c r="C8798" s="255" t="s">
        <v>940</v>
      </c>
      <c r="D8798" s="59">
        <v>102.6</v>
      </c>
      <c r="E8798" s="59"/>
    </row>
    <row r="8799" spans="3:5" x14ac:dyDescent="0.15">
      <c r="C8799" s="255" t="s">
        <v>941</v>
      </c>
      <c r="D8799" s="59">
        <v>586.20000000000005</v>
      </c>
      <c r="E8799" s="59"/>
    </row>
    <row r="8800" spans="3:5" x14ac:dyDescent="0.15">
      <c r="C8800" s="255" t="s">
        <v>942</v>
      </c>
      <c r="D8800" s="59">
        <v>0</v>
      </c>
      <c r="E8800" s="59"/>
    </row>
    <row r="8801" spans="3:5" x14ac:dyDescent="0.15">
      <c r="C8801" s="255" t="s">
        <v>943</v>
      </c>
      <c r="D8801" s="59">
        <v>2555.9</v>
      </c>
      <c r="E8801" s="59"/>
    </row>
    <row r="8802" spans="3:5" x14ac:dyDescent="0.15">
      <c r="C8802" s="255" t="s">
        <v>944</v>
      </c>
      <c r="D8802" s="59">
        <v>372.1</v>
      </c>
      <c r="E8802" s="59"/>
    </row>
    <row r="8803" spans="3:5" x14ac:dyDescent="0.15">
      <c r="C8803" s="255" t="s">
        <v>945</v>
      </c>
      <c r="D8803" s="59">
        <v>1637.1</v>
      </c>
      <c r="E8803" s="59"/>
    </row>
    <row r="8804" spans="3:5" x14ac:dyDescent="0.15">
      <c r="C8804" s="255" t="s">
        <v>946</v>
      </c>
      <c r="D8804" s="59">
        <v>109</v>
      </c>
      <c r="E8804" s="59"/>
    </row>
    <row r="8805" spans="3:5" x14ac:dyDescent="0.15">
      <c r="C8805" s="255" t="s">
        <v>947</v>
      </c>
      <c r="D8805" s="59">
        <v>77.2</v>
      </c>
      <c r="E8805" s="59"/>
    </row>
    <row r="8806" spans="3:5" x14ac:dyDescent="0.15">
      <c r="C8806" s="255" t="s">
        <v>948</v>
      </c>
      <c r="D8806" s="59">
        <v>7388.8</v>
      </c>
      <c r="E8806" s="59"/>
    </row>
    <row r="8807" spans="3:5" x14ac:dyDescent="0.15">
      <c r="C8807" s="255" t="s">
        <v>949</v>
      </c>
      <c r="D8807" s="59">
        <v>125.5</v>
      </c>
      <c r="E8807" s="59"/>
    </row>
    <row r="8808" spans="3:5" x14ac:dyDescent="0.15">
      <c r="C8808" s="255" t="s">
        <v>950</v>
      </c>
      <c r="D8808" s="59">
        <v>0</v>
      </c>
      <c r="E8808" s="59"/>
    </row>
    <row r="8809" spans="3:5" x14ac:dyDescent="0.15">
      <c r="C8809" s="255" t="s">
        <v>951</v>
      </c>
      <c r="D8809" s="59">
        <v>1319.6</v>
      </c>
      <c r="E8809" s="59"/>
    </row>
    <row r="8810" spans="3:5" x14ac:dyDescent="0.15">
      <c r="C8810" s="255" t="s">
        <v>952</v>
      </c>
      <c r="D8810" s="59">
        <v>55.2</v>
      </c>
      <c r="E8810" s="59"/>
    </row>
    <row r="8811" spans="3:5" x14ac:dyDescent="0.15">
      <c r="C8811" s="255" t="s">
        <v>953</v>
      </c>
      <c r="D8811" s="59">
        <v>328.5</v>
      </c>
      <c r="E8811" s="59"/>
    </row>
    <row r="8812" spans="3:5" x14ac:dyDescent="0.15">
      <c r="C8812" s="255" t="s">
        <v>954</v>
      </c>
      <c r="D8812" s="59">
        <v>2439.8000000000002</v>
      </c>
      <c r="E8812" s="59"/>
    </row>
    <row r="8813" spans="3:5" x14ac:dyDescent="0.15">
      <c r="C8813" s="255" t="s">
        <v>955</v>
      </c>
      <c r="D8813" s="59">
        <v>1621.7</v>
      </c>
      <c r="E8813" s="59"/>
    </row>
    <row r="8814" spans="3:5" x14ac:dyDescent="0.15">
      <c r="C8814" s="255" t="s">
        <v>956</v>
      </c>
      <c r="D8814" s="59">
        <v>1498.4</v>
      </c>
      <c r="E8814" s="59"/>
    </row>
    <row r="8815" spans="3:5" x14ac:dyDescent="0.15">
      <c r="C8815" s="255" t="s">
        <v>957</v>
      </c>
      <c r="D8815" s="59">
        <v>24085.4</v>
      </c>
      <c r="E8815" s="59"/>
    </row>
    <row r="8816" spans="3:5" x14ac:dyDescent="0.15">
      <c r="C8816" s="255" t="s">
        <v>958</v>
      </c>
      <c r="D8816" s="59">
        <v>364.2</v>
      </c>
      <c r="E8816" s="59"/>
    </row>
    <row r="8817" spans="3:5" x14ac:dyDescent="0.15">
      <c r="C8817" s="255" t="s">
        <v>959</v>
      </c>
      <c r="D8817" s="59">
        <v>896.1</v>
      </c>
      <c r="E8817" s="59"/>
    </row>
    <row r="8818" spans="3:5" x14ac:dyDescent="0.15">
      <c r="C8818" s="255" t="s">
        <v>960</v>
      </c>
      <c r="D8818" s="59">
        <v>38.700000000000003</v>
      </c>
      <c r="E8818" s="59"/>
    </row>
    <row r="8819" spans="3:5" x14ac:dyDescent="0.15">
      <c r="C8819" s="255" t="s">
        <v>961</v>
      </c>
      <c r="D8819" s="59">
        <v>191.7</v>
      </c>
      <c r="E8819" s="59"/>
    </row>
    <row r="8820" spans="3:5" x14ac:dyDescent="0.15">
      <c r="C8820" s="255" t="s">
        <v>962</v>
      </c>
      <c r="D8820" s="59">
        <v>0</v>
      </c>
      <c r="E8820" s="59"/>
    </row>
    <row r="8821" spans="3:5" x14ac:dyDescent="0.15">
      <c r="C8821" s="255" t="s">
        <v>963</v>
      </c>
      <c r="D8821" s="59">
        <v>939.7</v>
      </c>
      <c r="E8821" s="59"/>
    </row>
    <row r="8822" spans="3:5" x14ac:dyDescent="0.15">
      <c r="C8822" s="255" t="s">
        <v>964</v>
      </c>
      <c r="D8822" s="59">
        <v>377.7</v>
      </c>
      <c r="E8822" s="59"/>
    </row>
    <row r="8823" spans="3:5" x14ac:dyDescent="0.15">
      <c r="C8823" s="255" t="s">
        <v>965</v>
      </c>
      <c r="D8823" s="59">
        <v>118.7</v>
      </c>
      <c r="E8823" s="59"/>
    </row>
    <row r="8824" spans="3:5" x14ac:dyDescent="0.15">
      <c r="C8824" s="255" t="s">
        <v>966</v>
      </c>
      <c r="D8824" s="59">
        <v>0.6</v>
      </c>
      <c r="E8824" s="59"/>
    </row>
    <row r="8825" spans="3:5" x14ac:dyDescent="0.15">
      <c r="C8825" s="255" t="s">
        <v>967</v>
      </c>
      <c r="D8825" s="59">
        <v>289.7</v>
      </c>
      <c r="E8825" s="59"/>
    </row>
    <row r="8826" spans="3:5" x14ac:dyDescent="0.15">
      <c r="C8826" s="255" t="s">
        <v>968</v>
      </c>
      <c r="D8826" s="59">
        <v>0</v>
      </c>
      <c r="E8826" s="59"/>
    </row>
    <row r="8827" spans="3:5" x14ac:dyDescent="0.15">
      <c r="C8827" s="255" t="s">
        <v>969</v>
      </c>
      <c r="D8827" s="59">
        <v>20.3</v>
      </c>
      <c r="E8827" s="59"/>
    </row>
    <row r="8828" spans="3:5" x14ac:dyDescent="0.15">
      <c r="C8828" s="255" t="s">
        <v>970</v>
      </c>
      <c r="D8828" s="59">
        <v>0</v>
      </c>
      <c r="E8828" s="59"/>
    </row>
    <row r="8829" spans="3:5" x14ac:dyDescent="0.15">
      <c r="C8829" s="255" t="s">
        <v>971</v>
      </c>
      <c r="D8829" s="59">
        <v>99.5</v>
      </c>
      <c r="E8829" s="59"/>
    </row>
    <row r="8830" spans="3:5" x14ac:dyDescent="0.15">
      <c r="C8830" s="255" t="s">
        <v>972</v>
      </c>
      <c r="D8830" s="59">
        <v>77.8</v>
      </c>
      <c r="E8830" s="59"/>
    </row>
    <row r="8831" spans="3:5" x14ac:dyDescent="0.15">
      <c r="C8831" s="255" t="s">
        <v>973</v>
      </c>
      <c r="D8831" s="59">
        <v>8.4</v>
      </c>
      <c r="E8831" s="59"/>
    </row>
    <row r="8832" spans="3:5" x14ac:dyDescent="0.15">
      <c r="C8832" s="255" t="s">
        <v>974</v>
      </c>
      <c r="D8832" s="59">
        <v>0</v>
      </c>
      <c r="E8832" s="59"/>
    </row>
    <row r="8833" spans="3:5" x14ac:dyDescent="0.15">
      <c r="C8833" s="255" t="s">
        <v>975</v>
      </c>
      <c r="D8833" s="59">
        <v>0</v>
      </c>
      <c r="E8833" s="59"/>
    </row>
    <row r="8834" spans="3:5" x14ac:dyDescent="0.15">
      <c r="C8834" s="255" t="s">
        <v>976</v>
      </c>
      <c r="D8834" s="59">
        <v>3.6</v>
      </c>
      <c r="E8834" s="59"/>
    </row>
    <row r="8835" spans="3:5" x14ac:dyDescent="0.15">
      <c r="C8835" s="255" t="s">
        <v>977</v>
      </c>
      <c r="D8835" s="59">
        <v>867.5</v>
      </c>
      <c r="E8835" s="59"/>
    </row>
    <row r="8836" spans="3:5" x14ac:dyDescent="0.15">
      <c r="C8836" s="255" t="s">
        <v>978</v>
      </c>
      <c r="D8836" s="59">
        <v>813.6</v>
      </c>
      <c r="E8836" s="59"/>
    </row>
    <row r="8837" spans="3:5" x14ac:dyDescent="0.15">
      <c r="C8837" s="255" t="s">
        <v>979</v>
      </c>
      <c r="D8837" s="59">
        <v>216.7</v>
      </c>
      <c r="E8837" s="59"/>
    </row>
    <row r="8838" spans="3:5" x14ac:dyDescent="0.15">
      <c r="C8838" s="255" t="s">
        <v>980</v>
      </c>
      <c r="D8838" s="59">
        <v>67</v>
      </c>
      <c r="E8838" s="59"/>
    </row>
    <row r="8839" spans="3:5" x14ac:dyDescent="0.15">
      <c r="C8839" s="255" t="s">
        <v>981</v>
      </c>
      <c r="D8839" s="59">
        <v>0</v>
      </c>
      <c r="E8839" s="59"/>
    </row>
    <row r="8840" spans="3:5" x14ac:dyDescent="0.15">
      <c r="C8840" s="255" t="s">
        <v>982</v>
      </c>
      <c r="D8840" s="59">
        <v>181.8</v>
      </c>
      <c r="E8840" s="59"/>
    </row>
    <row r="8841" spans="3:5" x14ac:dyDescent="0.15">
      <c r="C8841" s="255" t="s">
        <v>983</v>
      </c>
      <c r="D8841" s="59">
        <v>1664.8</v>
      </c>
      <c r="E8841" s="59"/>
    </row>
    <row r="8842" spans="3:5" x14ac:dyDescent="0.15">
      <c r="C8842" s="255" t="s">
        <v>984</v>
      </c>
      <c r="D8842" s="59">
        <v>0</v>
      </c>
      <c r="E8842" s="59"/>
    </row>
    <row r="8843" spans="3:5" x14ac:dyDescent="0.15">
      <c r="C8843" s="255" t="s">
        <v>985</v>
      </c>
      <c r="D8843" s="59">
        <v>599.79999999999995</v>
      </c>
      <c r="E8843" s="59"/>
    </row>
    <row r="8844" spans="3:5" x14ac:dyDescent="0.15">
      <c r="C8844" s="255" t="s">
        <v>986</v>
      </c>
      <c r="D8844" s="59">
        <v>274.2</v>
      </c>
      <c r="E8844" s="59"/>
    </row>
    <row r="8845" spans="3:5" x14ac:dyDescent="0.15">
      <c r="C8845" s="255" t="s">
        <v>987</v>
      </c>
      <c r="D8845" s="59">
        <v>348.5</v>
      </c>
      <c r="E8845" s="59"/>
    </row>
    <row r="8846" spans="3:5" x14ac:dyDescent="0.15">
      <c r="C8846" s="255" t="s">
        <v>988</v>
      </c>
      <c r="D8846" s="59">
        <v>1769.3</v>
      </c>
      <c r="E8846" s="59"/>
    </row>
    <row r="8847" spans="3:5" x14ac:dyDescent="0.15">
      <c r="C8847" s="255" t="s">
        <v>989</v>
      </c>
      <c r="D8847" s="59">
        <v>1037.2</v>
      </c>
      <c r="E8847" s="59"/>
    </row>
    <row r="8848" spans="3:5" x14ac:dyDescent="0.15">
      <c r="C8848" s="255" t="s">
        <v>990</v>
      </c>
      <c r="D8848" s="59">
        <v>455.1</v>
      </c>
      <c r="E8848" s="59"/>
    </row>
    <row r="8849" spans="3:5" x14ac:dyDescent="0.15">
      <c r="C8849" s="255" t="s">
        <v>991</v>
      </c>
      <c r="D8849" s="59">
        <v>5026</v>
      </c>
      <c r="E8849" s="59"/>
    </row>
    <row r="8850" spans="3:5" x14ac:dyDescent="0.15">
      <c r="C8850" s="255" t="s">
        <v>992</v>
      </c>
      <c r="D8850" s="59">
        <v>23.4</v>
      </c>
      <c r="E8850" s="59"/>
    </row>
    <row r="8851" spans="3:5" x14ac:dyDescent="0.15">
      <c r="C8851" s="255" t="s">
        <v>993</v>
      </c>
      <c r="D8851" s="59">
        <v>66.3</v>
      </c>
      <c r="E8851" s="59"/>
    </row>
    <row r="8852" spans="3:5" x14ac:dyDescent="0.15">
      <c r="C8852" s="255" t="s">
        <v>994</v>
      </c>
      <c r="D8852" s="59">
        <v>0</v>
      </c>
      <c r="E8852" s="59"/>
    </row>
    <row r="8853" spans="3:5" x14ac:dyDescent="0.15">
      <c r="C8853" s="255" t="s">
        <v>995</v>
      </c>
      <c r="D8853" s="59">
        <v>1129.9000000000001</v>
      </c>
      <c r="E8853" s="59"/>
    </row>
    <row r="8854" spans="3:5" x14ac:dyDescent="0.15">
      <c r="C8854" s="255" t="s">
        <v>996</v>
      </c>
      <c r="D8854" s="59">
        <v>221.8</v>
      </c>
      <c r="E8854" s="59"/>
    </row>
    <row r="8855" spans="3:5" x14ac:dyDescent="0.15">
      <c r="C8855" s="255" t="s">
        <v>997</v>
      </c>
      <c r="D8855" s="59">
        <v>164.7</v>
      </c>
      <c r="E8855" s="59"/>
    </row>
    <row r="8856" spans="3:5" x14ac:dyDescent="0.15">
      <c r="C8856" s="255" t="s">
        <v>998</v>
      </c>
      <c r="D8856" s="59">
        <v>77.3</v>
      </c>
      <c r="E8856" s="59"/>
    </row>
    <row r="8857" spans="3:5" x14ac:dyDescent="0.15">
      <c r="C8857" s="255" t="s">
        <v>999</v>
      </c>
      <c r="D8857" s="59">
        <v>12.3</v>
      </c>
      <c r="E8857" s="59"/>
    </row>
    <row r="8858" spans="3:5" x14ac:dyDescent="0.15">
      <c r="C8858" s="255" t="s">
        <v>1000</v>
      </c>
      <c r="D8858" s="59">
        <v>860</v>
      </c>
      <c r="E8858" s="59"/>
    </row>
    <row r="8859" spans="3:5" x14ac:dyDescent="0.15">
      <c r="C8859" s="255" t="s">
        <v>1001</v>
      </c>
      <c r="D8859" s="59">
        <v>426</v>
      </c>
      <c r="E8859" s="59"/>
    </row>
    <row r="8860" spans="3:5" x14ac:dyDescent="0.15">
      <c r="C8860" s="255" t="s">
        <v>1002</v>
      </c>
      <c r="D8860" s="59">
        <v>150.5</v>
      </c>
      <c r="E8860" s="59"/>
    </row>
    <row r="8861" spans="3:5" x14ac:dyDescent="0.15">
      <c r="C8861" s="255" t="s">
        <v>1003</v>
      </c>
      <c r="D8861" s="59">
        <v>113.6</v>
      </c>
      <c r="E8861" s="59"/>
    </row>
    <row r="8862" spans="3:5" x14ac:dyDescent="0.15">
      <c r="C8862" s="255" t="s">
        <v>1004</v>
      </c>
      <c r="D8862" s="59">
        <v>181.9</v>
      </c>
      <c r="E8862" s="59"/>
    </row>
    <row r="8863" spans="3:5" x14ac:dyDescent="0.15">
      <c r="C8863" s="255" t="s">
        <v>1005</v>
      </c>
      <c r="D8863" s="59">
        <v>25.1</v>
      </c>
      <c r="E8863" s="59"/>
    </row>
    <row r="8864" spans="3:5" x14ac:dyDescent="0.15">
      <c r="C8864" s="255" t="s">
        <v>1006</v>
      </c>
      <c r="D8864" s="59">
        <v>3884.5</v>
      </c>
      <c r="E8864" s="59"/>
    </row>
    <row r="8865" spans="3:5" x14ac:dyDescent="0.15">
      <c r="C8865" s="255" t="s">
        <v>1007</v>
      </c>
      <c r="D8865" s="59">
        <v>1118.7</v>
      </c>
      <c r="E8865" s="59"/>
    </row>
    <row r="8866" spans="3:5" x14ac:dyDescent="0.15">
      <c r="C8866" s="255" t="s">
        <v>1008</v>
      </c>
      <c r="D8866" s="59">
        <v>81.599999999999994</v>
      </c>
      <c r="E8866" s="59"/>
    </row>
    <row r="8867" spans="3:5" x14ac:dyDescent="0.15">
      <c r="C8867" s="255" t="s">
        <v>1009</v>
      </c>
      <c r="D8867" s="59">
        <v>200.3</v>
      </c>
      <c r="E8867" s="59"/>
    </row>
    <row r="8868" spans="3:5" x14ac:dyDescent="0.15">
      <c r="C8868" s="255" t="s">
        <v>1010</v>
      </c>
      <c r="D8868" s="59">
        <v>358.4</v>
      </c>
      <c r="E8868" s="59"/>
    </row>
    <row r="8869" spans="3:5" x14ac:dyDescent="0.15">
      <c r="C8869" s="255" t="s">
        <v>1011</v>
      </c>
      <c r="D8869" s="59">
        <v>478.3</v>
      </c>
      <c r="E8869" s="59"/>
    </row>
    <row r="8870" spans="3:5" x14ac:dyDescent="0.15">
      <c r="C8870" s="255" t="s">
        <v>1012</v>
      </c>
      <c r="D8870" s="59">
        <v>17553.7</v>
      </c>
      <c r="E8870" s="59"/>
    </row>
    <row r="8871" spans="3:5" x14ac:dyDescent="0.15">
      <c r="C8871" s="255" t="s">
        <v>1013</v>
      </c>
      <c r="D8871" s="59">
        <v>10765.9</v>
      </c>
      <c r="E8871" s="59"/>
    </row>
    <row r="8872" spans="3:5" x14ac:dyDescent="0.15">
      <c r="C8872" s="255" t="s">
        <v>1014</v>
      </c>
      <c r="D8872" s="59">
        <v>2966.4</v>
      </c>
      <c r="E8872" s="59"/>
    </row>
    <row r="8873" spans="3:5" x14ac:dyDescent="0.15">
      <c r="C8873" s="255" t="s">
        <v>1015</v>
      </c>
      <c r="D8873" s="59">
        <v>786.2</v>
      </c>
      <c r="E8873" s="59"/>
    </row>
    <row r="8874" spans="3:5" x14ac:dyDescent="0.15">
      <c r="C8874" s="255" t="s">
        <v>1016</v>
      </c>
      <c r="D8874" s="59">
        <v>1784.9</v>
      </c>
      <c r="E8874" s="59"/>
    </row>
    <row r="8875" spans="3:5" x14ac:dyDescent="0.15">
      <c r="C8875" s="255" t="s">
        <v>1017</v>
      </c>
      <c r="D8875" s="59">
        <v>1250.4000000000001</v>
      </c>
      <c r="E8875" s="59"/>
    </row>
    <row r="8876" spans="3:5" x14ac:dyDescent="0.15">
      <c r="C8876" s="255" t="s">
        <v>1018</v>
      </c>
      <c r="D8876" s="59">
        <v>0</v>
      </c>
      <c r="E8876" s="59"/>
    </row>
    <row r="8877" spans="3:5" x14ac:dyDescent="0.15">
      <c r="C8877" s="255" t="s">
        <v>1019</v>
      </c>
      <c r="D8877" s="59">
        <v>22710.7</v>
      </c>
      <c r="E8877" s="59"/>
    </row>
    <row r="8878" spans="3:5" x14ac:dyDescent="0.15">
      <c r="C8878" s="255" t="s">
        <v>1020</v>
      </c>
      <c r="D8878" s="59">
        <v>424.8</v>
      </c>
      <c r="E8878" s="59"/>
    </row>
    <row r="8879" spans="3:5" x14ac:dyDescent="0.15">
      <c r="C8879" s="255" t="s">
        <v>1021</v>
      </c>
      <c r="D8879" s="59">
        <v>1802.8</v>
      </c>
      <c r="E8879" s="59"/>
    </row>
    <row r="8880" spans="3:5" x14ac:dyDescent="0.15">
      <c r="C8880" s="255" t="s">
        <v>1022</v>
      </c>
      <c r="D8880" s="59">
        <v>772.1</v>
      </c>
      <c r="E8880" s="59"/>
    </row>
    <row r="8881" spans="3:5" x14ac:dyDescent="0.15">
      <c r="C8881" s="255" t="s">
        <v>1023</v>
      </c>
      <c r="D8881" s="59">
        <v>51.7</v>
      </c>
      <c r="E8881" s="59"/>
    </row>
    <row r="8882" spans="3:5" x14ac:dyDescent="0.15">
      <c r="C8882" s="255" t="s">
        <v>1024</v>
      </c>
      <c r="D8882" s="59">
        <v>1.1000000000000001</v>
      </c>
      <c r="E8882" s="59"/>
    </row>
    <row r="8883" spans="3:5" x14ac:dyDescent="0.15">
      <c r="C8883" s="255" t="s">
        <v>1025</v>
      </c>
      <c r="D8883" s="59">
        <v>311.2</v>
      </c>
      <c r="E8883" s="59"/>
    </row>
    <row r="8884" spans="3:5" x14ac:dyDescent="0.15">
      <c r="C8884" s="255" t="s">
        <v>1026</v>
      </c>
      <c r="D8884" s="59">
        <v>3586.1</v>
      </c>
      <c r="E8884" s="59"/>
    </row>
    <row r="8885" spans="3:5" x14ac:dyDescent="0.15">
      <c r="C8885" s="255" t="s">
        <v>1027</v>
      </c>
      <c r="D8885" s="59">
        <v>0</v>
      </c>
      <c r="E8885" s="59"/>
    </row>
    <row r="8886" spans="3:5" x14ac:dyDescent="0.15">
      <c r="C8886" s="255" t="s">
        <v>1028</v>
      </c>
      <c r="D8886" s="59">
        <v>506.2</v>
      </c>
      <c r="E8886" s="59"/>
    </row>
    <row r="8887" spans="3:5" x14ac:dyDescent="0.15">
      <c r="C8887" s="255" t="s">
        <v>1029</v>
      </c>
      <c r="D8887" s="59">
        <v>169.9</v>
      </c>
      <c r="E8887" s="59"/>
    </row>
    <row r="8888" spans="3:5" x14ac:dyDescent="0.15">
      <c r="C8888" s="255" t="s">
        <v>1030</v>
      </c>
      <c r="D8888" s="59">
        <v>55.2</v>
      </c>
      <c r="E8888" s="59"/>
    </row>
    <row r="8889" spans="3:5" x14ac:dyDescent="0.15">
      <c r="C8889" s="255" t="s">
        <v>1031</v>
      </c>
      <c r="D8889" s="59">
        <v>247.6</v>
      </c>
      <c r="E8889" s="59"/>
    </row>
    <row r="8890" spans="3:5" x14ac:dyDescent="0.15">
      <c r="C8890" s="255" t="s">
        <v>1032</v>
      </c>
      <c r="D8890" s="59">
        <v>1</v>
      </c>
      <c r="E8890" s="59"/>
    </row>
    <row r="8891" spans="3:5" x14ac:dyDescent="0.15">
      <c r="C8891" s="255" t="s">
        <v>1033</v>
      </c>
      <c r="D8891" s="59">
        <v>13.5</v>
      </c>
      <c r="E8891" s="59"/>
    </row>
    <row r="8892" spans="3:5" x14ac:dyDescent="0.15">
      <c r="C8892" s="255" t="s">
        <v>1034</v>
      </c>
      <c r="D8892" s="59">
        <v>170.4</v>
      </c>
      <c r="E8892" s="59"/>
    </row>
    <row r="8893" spans="3:5" x14ac:dyDescent="0.15">
      <c r="C8893" s="255" t="s">
        <v>1035</v>
      </c>
      <c r="D8893" s="59">
        <v>3240.7</v>
      </c>
      <c r="E8893" s="59"/>
    </row>
    <row r="8894" spans="3:5" x14ac:dyDescent="0.15">
      <c r="C8894" s="255" t="s">
        <v>1036</v>
      </c>
      <c r="D8894" s="59">
        <v>509.2</v>
      </c>
      <c r="E8894" s="59"/>
    </row>
    <row r="8895" spans="3:5" x14ac:dyDescent="0.15">
      <c r="C8895" s="255" t="s">
        <v>1037</v>
      </c>
      <c r="D8895" s="59">
        <v>581.1</v>
      </c>
      <c r="E8895" s="59"/>
    </row>
    <row r="8896" spans="3:5" x14ac:dyDescent="0.15">
      <c r="C8896" s="255" t="s">
        <v>1038</v>
      </c>
      <c r="D8896" s="59">
        <v>2259.8000000000002</v>
      </c>
      <c r="E8896" s="59"/>
    </row>
    <row r="8897" spans="2:5" x14ac:dyDescent="0.15">
      <c r="C8897" s="255" t="s">
        <v>1039</v>
      </c>
      <c r="D8897" s="59">
        <v>1270.7</v>
      </c>
      <c r="E8897" s="59"/>
    </row>
    <row r="8898" spans="2:5" x14ac:dyDescent="0.15">
      <c r="C8898" s="255" t="s">
        <v>1040</v>
      </c>
      <c r="D8898" s="59">
        <v>3516.6</v>
      </c>
      <c r="E8898" s="59"/>
    </row>
    <row r="8899" spans="2:5" x14ac:dyDescent="0.15">
      <c r="C8899" s="255" t="s">
        <v>1041</v>
      </c>
      <c r="D8899" s="59">
        <v>349.6</v>
      </c>
      <c r="E8899" s="59"/>
    </row>
    <row r="8900" spans="2:5" x14ac:dyDescent="0.15">
      <c r="C8900" s="255" t="s">
        <v>1042</v>
      </c>
      <c r="D8900" s="59">
        <v>1909.8</v>
      </c>
      <c r="E8900" s="59"/>
    </row>
    <row r="8901" spans="2:5" x14ac:dyDescent="0.15">
      <c r="C8901" s="255" t="s">
        <v>1043</v>
      </c>
      <c r="D8901" s="59">
        <v>392.1</v>
      </c>
      <c r="E8901" s="59"/>
    </row>
    <row r="8902" spans="2:5" x14ac:dyDescent="0.15">
      <c r="C8902" s="255" t="s">
        <v>1044</v>
      </c>
      <c r="D8902" s="59">
        <v>75.2</v>
      </c>
      <c r="E8902" s="59"/>
    </row>
    <row r="8903" spans="2:5" x14ac:dyDescent="0.15">
      <c r="C8903" s="255" t="s">
        <v>1045</v>
      </c>
      <c r="D8903" s="59">
        <v>40.6</v>
      </c>
      <c r="E8903" s="59"/>
    </row>
    <row r="8904" spans="2:5" x14ac:dyDescent="0.15">
      <c r="C8904" s="255" t="s">
        <v>1046</v>
      </c>
      <c r="D8904" s="59">
        <v>94.3</v>
      </c>
      <c r="E8904" s="59"/>
    </row>
    <row r="8905" spans="2:5" x14ac:dyDescent="0.15">
      <c r="C8905" s="255" t="s">
        <v>1047</v>
      </c>
      <c r="D8905" s="59">
        <v>178.2</v>
      </c>
      <c r="E8905" s="59"/>
    </row>
    <row r="8906" spans="2:5" x14ac:dyDescent="0.15">
      <c r="C8906" s="255" t="s">
        <v>1048</v>
      </c>
      <c r="D8906" s="59">
        <v>179.1</v>
      </c>
      <c r="E8906" s="59"/>
    </row>
    <row r="8907" spans="2:5" x14ac:dyDescent="0.15">
      <c r="B8907" s="255" t="s">
        <v>722</v>
      </c>
      <c r="C8907" s="255" t="s">
        <v>743</v>
      </c>
      <c r="D8907" s="59">
        <v>34</v>
      </c>
      <c r="E8907" s="59"/>
    </row>
    <row r="8908" spans="2:5" x14ac:dyDescent="0.15">
      <c r="C8908" s="255" t="s">
        <v>744</v>
      </c>
      <c r="D8908" s="59">
        <v>55.2</v>
      </c>
      <c r="E8908" s="59"/>
    </row>
    <row r="8909" spans="2:5" x14ac:dyDescent="0.15">
      <c r="C8909" s="255" t="s">
        <v>745</v>
      </c>
      <c r="D8909" s="59">
        <v>56.7</v>
      </c>
      <c r="E8909" s="59"/>
    </row>
    <row r="8910" spans="2:5" x14ac:dyDescent="0.15">
      <c r="C8910" s="255" t="s">
        <v>746</v>
      </c>
      <c r="D8910" s="59">
        <v>1</v>
      </c>
      <c r="E8910" s="59"/>
    </row>
    <row r="8911" spans="2:5" x14ac:dyDescent="0.15">
      <c r="C8911" s="255" t="s">
        <v>747</v>
      </c>
      <c r="D8911" s="59">
        <v>1</v>
      </c>
      <c r="E8911" s="59"/>
    </row>
    <row r="8912" spans="2:5" x14ac:dyDescent="0.15">
      <c r="C8912" s="255" t="s">
        <v>748</v>
      </c>
      <c r="D8912" s="59">
        <v>0</v>
      </c>
      <c r="E8912" s="59"/>
    </row>
    <row r="8913" spans="3:5" x14ac:dyDescent="0.15">
      <c r="C8913" s="255" t="s">
        <v>749</v>
      </c>
      <c r="D8913" s="59">
        <v>0</v>
      </c>
      <c r="E8913" s="59"/>
    </row>
    <row r="8914" spans="3:5" x14ac:dyDescent="0.15">
      <c r="C8914" s="255" t="s">
        <v>750</v>
      </c>
      <c r="D8914" s="59">
        <v>0.3</v>
      </c>
      <c r="E8914" s="59"/>
    </row>
    <row r="8915" spans="3:5" x14ac:dyDescent="0.15">
      <c r="C8915" s="255" t="s">
        <v>751</v>
      </c>
      <c r="D8915" s="59">
        <v>25.3</v>
      </c>
      <c r="E8915" s="59"/>
    </row>
    <row r="8916" spans="3:5" x14ac:dyDescent="0.15">
      <c r="C8916" s="255" t="s">
        <v>752</v>
      </c>
      <c r="D8916" s="59">
        <v>1</v>
      </c>
      <c r="E8916" s="59"/>
    </row>
    <row r="8917" spans="3:5" x14ac:dyDescent="0.15">
      <c r="C8917" s="255" t="s">
        <v>753</v>
      </c>
      <c r="D8917" s="59">
        <v>49.8</v>
      </c>
      <c r="E8917" s="59"/>
    </row>
    <row r="8918" spans="3:5" x14ac:dyDescent="0.15">
      <c r="C8918" s="255" t="s">
        <v>754</v>
      </c>
      <c r="D8918" s="59">
        <v>1964.2</v>
      </c>
      <c r="E8918" s="59"/>
    </row>
    <row r="8919" spans="3:5" x14ac:dyDescent="0.15">
      <c r="C8919" s="255" t="s">
        <v>192</v>
      </c>
      <c r="D8919" s="59">
        <v>120527.4</v>
      </c>
      <c r="E8919" s="59"/>
    </row>
    <row r="8920" spans="3:5" x14ac:dyDescent="0.15">
      <c r="C8920" s="255" t="s">
        <v>755</v>
      </c>
      <c r="D8920" s="59">
        <v>15006</v>
      </c>
      <c r="E8920" s="59"/>
    </row>
    <row r="8921" spans="3:5" x14ac:dyDescent="0.15">
      <c r="C8921" s="255" t="s">
        <v>756</v>
      </c>
      <c r="D8921" s="59">
        <v>41.1</v>
      </c>
      <c r="E8921" s="59"/>
    </row>
    <row r="8922" spans="3:5" x14ac:dyDescent="0.15">
      <c r="C8922" s="255" t="s">
        <v>757</v>
      </c>
      <c r="D8922" s="59">
        <v>11.7</v>
      </c>
      <c r="E8922" s="59"/>
    </row>
    <row r="8923" spans="3:5" x14ac:dyDescent="0.15">
      <c r="C8923" s="255" t="s">
        <v>758</v>
      </c>
      <c r="D8923" s="59">
        <v>816.5</v>
      </c>
      <c r="E8923" s="59"/>
    </row>
    <row r="8924" spans="3:5" x14ac:dyDescent="0.15">
      <c r="C8924" s="255" t="s">
        <v>759</v>
      </c>
      <c r="D8924" s="59">
        <v>540.6</v>
      </c>
      <c r="E8924" s="59"/>
    </row>
    <row r="8925" spans="3:5" x14ac:dyDescent="0.15">
      <c r="C8925" s="255" t="s">
        <v>760</v>
      </c>
      <c r="D8925" s="59">
        <v>289.7</v>
      </c>
      <c r="E8925" s="59"/>
    </row>
    <row r="8926" spans="3:5" x14ac:dyDescent="0.15">
      <c r="C8926" s="255" t="s">
        <v>761</v>
      </c>
      <c r="D8926" s="59">
        <v>179.7</v>
      </c>
      <c r="E8926" s="59"/>
    </row>
    <row r="8927" spans="3:5" x14ac:dyDescent="0.15">
      <c r="C8927" s="255" t="s">
        <v>762</v>
      </c>
      <c r="D8927" s="59">
        <v>153.30000000000001</v>
      </c>
      <c r="E8927" s="59"/>
    </row>
    <row r="8928" spans="3:5" x14ac:dyDescent="0.15">
      <c r="C8928" s="255" t="s">
        <v>763</v>
      </c>
      <c r="D8928" s="59">
        <v>68.2</v>
      </c>
      <c r="E8928" s="59"/>
    </row>
    <row r="8929" spans="3:5" x14ac:dyDescent="0.15">
      <c r="C8929" s="255" t="s">
        <v>764</v>
      </c>
      <c r="D8929" s="59">
        <v>442.1</v>
      </c>
      <c r="E8929" s="59"/>
    </row>
    <row r="8930" spans="3:5" x14ac:dyDescent="0.15">
      <c r="C8930" s="255" t="s">
        <v>765</v>
      </c>
      <c r="D8930" s="59">
        <v>152.9</v>
      </c>
      <c r="E8930" s="59"/>
    </row>
    <row r="8931" spans="3:5" x14ac:dyDescent="0.15">
      <c r="C8931" s="255" t="s">
        <v>766</v>
      </c>
      <c r="D8931" s="59">
        <v>36.799999999999997</v>
      </c>
      <c r="E8931" s="59"/>
    </row>
    <row r="8932" spans="3:5" x14ac:dyDescent="0.15">
      <c r="C8932" s="255" t="s">
        <v>767</v>
      </c>
      <c r="D8932" s="59">
        <v>225.2</v>
      </c>
      <c r="E8932" s="59"/>
    </row>
    <row r="8933" spans="3:5" x14ac:dyDescent="0.15">
      <c r="C8933" s="255" t="s">
        <v>768</v>
      </c>
      <c r="D8933" s="59">
        <v>1.6</v>
      </c>
      <c r="E8933" s="59"/>
    </row>
    <row r="8934" spans="3:5" x14ac:dyDescent="0.15">
      <c r="C8934" s="255" t="s">
        <v>769</v>
      </c>
      <c r="D8934" s="59">
        <v>0.2</v>
      </c>
      <c r="E8934" s="59"/>
    </row>
    <row r="8935" spans="3:5" x14ac:dyDescent="0.15">
      <c r="C8935" s="255" t="s">
        <v>770</v>
      </c>
      <c r="D8935" s="59">
        <v>796.9</v>
      </c>
      <c r="E8935" s="59"/>
    </row>
    <row r="8936" spans="3:5" x14ac:dyDescent="0.15">
      <c r="C8936" s="255" t="s">
        <v>771</v>
      </c>
      <c r="D8936" s="59">
        <v>916.4</v>
      </c>
      <c r="E8936" s="59"/>
    </row>
    <row r="8937" spans="3:5" x14ac:dyDescent="0.15">
      <c r="C8937" s="255" t="s">
        <v>772</v>
      </c>
      <c r="D8937" s="59">
        <v>48</v>
      </c>
      <c r="E8937" s="59"/>
    </row>
    <row r="8938" spans="3:5" x14ac:dyDescent="0.15">
      <c r="C8938" s="255" t="s">
        <v>773</v>
      </c>
      <c r="D8938" s="59">
        <v>28.6</v>
      </c>
      <c r="E8938" s="59"/>
    </row>
    <row r="8939" spans="3:5" x14ac:dyDescent="0.15">
      <c r="C8939" s="255" t="s">
        <v>774</v>
      </c>
      <c r="D8939" s="59">
        <v>5.6</v>
      </c>
      <c r="E8939" s="59"/>
    </row>
    <row r="8940" spans="3:5" x14ac:dyDescent="0.15">
      <c r="C8940" s="255" t="s">
        <v>775</v>
      </c>
      <c r="D8940" s="59">
        <v>2.2999999999999998</v>
      </c>
      <c r="E8940" s="59"/>
    </row>
    <row r="8941" spans="3:5" x14ac:dyDescent="0.15">
      <c r="C8941" s="255" t="s">
        <v>776</v>
      </c>
      <c r="D8941" s="59">
        <v>69.099999999999994</v>
      </c>
      <c r="E8941" s="59"/>
    </row>
    <row r="8942" spans="3:5" x14ac:dyDescent="0.15">
      <c r="C8942" s="255" t="s">
        <v>777</v>
      </c>
      <c r="D8942" s="59">
        <v>229.5</v>
      </c>
      <c r="E8942" s="59"/>
    </row>
    <row r="8943" spans="3:5" x14ac:dyDescent="0.15">
      <c r="C8943" s="255" t="s">
        <v>778</v>
      </c>
      <c r="D8943" s="59">
        <v>155.5</v>
      </c>
      <c r="E8943" s="59"/>
    </row>
    <row r="8944" spans="3:5" x14ac:dyDescent="0.15">
      <c r="C8944" s="255" t="s">
        <v>779</v>
      </c>
      <c r="D8944" s="59">
        <v>222.5</v>
      </c>
      <c r="E8944" s="59"/>
    </row>
    <row r="8945" spans="3:5" x14ac:dyDescent="0.15">
      <c r="C8945" s="255" t="s">
        <v>780</v>
      </c>
      <c r="D8945" s="59">
        <v>0</v>
      </c>
      <c r="E8945" s="59"/>
    </row>
    <row r="8946" spans="3:5" x14ac:dyDescent="0.15">
      <c r="C8946" s="255" t="s">
        <v>781</v>
      </c>
      <c r="D8946" s="59">
        <v>329.1</v>
      </c>
      <c r="E8946" s="59"/>
    </row>
    <row r="8947" spans="3:5" x14ac:dyDescent="0.15">
      <c r="C8947" s="255" t="s">
        <v>782</v>
      </c>
      <c r="D8947" s="59">
        <v>840.2</v>
      </c>
      <c r="E8947" s="59"/>
    </row>
    <row r="8948" spans="3:5" x14ac:dyDescent="0.15">
      <c r="C8948" s="255" t="s">
        <v>783</v>
      </c>
      <c r="D8948" s="59">
        <v>319.10000000000002</v>
      </c>
      <c r="E8948" s="59"/>
    </row>
    <row r="8949" spans="3:5" x14ac:dyDescent="0.15">
      <c r="C8949" s="255" t="s">
        <v>784</v>
      </c>
      <c r="D8949" s="59">
        <v>406.9</v>
      </c>
      <c r="E8949" s="59"/>
    </row>
    <row r="8950" spans="3:5" x14ac:dyDescent="0.15">
      <c r="C8950" s="255" t="s">
        <v>785</v>
      </c>
      <c r="D8950" s="59">
        <v>123.1</v>
      </c>
      <c r="E8950" s="59"/>
    </row>
    <row r="8951" spans="3:5" x14ac:dyDescent="0.15">
      <c r="C8951" s="255" t="s">
        <v>786</v>
      </c>
      <c r="D8951" s="59">
        <v>32.4</v>
      </c>
      <c r="E8951" s="59"/>
    </row>
    <row r="8952" spans="3:5" x14ac:dyDescent="0.15">
      <c r="C8952" s="255" t="s">
        <v>787</v>
      </c>
      <c r="D8952" s="59">
        <v>52.5</v>
      </c>
      <c r="E8952" s="59"/>
    </row>
    <row r="8953" spans="3:5" x14ac:dyDescent="0.15">
      <c r="C8953" s="255" t="s">
        <v>788</v>
      </c>
      <c r="D8953" s="59">
        <v>19.3</v>
      </c>
      <c r="E8953" s="59"/>
    </row>
    <row r="8954" spans="3:5" x14ac:dyDescent="0.15">
      <c r="C8954" s="255" t="s">
        <v>789</v>
      </c>
      <c r="D8954" s="59">
        <v>0.3</v>
      </c>
      <c r="E8954" s="59"/>
    </row>
    <row r="8955" spans="3:5" x14ac:dyDescent="0.15">
      <c r="C8955" s="255" t="s">
        <v>790</v>
      </c>
      <c r="D8955" s="59">
        <v>863.7</v>
      </c>
      <c r="E8955" s="59"/>
    </row>
    <row r="8956" spans="3:5" x14ac:dyDescent="0.15">
      <c r="C8956" s="255" t="s">
        <v>791</v>
      </c>
      <c r="D8956" s="59">
        <v>132.30000000000001</v>
      </c>
      <c r="E8956" s="59"/>
    </row>
    <row r="8957" spans="3:5" x14ac:dyDescent="0.15">
      <c r="C8957" s="255" t="s">
        <v>792</v>
      </c>
      <c r="D8957" s="59">
        <v>369.5</v>
      </c>
      <c r="E8957" s="59"/>
    </row>
    <row r="8958" spans="3:5" x14ac:dyDescent="0.15">
      <c r="C8958" s="255" t="s">
        <v>793</v>
      </c>
      <c r="D8958" s="59">
        <v>99.3</v>
      </c>
      <c r="E8958" s="59"/>
    </row>
    <row r="8959" spans="3:5" x14ac:dyDescent="0.15">
      <c r="C8959" s="255" t="s">
        <v>794</v>
      </c>
      <c r="D8959" s="59">
        <v>954.4</v>
      </c>
      <c r="E8959" s="59"/>
    </row>
    <row r="8960" spans="3:5" x14ac:dyDescent="0.15">
      <c r="C8960" s="255" t="s">
        <v>795</v>
      </c>
      <c r="D8960" s="59">
        <v>140.6</v>
      </c>
      <c r="E8960" s="59"/>
    </row>
    <row r="8961" spans="3:5" x14ac:dyDescent="0.15">
      <c r="C8961" s="255" t="s">
        <v>796</v>
      </c>
      <c r="D8961" s="59">
        <v>399.4</v>
      </c>
      <c r="E8961" s="59"/>
    </row>
    <row r="8962" spans="3:5" x14ac:dyDescent="0.15">
      <c r="C8962" s="255" t="s">
        <v>797</v>
      </c>
      <c r="D8962" s="59">
        <v>138.80000000000001</v>
      </c>
      <c r="E8962" s="59"/>
    </row>
    <row r="8963" spans="3:5" x14ac:dyDescent="0.15">
      <c r="C8963" s="255" t="s">
        <v>798</v>
      </c>
      <c r="D8963" s="59">
        <v>268.7</v>
      </c>
      <c r="E8963" s="59"/>
    </row>
    <row r="8964" spans="3:5" x14ac:dyDescent="0.15">
      <c r="C8964" s="255" t="s">
        <v>799</v>
      </c>
      <c r="D8964" s="59">
        <v>16.100000000000001</v>
      </c>
      <c r="E8964" s="59"/>
    </row>
    <row r="8965" spans="3:5" x14ac:dyDescent="0.15">
      <c r="C8965" s="255" t="s">
        <v>800</v>
      </c>
      <c r="D8965" s="59">
        <v>21.9</v>
      </c>
      <c r="E8965" s="59"/>
    </row>
    <row r="8966" spans="3:5" x14ac:dyDescent="0.15">
      <c r="C8966" s="255" t="s">
        <v>801</v>
      </c>
      <c r="D8966" s="59">
        <v>102</v>
      </c>
      <c r="E8966" s="59"/>
    </row>
    <row r="8967" spans="3:5" x14ac:dyDescent="0.15">
      <c r="C8967" s="255" t="s">
        <v>802</v>
      </c>
      <c r="D8967" s="59">
        <v>605.1</v>
      </c>
      <c r="E8967" s="59"/>
    </row>
    <row r="8968" spans="3:5" x14ac:dyDescent="0.15">
      <c r="C8968" s="255" t="s">
        <v>803</v>
      </c>
      <c r="D8968" s="59">
        <v>461</v>
      </c>
      <c r="E8968" s="59"/>
    </row>
    <row r="8969" spans="3:5" x14ac:dyDescent="0.15">
      <c r="C8969" s="255" t="s">
        <v>804</v>
      </c>
      <c r="D8969" s="59">
        <v>288.2</v>
      </c>
      <c r="E8969" s="59"/>
    </row>
    <row r="8970" spans="3:5" x14ac:dyDescent="0.15">
      <c r="C8970" s="255" t="s">
        <v>805</v>
      </c>
      <c r="D8970" s="59">
        <v>0.5</v>
      </c>
      <c r="E8970" s="59"/>
    </row>
    <row r="8971" spans="3:5" x14ac:dyDescent="0.15">
      <c r="C8971" s="255" t="s">
        <v>806</v>
      </c>
      <c r="D8971" s="59">
        <v>451.9</v>
      </c>
      <c r="E8971" s="59"/>
    </row>
    <row r="8972" spans="3:5" x14ac:dyDescent="0.15">
      <c r="C8972" s="255" t="s">
        <v>807</v>
      </c>
      <c r="D8972" s="59">
        <v>261.60000000000002</v>
      </c>
      <c r="E8972" s="59"/>
    </row>
    <row r="8973" spans="3:5" x14ac:dyDescent="0.15">
      <c r="C8973" s="255" t="s">
        <v>808</v>
      </c>
      <c r="D8973" s="59">
        <v>1.7</v>
      </c>
      <c r="E8973" s="59"/>
    </row>
    <row r="8974" spans="3:5" x14ac:dyDescent="0.15">
      <c r="C8974" s="255" t="s">
        <v>809</v>
      </c>
      <c r="D8974" s="59">
        <v>131.1</v>
      </c>
      <c r="E8974" s="59"/>
    </row>
    <row r="8975" spans="3:5" x14ac:dyDescent="0.15">
      <c r="C8975" s="255" t="s">
        <v>810</v>
      </c>
      <c r="D8975" s="59">
        <v>108.3</v>
      </c>
      <c r="E8975" s="59"/>
    </row>
    <row r="8976" spans="3:5" x14ac:dyDescent="0.15">
      <c r="C8976" s="255" t="s">
        <v>811</v>
      </c>
      <c r="D8976" s="59">
        <v>233.5</v>
      </c>
      <c r="E8976" s="59"/>
    </row>
    <row r="8977" spans="3:5" x14ac:dyDescent="0.15">
      <c r="C8977" s="255" t="s">
        <v>812</v>
      </c>
      <c r="D8977" s="59">
        <v>29</v>
      </c>
      <c r="E8977" s="59"/>
    </row>
    <row r="8978" spans="3:5" x14ac:dyDescent="0.15">
      <c r="C8978" s="255" t="s">
        <v>813</v>
      </c>
      <c r="D8978" s="59">
        <v>0.8</v>
      </c>
      <c r="E8978" s="59"/>
    </row>
    <row r="8979" spans="3:5" x14ac:dyDescent="0.15">
      <c r="C8979" s="255" t="s">
        <v>814</v>
      </c>
      <c r="D8979" s="59">
        <v>99</v>
      </c>
      <c r="E8979" s="59"/>
    </row>
    <row r="8980" spans="3:5" x14ac:dyDescent="0.15">
      <c r="C8980" s="255" t="s">
        <v>815</v>
      </c>
      <c r="D8980" s="59">
        <v>841.7</v>
      </c>
      <c r="E8980" s="59"/>
    </row>
    <row r="8981" spans="3:5" x14ac:dyDescent="0.15">
      <c r="C8981" s="255" t="s">
        <v>816</v>
      </c>
      <c r="D8981" s="59">
        <v>429.1</v>
      </c>
      <c r="E8981" s="59"/>
    </row>
    <row r="8982" spans="3:5" x14ac:dyDescent="0.15">
      <c r="C8982" s="255" t="s">
        <v>817</v>
      </c>
      <c r="D8982" s="59">
        <v>4646.6000000000004</v>
      </c>
      <c r="E8982" s="59"/>
    </row>
    <row r="8983" spans="3:5" x14ac:dyDescent="0.15">
      <c r="C8983" s="255" t="s">
        <v>818</v>
      </c>
      <c r="D8983" s="59">
        <v>868.4</v>
      </c>
      <c r="E8983" s="59"/>
    </row>
    <row r="8984" spans="3:5" x14ac:dyDescent="0.15">
      <c r="C8984" s="255" t="s">
        <v>819</v>
      </c>
      <c r="D8984" s="59">
        <v>0.3</v>
      </c>
      <c r="E8984" s="59"/>
    </row>
    <row r="8985" spans="3:5" x14ac:dyDescent="0.15">
      <c r="C8985" s="255" t="s">
        <v>820</v>
      </c>
      <c r="D8985" s="59">
        <v>453</v>
      </c>
      <c r="E8985" s="59"/>
    </row>
    <row r="8986" spans="3:5" x14ac:dyDescent="0.15">
      <c r="C8986" s="255" t="s">
        <v>821</v>
      </c>
      <c r="D8986" s="59">
        <v>33.5</v>
      </c>
      <c r="E8986" s="59"/>
    </row>
    <row r="8987" spans="3:5" x14ac:dyDescent="0.15">
      <c r="C8987" s="255" t="s">
        <v>822</v>
      </c>
      <c r="D8987" s="59">
        <v>118.8</v>
      </c>
      <c r="E8987" s="59"/>
    </row>
    <row r="8988" spans="3:5" x14ac:dyDescent="0.15">
      <c r="C8988" s="255" t="s">
        <v>823</v>
      </c>
      <c r="D8988" s="59">
        <v>0.4</v>
      </c>
      <c r="E8988" s="59"/>
    </row>
    <row r="8989" spans="3:5" x14ac:dyDescent="0.15">
      <c r="C8989" s="255" t="s">
        <v>824</v>
      </c>
      <c r="D8989" s="59">
        <v>181.7</v>
      </c>
      <c r="E8989" s="59"/>
    </row>
    <row r="8990" spans="3:5" x14ac:dyDescent="0.15">
      <c r="C8990" s="255" t="s">
        <v>825</v>
      </c>
      <c r="D8990" s="59">
        <v>148.19999999999999</v>
      </c>
      <c r="E8990" s="59"/>
    </row>
    <row r="8991" spans="3:5" x14ac:dyDescent="0.15">
      <c r="C8991" s="255" t="s">
        <v>826</v>
      </c>
      <c r="D8991" s="59">
        <v>0.1</v>
      </c>
      <c r="E8991" s="59"/>
    </row>
    <row r="8992" spans="3:5" x14ac:dyDescent="0.15">
      <c r="C8992" s="255" t="s">
        <v>827</v>
      </c>
      <c r="D8992" s="59">
        <v>0</v>
      </c>
      <c r="E8992" s="59"/>
    </row>
    <row r="8993" spans="3:5" x14ac:dyDescent="0.15">
      <c r="C8993" s="255" t="s">
        <v>828</v>
      </c>
      <c r="D8993" s="59">
        <v>2822.8</v>
      </c>
      <c r="E8993" s="59"/>
    </row>
    <row r="8994" spans="3:5" x14ac:dyDescent="0.15">
      <c r="C8994" s="255" t="s">
        <v>829</v>
      </c>
      <c r="D8994" s="59">
        <v>0.4</v>
      </c>
      <c r="E8994" s="59"/>
    </row>
    <row r="8995" spans="3:5" x14ac:dyDescent="0.15">
      <c r="C8995" s="255" t="s">
        <v>830</v>
      </c>
      <c r="D8995" s="59">
        <v>18.899999999999999</v>
      </c>
      <c r="E8995" s="59"/>
    </row>
    <row r="8996" spans="3:5" x14ac:dyDescent="0.15">
      <c r="C8996" s="255" t="s">
        <v>831</v>
      </c>
      <c r="D8996" s="59">
        <v>0</v>
      </c>
      <c r="E8996" s="59"/>
    </row>
    <row r="8997" spans="3:5" x14ac:dyDescent="0.15">
      <c r="C8997" s="255" t="s">
        <v>832</v>
      </c>
      <c r="D8997" s="59">
        <v>4346.8999999999996</v>
      </c>
      <c r="E8997" s="59"/>
    </row>
    <row r="8998" spans="3:5" x14ac:dyDescent="0.15">
      <c r="C8998" s="255" t="s">
        <v>833</v>
      </c>
      <c r="D8998" s="59">
        <v>207.3</v>
      </c>
      <c r="E8998" s="59"/>
    </row>
    <row r="8999" spans="3:5" x14ac:dyDescent="0.15">
      <c r="C8999" s="255" t="s">
        <v>834</v>
      </c>
      <c r="D8999" s="59">
        <v>1519.3</v>
      </c>
      <c r="E8999" s="59"/>
    </row>
    <row r="9000" spans="3:5" x14ac:dyDescent="0.15">
      <c r="C9000" s="255" t="s">
        <v>835</v>
      </c>
      <c r="D9000" s="59">
        <v>1442.3</v>
      </c>
      <c r="E9000" s="59"/>
    </row>
    <row r="9001" spans="3:5" x14ac:dyDescent="0.15">
      <c r="C9001" s="255" t="s">
        <v>836</v>
      </c>
      <c r="D9001" s="59">
        <v>34.799999999999997</v>
      </c>
      <c r="E9001" s="59"/>
    </row>
    <row r="9002" spans="3:5" x14ac:dyDescent="0.15">
      <c r="C9002" s="255" t="s">
        <v>837</v>
      </c>
      <c r="D9002" s="59">
        <v>4.2</v>
      </c>
      <c r="E9002" s="59"/>
    </row>
    <row r="9003" spans="3:5" x14ac:dyDescent="0.15">
      <c r="C9003" s="255" t="s">
        <v>838</v>
      </c>
      <c r="D9003" s="59">
        <v>0</v>
      </c>
      <c r="E9003" s="59"/>
    </row>
    <row r="9004" spans="3:5" x14ac:dyDescent="0.15">
      <c r="C9004" s="255" t="s">
        <v>839</v>
      </c>
      <c r="D9004" s="59">
        <v>63.6</v>
      </c>
      <c r="E9004" s="59"/>
    </row>
    <row r="9005" spans="3:5" x14ac:dyDescent="0.15">
      <c r="C9005" s="255" t="s">
        <v>840</v>
      </c>
      <c r="D9005" s="59">
        <v>0</v>
      </c>
      <c r="E9005" s="59"/>
    </row>
    <row r="9006" spans="3:5" x14ac:dyDescent="0.15">
      <c r="C9006" s="255" t="s">
        <v>841</v>
      </c>
      <c r="D9006" s="59">
        <v>136.30000000000001</v>
      </c>
      <c r="E9006" s="59"/>
    </row>
    <row r="9007" spans="3:5" x14ac:dyDescent="0.15">
      <c r="C9007" s="255" t="s">
        <v>842</v>
      </c>
      <c r="D9007" s="59">
        <v>678.4</v>
      </c>
      <c r="E9007" s="59"/>
    </row>
    <row r="9008" spans="3:5" x14ac:dyDescent="0.15">
      <c r="C9008" s="255" t="s">
        <v>843</v>
      </c>
      <c r="D9008" s="59">
        <v>260.8</v>
      </c>
      <c r="E9008" s="59"/>
    </row>
    <row r="9009" spans="3:5" x14ac:dyDescent="0.15">
      <c r="C9009" s="255" t="s">
        <v>844</v>
      </c>
      <c r="D9009" s="59">
        <v>0</v>
      </c>
      <c r="E9009" s="59"/>
    </row>
    <row r="9010" spans="3:5" x14ac:dyDescent="0.15">
      <c r="C9010" s="255" t="s">
        <v>845</v>
      </c>
      <c r="D9010" s="59">
        <v>36974.6</v>
      </c>
      <c r="E9010" s="59"/>
    </row>
    <row r="9011" spans="3:5" x14ac:dyDescent="0.15">
      <c r="C9011" s="255" t="s">
        <v>846</v>
      </c>
      <c r="D9011" s="59">
        <v>25376.1</v>
      </c>
      <c r="E9011" s="59"/>
    </row>
    <row r="9012" spans="3:5" x14ac:dyDescent="0.15">
      <c r="C9012" s="255" t="s">
        <v>847</v>
      </c>
      <c r="D9012" s="59">
        <v>0</v>
      </c>
      <c r="E9012" s="59"/>
    </row>
    <row r="9013" spans="3:5" x14ac:dyDescent="0.15">
      <c r="C9013" s="255" t="s">
        <v>848</v>
      </c>
      <c r="D9013" s="59">
        <v>40.9</v>
      </c>
      <c r="E9013" s="59"/>
    </row>
    <row r="9014" spans="3:5" x14ac:dyDescent="0.15">
      <c r="C9014" s="255" t="s">
        <v>849</v>
      </c>
      <c r="D9014" s="59">
        <v>0</v>
      </c>
      <c r="E9014" s="59"/>
    </row>
    <row r="9015" spans="3:5" x14ac:dyDescent="0.15">
      <c r="C9015" s="255" t="s">
        <v>850</v>
      </c>
      <c r="D9015" s="59">
        <v>0</v>
      </c>
      <c r="E9015" s="59"/>
    </row>
    <row r="9016" spans="3:5" x14ac:dyDescent="0.15">
      <c r="C9016" s="255" t="s">
        <v>851</v>
      </c>
      <c r="D9016" s="59">
        <v>0</v>
      </c>
      <c r="E9016" s="59"/>
    </row>
    <row r="9017" spans="3:5" x14ac:dyDescent="0.15">
      <c r="C9017" s="255" t="s">
        <v>852</v>
      </c>
      <c r="D9017" s="59">
        <v>0</v>
      </c>
      <c r="E9017" s="59"/>
    </row>
    <row r="9018" spans="3:5" x14ac:dyDescent="0.15">
      <c r="C9018" s="255" t="s">
        <v>853</v>
      </c>
      <c r="D9018" s="59">
        <v>0</v>
      </c>
      <c r="E9018" s="59"/>
    </row>
    <row r="9019" spans="3:5" x14ac:dyDescent="0.15">
      <c r="C9019" s="255" t="s">
        <v>854</v>
      </c>
      <c r="D9019" s="59">
        <v>0</v>
      </c>
      <c r="E9019" s="59"/>
    </row>
    <row r="9020" spans="3:5" x14ac:dyDescent="0.15">
      <c r="C9020" s="255" t="s">
        <v>855</v>
      </c>
      <c r="D9020" s="59">
        <v>0</v>
      </c>
      <c r="E9020" s="59"/>
    </row>
    <row r="9021" spans="3:5" x14ac:dyDescent="0.15">
      <c r="C9021" s="255" t="s">
        <v>856</v>
      </c>
      <c r="D9021" s="59">
        <v>0</v>
      </c>
      <c r="E9021" s="59"/>
    </row>
    <row r="9022" spans="3:5" x14ac:dyDescent="0.15">
      <c r="C9022" s="255" t="s">
        <v>857</v>
      </c>
      <c r="D9022" s="59">
        <v>982.9</v>
      </c>
      <c r="E9022" s="59"/>
    </row>
    <row r="9023" spans="3:5" x14ac:dyDescent="0.15">
      <c r="C9023" s="255" t="s">
        <v>858</v>
      </c>
      <c r="D9023" s="59">
        <v>983.5</v>
      </c>
      <c r="E9023" s="59"/>
    </row>
    <row r="9024" spans="3:5" x14ac:dyDescent="0.15">
      <c r="C9024" s="255" t="s">
        <v>859</v>
      </c>
      <c r="D9024" s="59">
        <v>581.29999999999995</v>
      </c>
      <c r="E9024" s="59"/>
    </row>
    <row r="9025" spans="3:5" x14ac:dyDescent="0.15">
      <c r="C9025" s="255" t="s">
        <v>860</v>
      </c>
      <c r="D9025" s="59">
        <v>0</v>
      </c>
      <c r="E9025" s="59"/>
    </row>
    <row r="9026" spans="3:5" x14ac:dyDescent="0.15">
      <c r="C9026" s="255" t="s">
        <v>861</v>
      </c>
      <c r="D9026" s="59">
        <v>19.5</v>
      </c>
      <c r="E9026" s="59"/>
    </row>
    <row r="9027" spans="3:5" x14ac:dyDescent="0.15">
      <c r="C9027" s="255" t="s">
        <v>862</v>
      </c>
      <c r="D9027" s="59">
        <v>2573.1</v>
      </c>
      <c r="E9027" s="59"/>
    </row>
    <row r="9028" spans="3:5" x14ac:dyDescent="0.15">
      <c r="C9028" s="255" t="s">
        <v>863</v>
      </c>
      <c r="D9028" s="59">
        <v>15</v>
      </c>
      <c r="E9028" s="59"/>
    </row>
    <row r="9029" spans="3:5" x14ac:dyDescent="0.15">
      <c r="C9029" s="255" t="s">
        <v>864</v>
      </c>
      <c r="D9029" s="59">
        <v>0</v>
      </c>
      <c r="E9029" s="59"/>
    </row>
    <row r="9030" spans="3:5" x14ac:dyDescent="0.15">
      <c r="C9030" s="255" t="s">
        <v>865</v>
      </c>
      <c r="D9030" s="59">
        <v>0</v>
      </c>
      <c r="E9030" s="59"/>
    </row>
    <row r="9031" spans="3:5" x14ac:dyDescent="0.15">
      <c r="C9031" s="255" t="s">
        <v>866</v>
      </c>
      <c r="D9031" s="59">
        <v>0</v>
      </c>
      <c r="E9031" s="59"/>
    </row>
    <row r="9032" spans="3:5" x14ac:dyDescent="0.15">
      <c r="C9032" s="255" t="s">
        <v>867</v>
      </c>
      <c r="D9032" s="59">
        <v>5.7</v>
      </c>
      <c r="E9032" s="59"/>
    </row>
    <row r="9033" spans="3:5" x14ac:dyDescent="0.15">
      <c r="C9033" s="255" t="s">
        <v>868</v>
      </c>
      <c r="D9033" s="59">
        <v>6396.7</v>
      </c>
      <c r="E9033" s="59"/>
    </row>
    <row r="9034" spans="3:5" x14ac:dyDescent="0.15">
      <c r="C9034" s="255" t="s">
        <v>869</v>
      </c>
      <c r="D9034" s="59">
        <v>4098.3</v>
      </c>
      <c r="E9034" s="59"/>
    </row>
    <row r="9035" spans="3:5" x14ac:dyDescent="0.15">
      <c r="C9035" s="255" t="s">
        <v>870</v>
      </c>
      <c r="D9035" s="59">
        <v>2797.3</v>
      </c>
      <c r="E9035" s="59"/>
    </row>
    <row r="9036" spans="3:5" x14ac:dyDescent="0.15">
      <c r="C9036" s="255" t="s">
        <v>871</v>
      </c>
      <c r="D9036" s="59">
        <v>0</v>
      </c>
      <c r="E9036" s="59"/>
    </row>
    <row r="9037" spans="3:5" x14ac:dyDescent="0.15">
      <c r="C9037" s="255" t="s">
        <v>872</v>
      </c>
      <c r="D9037" s="59">
        <v>0</v>
      </c>
      <c r="E9037" s="59"/>
    </row>
    <row r="9038" spans="3:5" x14ac:dyDescent="0.15">
      <c r="C9038" s="255" t="s">
        <v>873</v>
      </c>
      <c r="D9038" s="59">
        <v>266.8</v>
      </c>
      <c r="E9038" s="59"/>
    </row>
    <row r="9039" spans="3:5" x14ac:dyDescent="0.15">
      <c r="C9039" s="255" t="s">
        <v>874</v>
      </c>
      <c r="D9039" s="59">
        <v>49.9</v>
      </c>
      <c r="E9039" s="59"/>
    </row>
    <row r="9040" spans="3:5" x14ac:dyDescent="0.15">
      <c r="C9040" s="255" t="s">
        <v>875</v>
      </c>
      <c r="D9040" s="59">
        <v>0</v>
      </c>
      <c r="E9040" s="59"/>
    </row>
    <row r="9041" spans="3:5" x14ac:dyDescent="0.15">
      <c r="C9041" s="255" t="s">
        <v>876</v>
      </c>
      <c r="D9041" s="59">
        <v>0</v>
      </c>
      <c r="E9041" s="59"/>
    </row>
    <row r="9042" spans="3:5" x14ac:dyDescent="0.15">
      <c r="C9042" s="255" t="s">
        <v>877</v>
      </c>
      <c r="D9042" s="59">
        <v>0</v>
      </c>
      <c r="E9042" s="59"/>
    </row>
    <row r="9043" spans="3:5" x14ac:dyDescent="0.15">
      <c r="C9043" s="255" t="s">
        <v>878</v>
      </c>
      <c r="D9043" s="59">
        <v>2.8</v>
      </c>
      <c r="E9043" s="59"/>
    </row>
    <row r="9044" spans="3:5" x14ac:dyDescent="0.15">
      <c r="C9044" s="255" t="s">
        <v>879</v>
      </c>
      <c r="D9044" s="59">
        <v>7</v>
      </c>
      <c r="E9044" s="59"/>
    </row>
    <row r="9045" spans="3:5" x14ac:dyDescent="0.15">
      <c r="C9045" s="255" t="s">
        <v>880</v>
      </c>
      <c r="D9045" s="59">
        <v>4.2</v>
      </c>
      <c r="E9045" s="59"/>
    </row>
    <row r="9046" spans="3:5" x14ac:dyDescent="0.15">
      <c r="C9046" s="255" t="s">
        <v>881</v>
      </c>
      <c r="D9046" s="59">
        <v>0</v>
      </c>
      <c r="E9046" s="59"/>
    </row>
    <row r="9047" spans="3:5" x14ac:dyDescent="0.15">
      <c r="C9047" s="255" t="s">
        <v>882</v>
      </c>
      <c r="D9047" s="59">
        <v>11.7</v>
      </c>
      <c r="E9047" s="59"/>
    </row>
    <row r="9048" spans="3:5" x14ac:dyDescent="0.15">
      <c r="C9048" s="255" t="s">
        <v>883</v>
      </c>
      <c r="D9048" s="59">
        <v>47.8</v>
      </c>
      <c r="E9048" s="59"/>
    </row>
    <row r="9049" spans="3:5" x14ac:dyDescent="0.15">
      <c r="C9049" s="255" t="s">
        <v>884</v>
      </c>
      <c r="D9049" s="59">
        <v>0</v>
      </c>
      <c r="E9049" s="59"/>
    </row>
    <row r="9050" spans="3:5" x14ac:dyDescent="0.15">
      <c r="C9050" s="255" t="s">
        <v>885</v>
      </c>
      <c r="D9050" s="59">
        <v>0</v>
      </c>
      <c r="E9050" s="59"/>
    </row>
    <row r="9051" spans="3:5" x14ac:dyDescent="0.15">
      <c r="C9051" s="255" t="s">
        <v>886</v>
      </c>
      <c r="D9051" s="59">
        <v>0</v>
      </c>
      <c r="E9051" s="59"/>
    </row>
    <row r="9052" spans="3:5" x14ac:dyDescent="0.15">
      <c r="C9052" s="255" t="s">
        <v>887</v>
      </c>
      <c r="D9052" s="59">
        <v>0</v>
      </c>
      <c r="E9052" s="59"/>
    </row>
    <row r="9053" spans="3:5" x14ac:dyDescent="0.15">
      <c r="C9053" s="255" t="s">
        <v>888</v>
      </c>
      <c r="D9053" s="59">
        <v>0</v>
      </c>
      <c r="E9053" s="59"/>
    </row>
    <row r="9054" spans="3:5" x14ac:dyDescent="0.15">
      <c r="C9054" s="255" t="s">
        <v>889</v>
      </c>
      <c r="D9054" s="59">
        <v>10.1</v>
      </c>
      <c r="E9054" s="59"/>
    </row>
    <row r="9055" spans="3:5" x14ac:dyDescent="0.15">
      <c r="C9055" s="255" t="s">
        <v>890</v>
      </c>
      <c r="D9055" s="59">
        <v>0</v>
      </c>
      <c r="E9055" s="59"/>
    </row>
    <row r="9056" spans="3:5" x14ac:dyDescent="0.15">
      <c r="C9056" s="255" t="s">
        <v>891</v>
      </c>
      <c r="D9056" s="59">
        <v>0</v>
      </c>
      <c r="E9056" s="59"/>
    </row>
    <row r="9057" spans="3:5" x14ac:dyDescent="0.15">
      <c r="C9057" s="255" t="s">
        <v>892</v>
      </c>
      <c r="D9057" s="59">
        <v>0</v>
      </c>
      <c r="E9057" s="59"/>
    </row>
    <row r="9058" spans="3:5" x14ac:dyDescent="0.15">
      <c r="C9058" s="255" t="s">
        <v>893</v>
      </c>
      <c r="D9058" s="59">
        <v>0</v>
      </c>
      <c r="E9058" s="59"/>
    </row>
    <row r="9059" spans="3:5" x14ac:dyDescent="0.15">
      <c r="C9059" s="255" t="s">
        <v>894</v>
      </c>
      <c r="D9059" s="59">
        <v>0</v>
      </c>
      <c r="E9059" s="59"/>
    </row>
    <row r="9060" spans="3:5" x14ac:dyDescent="0.15">
      <c r="C9060" s="255" t="s">
        <v>895</v>
      </c>
      <c r="D9060" s="59">
        <v>4.4000000000000004</v>
      </c>
      <c r="E9060" s="59"/>
    </row>
    <row r="9061" spans="3:5" x14ac:dyDescent="0.15">
      <c r="C9061" s="255" t="s">
        <v>896</v>
      </c>
      <c r="D9061" s="59">
        <v>0</v>
      </c>
      <c r="E9061" s="59"/>
    </row>
    <row r="9062" spans="3:5" x14ac:dyDescent="0.15">
      <c r="C9062" s="255" t="s">
        <v>897</v>
      </c>
      <c r="D9062" s="59">
        <v>23.3</v>
      </c>
      <c r="E9062" s="59"/>
    </row>
    <row r="9063" spans="3:5" x14ac:dyDescent="0.15">
      <c r="C9063" s="255" t="s">
        <v>898</v>
      </c>
      <c r="D9063" s="59">
        <v>0</v>
      </c>
      <c r="E9063" s="59"/>
    </row>
    <row r="9064" spans="3:5" x14ac:dyDescent="0.15">
      <c r="C9064" s="255" t="s">
        <v>899</v>
      </c>
      <c r="D9064" s="59">
        <v>0</v>
      </c>
      <c r="E9064" s="59"/>
    </row>
    <row r="9065" spans="3:5" x14ac:dyDescent="0.15">
      <c r="C9065" s="255" t="s">
        <v>900</v>
      </c>
      <c r="D9065" s="59">
        <v>0</v>
      </c>
      <c r="E9065" s="59"/>
    </row>
    <row r="9066" spans="3:5" x14ac:dyDescent="0.15">
      <c r="C9066" s="255" t="s">
        <v>901</v>
      </c>
      <c r="D9066" s="59">
        <v>212.4</v>
      </c>
      <c r="E9066" s="59"/>
    </row>
    <row r="9067" spans="3:5" x14ac:dyDescent="0.15">
      <c r="C9067" s="255" t="s">
        <v>902</v>
      </c>
      <c r="D9067" s="59">
        <v>0</v>
      </c>
      <c r="E9067" s="59"/>
    </row>
    <row r="9068" spans="3:5" x14ac:dyDescent="0.15">
      <c r="C9068" s="255" t="s">
        <v>903</v>
      </c>
      <c r="D9068" s="59">
        <v>241.7</v>
      </c>
      <c r="E9068" s="59"/>
    </row>
    <row r="9069" spans="3:5" x14ac:dyDescent="0.15">
      <c r="C9069" s="255" t="s">
        <v>904</v>
      </c>
      <c r="D9069" s="59">
        <v>418.8</v>
      </c>
      <c r="E9069" s="59"/>
    </row>
    <row r="9070" spans="3:5" x14ac:dyDescent="0.15">
      <c r="C9070" s="255" t="s">
        <v>905</v>
      </c>
      <c r="D9070" s="59">
        <v>0</v>
      </c>
      <c r="E9070" s="59"/>
    </row>
    <row r="9071" spans="3:5" x14ac:dyDescent="0.15">
      <c r="C9071" s="255" t="s">
        <v>906</v>
      </c>
      <c r="D9071" s="59">
        <v>0</v>
      </c>
      <c r="E9071" s="59"/>
    </row>
    <row r="9072" spans="3:5" x14ac:dyDescent="0.15">
      <c r="C9072" s="255" t="s">
        <v>907</v>
      </c>
      <c r="D9072" s="59">
        <v>0</v>
      </c>
      <c r="E9072" s="59"/>
    </row>
    <row r="9073" spans="3:5" x14ac:dyDescent="0.15">
      <c r="C9073" s="255" t="s">
        <v>908</v>
      </c>
      <c r="D9073" s="59">
        <v>1087.3</v>
      </c>
      <c r="E9073" s="59"/>
    </row>
    <row r="9074" spans="3:5" x14ac:dyDescent="0.15">
      <c r="C9074" s="255" t="s">
        <v>909</v>
      </c>
      <c r="D9074" s="59">
        <v>205.5</v>
      </c>
      <c r="E9074" s="59"/>
    </row>
    <row r="9075" spans="3:5" x14ac:dyDescent="0.15">
      <c r="C9075" s="255" t="s">
        <v>910</v>
      </c>
      <c r="D9075" s="59">
        <v>75.400000000000006</v>
      </c>
      <c r="E9075" s="59"/>
    </row>
    <row r="9076" spans="3:5" x14ac:dyDescent="0.15">
      <c r="C9076" s="255" t="s">
        <v>911</v>
      </c>
      <c r="D9076" s="59">
        <v>0</v>
      </c>
      <c r="E9076" s="59"/>
    </row>
    <row r="9077" spans="3:5" x14ac:dyDescent="0.15">
      <c r="C9077" s="255" t="s">
        <v>912</v>
      </c>
      <c r="D9077" s="59">
        <v>0</v>
      </c>
      <c r="E9077" s="59"/>
    </row>
    <row r="9078" spans="3:5" x14ac:dyDescent="0.15">
      <c r="C9078" s="255" t="s">
        <v>913</v>
      </c>
      <c r="D9078" s="59">
        <v>0</v>
      </c>
      <c r="E9078" s="59"/>
    </row>
    <row r="9079" spans="3:5" x14ac:dyDescent="0.15">
      <c r="C9079" s="255" t="s">
        <v>914</v>
      </c>
      <c r="D9079" s="59">
        <v>0</v>
      </c>
      <c r="E9079" s="59"/>
    </row>
    <row r="9080" spans="3:5" x14ac:dyDescent="0.15">
      <c r="C9080" s="255" t="s">
        <v>915</v>
      </c>
      <c r="D9080" s="59">
        <v>0</v>
      </c>
      <c r="E9080" s="59"/>
    </row>
    <row r="9081" spans="3:5" x14ac:dyDescent="0.15">
      <c r="C9081" s="255" t="s">
        <v>916</v>
      </c>
      <c r="D9081" s="59">
        <v>145.6</v>
      </c>
      <c r="E9081" s="59"/>
    </row>
    <row r="9082" spans="3:5" x14ac:dyDescent="0.15">
      <c r="C9082" s="255" t="s">
        <v>917</v>
      </c>
      <c r="D9082" s="59">
        <v>0</v>
      </c>
      <c r="E9082" s="59"/>
    </row>
    <row r="9083" spans="3:5" x14ac:dyDescent="0.15">
      <c r="C9083" s="255" t="s">
        <v>918</v>
      </c>
      <c r="D9083" s="59">
        <v>494.7</v>
      </c>
      <c r="E9083" s="59"/>
    </row>
    <row r="9084" spans="3:5" x14ac:dyDescent="0.15">
      <c r="C9084" s="255" t="s">
        <v>919</v>
      </c>
      <c r="D9084" s="59">
        <v>0</v>
      </c>
      <c r="E9084" s="59"/>
    </row>
    <row r="9085" spans="3:5" x14ac:dyDescent="0.15">
      <c r="C9085" s="255" t="s">
        <v>920</v>
      </c>
      <c r="D9085" s="59">
        <v>166.2</v>
      </c>
      <c r="E9085" s="59"/>
    </row>
    <row r="9086" spans="3:5" x14ac:dyDescent="0.15">
      <c r="C9086" s="255" t="s">
        <v>921</v>
      </c>
      <c r="D9086" s="59">
        <v>0</v>
      </c>
      <c r="E9086" s="59"/>
    </row>
    <row r="9087" spans="3:5" x14ac:dyDescent="0.15">
      <c r="C9087" s="255" t="s">
        <v>922</v>
      </c>
      <c r="D9087" s="59">
        <v>7971.7</v>
      </c>
      <c r="E9087" s="59"/>
    </row>
    <row r="9088" spans="3:5" x14ac:dyDescent="0.15">
      <c r="C9088" s="255" t="s">
        <v>923</v>
      </c>
      <c r="D9088" s="59">
        <v>0</v>
      </c>
      <c r="E9088" s="59"/>
    </row>
    <row r="9089" spans="3:5" x14ac:dyDescent="0.15">
      <c r="C9089" s="255" t="s">
        <v>924</v>
      </c>
      <c r="D9089" s="59">
        <v>0</v>
      </c>
      <c r="E9089" s="59"/>
    </row>
    <row r="9090" spans="3:5" x14ac:dyDescent="0.15">
      <c r="C9090" s="255" t="s">
        <v>925</v>
      </c>
      <c r="D9090" s="59">
        <v>80</v>
      </c>
      <c r="E9090" s="59"/>
    </row>
    <row r="9091" spans="3:5" x14ac:dyDescent="0.15">
      <c r="C9091" s="255" t="s">
        <v>926</v>
      </c>
      <c r="D9091" s="59">
        <v>355.1</v>
      </c>
      <c r="E9091" s="59"/>
    </row>
    <row r="9092" spans="3:5" x14ac:dyDescent="0.15">
      <c r="C9092" s="255" t="s">
        <v>927</v>
      </c>
      <c r="D9092" s="59">
        <v>37.299999999999997</v>
      </c>
      <c r="E9092" s="59"/>
    </row>
    <row r="9093" spans="3:5" x14ac:dyDescent="0.15">
      <c r="C9093" s="255" t="s">
        <v>928</v>
      </c>
      <c r="D9093" s="59">
        <v>125.4</v>
      </c>
      <c r="E9093" s="59"/>
    </row>
    <row r="9094" spans="3:5" x14ac:dyDescent="0.15">
      <c r="C9094" s="255" t="s">
        <v>929</v>
      </c>
      <c r="D9094" s="59">
        <v>0</v>
      </c>
      <c r="E9094" s="59"/>
    </row>
    <row r="9095" spans="3:5" x14ac:dyDescent="0.15">
      <c r="C9095" s="255" t="s">
        <v>930</v>
      </c>
      <c r="D9095" s="59">
        <v>0</v>
      </c>
      <c r="E9095" s="59"/>
    </row>
    <row r="9096" spans="3:5" x14ac:dyDescent="0.15">
      <c r="C9096" s="255" t="s">
        <v>931</v>
      </c>
      <c r="D9096" s="59">
        <v>587.79999999999995</v>
      </c>
      <c r="E9096" s="59"/>
    </row>
    <row r="9097" spans="3:5" x14ac:dyDescent="0.15">
      <c r="C9097" s="255" t="s">
        <v>932</v>
      </c>
      <c r="D9097" s="59">
        <v>0</v>
      </c>
      <c r="E9097" s="59"/>
    </row>
    <row r="9098" spans="3:5" x14ac:dyDescent="0.15">
      <c r="C9098" s="255" t="s">
        <v>933</v>
      </c>
      <c r="D9098" s="59">
        <v>0</v>
      </c>
      <c r="E9098" s="59"/>
    </row>
    <row r="9099" spans="3:5" x14ac:dyDescent="0.15">
      <c r="C9099" s="255" t="s">
        <v>934</v>
      </c>
      <c r="D9099" s="59">
        <v>1113.7</v>
      </c>
      <c r="E9099" s="59"/>
    </row>
    <row r="9100" spans="3:5" x14ac:dyDescent="0.15">
      <c r="C9100" s="255" t="s">
        <v>935</v>
      </c>
      <c r="D9100" s="59">
        <v>95.6</v>
      </c>
      <c r="E9100" s="59"/>
    </row>
    <row r="9101" spans="3:5" x14ac:dyDescent="0.15">
      <c r="C9101" s="255" t="s">
        <v>936</v>
      </c>
      <c r="D9101" s="59">
        <v>401.3</v>
      </c>
      <c r="E9101" s="59"/>
    </row>
    <row r="9102" spans="3:5" x14ac:dyDescent="0.15">
      <c r="C9102" s="255" t="s">
        <v>937</v>
      </c>
      <c r="D9102" s="59">
        <v>913.4</v>
      </c>
      <c r="E9102" s="59"/>
    </row>
    <row r="9103" spans="3:5" x14ac:dyDescent="0.15">
      <c r="C9103" s="255" t="s">
        <v>938</v>
      </c>
      <c r="D9103" s="59">
        <v>531.70000000000005</v>
      </c>
      <c r="E9103" s="59"/>
    </row>
    <row r="9104" spans="3:5" x14ac:dyDescent="0.15">
      <c r="C9104" s="255" t="s">
        <v>939</v>
      </c>
      <c r="D9104" s="59">
        <v>0</v>
      </c>
      <c r="E9104" s="59"/>
    </row>
    <row r="9105" spans="3:5" x14ac:dyDescent="0.15">
      <c r="C9105" s="255" t="s">
        <v>940</v>
      </c>
      <c r="D9105" s="59">
        <v>121.3</v>
      </c>
      <c r="E9105" s="59"/>
    </row>
    <row r="9106" spans="3:5" x14ac:dyDescent="0.15">
      <c r="C9106" s="255" t="s">
        <v>941</v>
      </c>
      <c r="D9106" s="59">
        <v>17.8</v>
      </c>
      <c r="E9106" s="59"/>
    </row>
    <row r="9107" spans="3:5" x14ac:dyDescent="0.15">
      <c r="C9107" s="255" t="s">
        <v>942</v>
      </c>
      <c r="D9107" s="59">
        <v>0</v>
      </c>
      <c r="E9107" s="59"/>
    </row>
    <row r="9108" spans="3:5" x14ac:dyDescent="0.15">
      <c r="C9108" s="255" t="s">
        <v>943</v>
      </c>
      <c r="D9108" s="59">
        <v>1453.7</v>
      </c>
      <c r="E9108" s="59"/>
    </row>
    <row r="9109" spans="3:5" x14ac:dyDescent="0.15">
      <c r="C9109" s="255" t="s">
        <v>944</v>
      </c>
      <c r="D9109" s="59">
        <v>112.1</v>
      </c>
      <c r="E9109" s="59"/>
    </row>
    <row r="9110" spans="3:5" x14ac:dyDescent="0.15">
      <c r="C9110" s="255" t="s">
        <v>945</v>
      </c>
      <c r="D9110" s="59">
        <v>2004.7</v>
      </c>
      <c r="E9110" s="59"/>
    </row>
    <row r="9111" spans="3:5" x14ac:dyDescent="0.15">
      <c r="C9111" s="255" t="s">
        <v>946</v>
      </c>
      <c r="D9111" s="59">
        <v>15.3</v>
      </c>
      <c r="E9111" s="59"/>
    </row>
    <row r="9112" spans="3:5" x14ac:dyDescent="0.15">
      <c r="C9112" s="255" t="s">
        <v>947</v>
      </c>
      <c r="D9112" s="59">
        <v>5.3</v>
      </c>
      <c r="E9112" s="59"/>
    </row>
    <row r="9113" spans="3:5" x14ac:dyDescent="0.15">
      <c r="C9113" s="255" t="s">
        <v>948</v>
      </c>
      <c r="D9113" s="59">
        <v>3474.3</v>
      </c>
      <c r="E9113" s="59"/>
    </row>
    <row r="9114" spans="3:5" x14ac:dyDescent="0.15">
      <c r="C9114" s="255" t="s">
        <v>949</v>
      </c>
      <c r="D9114" s="59">
        <v>10.1</v>
      </c>
      <c r="E9114" s="59"/>
    </row>
    <row r="9115" spans="3:5" x14ac:dyDescent="0.15">
      <c r="C9115" s="255" t="s">
        <v>950</v>
      </c>
      <c r="D9115" s="59">
        <v>0</v>
      </c>
      <c r="E9115" s="59"/>
    </row>
    <row r="9116" spans="3:5" x14ac:dyDescent="0.15">
      <c r="C9116" s="255" t="s">
        <v>951</v>
      </c>
      <c r="D9116" s="59">
        <v>520.79999999999995</v>
      </c>
      <c r="E9116" s="59"/>
    </row>
    <row r="9117" spans="3:5" x14ac:dyDescent="0.15">
      <c r="C9117" s="255" t="s">
        <v>952</v>
      </c>
      <c r="D9117" s="59">
        <v>0</v>
      </c>
      <c r="E9117" s="59"/>
    </row>
    <row r="9118" spans="3:5" x14ac:dyDescent="0.15">
      <c r="C9118" s="255" t="s">
        <v>953</v>
      </c>
      <c r="D9118" s="59">
        <v>0</v>
      </c>
      <c r="E9118" s="59"/>
    </row>
    <row r="9119" spans="3:5" x14ac:dyDescent="0.15">
      <c r="C9119" s="255" t="s">
        <v>954</v>
      </c>
      <c r="D9119" s="59">
        <v>1561.5</v>
      </c>
      <c r="E9119" s="59"/>
    </row>
    <row r="9120" spans="3:5" x14ac:dyDescent="0.15">
      <c r="C9120" s="255" t="s">
        <v>955</v>
      </c>
      <c r="D9120" s="59">
        <v>1128</v>
      </c>
      <c r="E9120" s="59"/>
    </row>
    <row r="9121" spans="3:5" x14ac:dyDescent="0.15">
      <c r="C9121" s="255" t="s">
        <v>956</v>
      </c>
      <c r="D9121" s="59">
        <v>253.9</v>
      </c>
      <c r="E9121" s="59"/>
    </row>
    <row r="9122" spans="3:5" x14ac:dyDescent="0.15">
      <c r="C9122" s="255" t="s">
        <v>957</v>
      </c>
      <c r="D9122" s="59">
        <v>14942.2</v>
      </c>
      <c r="E9122" s="59"/>
    </row>
    <row r="9123" spans="3:5" x14ac:dyDescent="0.15">
      <c r="C9123" s="255" t="s">
        <v>958</v>
      </c>
      <c r="D9123" s="59">
        <v>0</v>
      </c>
      <c r="E9123" s="59"/>
    </row>
    <row r="9124" spans="3:5" x14ac:dyDescent="0.15">
      <c r="C9124" s="255" t="s">
        <v>959</v>
      </c>
      <c r="D9124" s="59">
        <v>509.6</v>
      </c>
      <c r="E9124" s="59"/>
    </row>
    <row r="9125" spans="3:5" x14ac:dyDescent="0.15">
      <c r="C9125" s="255" t="s">
        <v>960</v>
      </c>
      <c r="D9125" s="59">
        <v>290.10000000000002</v>
      </c>
      <c r="E9125" s="59"/>
    </row>
    <row r="9126" spans="3:5" x14ac:dyDescent="0.15">
      <c r="C9126" s="255" t="s">
        <v>961</v>
      </c>
      <c r="D9126" s="59">
        <v>0</v>
      </c>
      <c r="E9126" s="59"/>
    </row>
    <row r="9127" spans="3:5" x14ac:dyDescent="0.15">
      <c r="C9127" s="255" t="s">
        <v>962</v>
      </c>
      <c r="D9127" s="59">
        <v>0</v>
      </c>
      <c r="E9127" s="59"/>
    </row>
    <row r="9128" spans="3:5" x14ac:dyDescent="0.15">
      <c r="C9128" s="255" t="s">
        <v>963</v>
      </c>
      <c r="D9128" s="59">
        <v>3123.2</v>
      </c>
      <c r="E9128" s="59"/>
    </row>
    <row r="9129" spans="3:5" x14ac:dyDescent="0.15">
      <c r="C9129" s="255" t="s">
        <v>964</v>
      </c>
      <c r="D9129" s="59">
        <v>311.10000000000002</v>
      </c>
      <c r="E9129" s="59"/>
    </row>
    <row r="9130" spans="3:5" x14ac:dyDescent="0.15">
      <c r="C9130" s="255" t="s">
        <v>965</v>
      </c>
      <c r="D9130" s="59">
        <v>0</v>
      </c>
      <c r="E9130" s="59"/>
    </row>
    <row r="9131" spans="3:5" x14ac:dyDescent="0.15">
      <c r="C9131" s="255" t="s">
        <v>966</v>
      </c>
      <c r="D9131" s="59">
        <v>0</v>
      </c>
      <c r="E9131" s="59"/>
    </row>
    <row r="9132" spans="3:5" x14ac:dyDescent="0.15">
      <c r="C9132" s="255" t="s">
        <v>967</v>
      </c>
      <c r="D9132" s="59">
        <v>0</v>
      </c>
      <c r="E9132" s="59"/>
    </row>
    <row r="9133" spans="3:5" x14ac:dyDescent="0.15">
      <c r="C9133" s="255" t="s">
        <v>968</v>
      </c>
      <c r="D9133" s="59">
        <v>0</v>
      </c>
      <c r="E9133" s="59"/>
    </row>
    <row r="9134" spans="3:5" x14ac:dyDescent="0.15">
      <c r="C9134" s="255" t="s">
        <v>969</v>
      </c>
      <c r="D9134" s="59">
        <v>3.7</v>
      </c>
      <c r="E9134" s="59"/>
    </row>
    <row r="9135" spans="3:5" x14ac:dyDescent="0.15">
      <c r="C9135" s="255" t="s">
        <v>970</v>
      </c>
      <c r="D9135" s="59">
        <v>0</v>
      </c>
      <c r="E9135" s="59"/>
    </row>
    <row r="9136" spans="3:5" x14ac:dyDescent="0.15">
      <c r="C9136" s="255" t="s">
        <v>971</v>
      </c>
      <c r="D9136" s="59">
        <v>0</v>
      </c>
      <c r="E9136" s="59"/>
    </row>
    <row r="9137" spans="3:5" x14ac:dyDescent="0.15">
      <c r="C9137" s="255" t="s">
        <v>972</v>
      </c>
      <c r="D9137" s="59">
        <v>0</v>
      </c>
      <c r="E9137" s="59"/>
    </row>
    <row r="9138" spans="3:5" x14ac:dyDescent="0.15">
      <c r="C9138" s="255" t="s">
        <v>973</v>
      </c>
      <c r="D9138" s="59">
        <v>0</v>
      </c>
      <c r="E9138" s="59"/>
    </row>
    <row r="9139" spans="3:5" x14ac:dyDescent="0.15">
      <c r="C9139" s="255" t="s">
        <v>974</v>
      </c>
      <c r="D9139" s="59">
        <v>0</v>
      </c>
      <c r="E9139" s="59"/>
    </row>
    <row r="9140" spans="3:5" x14ac:dyDescent="0.15">
      <c r="C9140" s="255" t="s">
        <v>975</v>
      </c>
      <c r="D9140" s="59">
        <v>0</v>
      </c>
      <c r="E9140" s="59"/>
    </row>
    <row r="9141" spans="3:5" x14ac:dyDescent="0.15">
      <c r="C9141" s="255" t="s">
        <v>976</v>
      </c>
      <c r="D9141" s="59">
        <v>0</v>
      </c>
      <c r="E9141" s="59"/>
    </row>
    <row r="9142" spans="3:5" x14ac:dyDescent="0.15">
      <c r="C9142" s="255" t="s">
        <v>977</v>
      </c>
      <c r="D9142" s="59">
        <v>200.4</v>
      </c>
      <c r="E9142" s="59"/>
    </row>
    <row r="9143" spans="3:5" x14ac:dyDescent="0.15">
      <c r="C9143" s="255" t="s">
        <v>978</v>
      </c>
      <c r="D9143" s="59">
        <v>777.4</v>
      </c>
      <c r="E9143" s="59"/>
    </row>
    <row r="9144" spans="3:5" x14ac:dyDescent="0.15">
      <c r="C9144" s="255" t="s">
        <v>979</v>
      </c>
      <c r="D9144" s="59">
        <v>0</v>
      </c>
      <c r="E9144" s="59"/>
    </row>
    <row r="9145" spans="3:5" x14ac:dyDescent="0.15">
      <c r="C9145" s="255" t="s">
        <v>980</v>
      </c>
      <c r="D9145" s="59">
        <v>19.3</v>
      </c>
      <c r="E9145" s="59"/>
    </row>
    <row r="9146" spans="3:5" x14ac:dyDescent="0.15">
      <c r="C9146" s="255" t="s">
        <v>981</v>
      </c>
      <c r="D9146" s="59">
        <v>0</v>
      </c>
      <c r="E9146" s="59"/>
    </row>
    <row r="9147" spans="3:5" x14ac:dyDescent="0.15">
      <c r="C9147" s="255" t="s">
        <v>982</v>
      </c>
      <c r="D9147" s="59">
        <v>15.4</v>
      </c>
      <c r="E9147" s="59"/>
    </row>
    <row r="9148" spans="3:5" x14ac:dyDescent="0.15">
      <c r="C9148" s="255" t="s">
        <v>983</v>
      </c>
      <c r="D9148" s="59">
        <v>132.6</v>
      </c>
      <c r="E9148" s="59"/>
    </row>
    <row r="9149" spans="3:5" x14ac:dyDescent="0.15">
      <c r="C9149" s="255" t="s">
        <v>984</v>
      </c>
      <c r="D9149" s="59">
        <v>0</v>
      </c>
      <c r="E9149" s="59"/>
    </row>
    <row r="9150" spans="3:5" x14ac:dyDescent="0.15">
      <c r="C9150" s="255" t="s">
        <v>985</v>
      </c>
      <c r="D9150" s="59">
        <v>27.5</v>
      </c>
      <c r="E9150" s="59"/>
    </row>
    <row r="9151" spans="3:5" x14ac:dyDescent="0.15">
      <c r="C9151" s="255" t="s">
        <v>986</v>
      </c>
      <c r="D9151" s="59">
        <v>2531.6999999999998</v>
      </c>
      <c r="E9151" s="59"/>
    </row>
    <row r="9152" spans="3:5" x14ac:dyDescent="0.15">
      <c r="C9152" s="255" t="s">
        <v>987</v>
      </c>
      <c r="D9152" s="59">
        <v>141.4</v>
      </c>
      <c r="E9152" s="59"/>
    </row>
    <row r="9153" spans="3:5" x14ac:dyDescent="0.15">
      <c r="C9153" s="255" t="s">
        <v>988</v>
      </c>
      <c r="D9153" s="59">
        <v>1159.8</v>
      </c>
      <c r="E9153" s="59"/>
    </row>
    <row r="9154" spans="3:5" x14ac:dyDescent="0.15">
      <c r="C9154" s="255" t="s">
        <v>989</v>
      </c>
      <c r="D9154" s="59">
        <v>553.9</v>
      </c>
      <c r="E9154" s="59"/>
    </row>
    <row r="9155" spans="3:5" x14ac:dyDescent="0.15">
      <c r="C9155" s="255" t="s">
        <v>990</v>
      </c>
      <c r="D9155" s="59">
        <v>195.7</v>
      </c>
      <c r="E9155" s="59"/>
    </row>
    <row r="9156" spans="3:5" x14ac:dyDescent="0.15">
      <c r="C9156" s="255" t="s">
        <v>991</v>
      </c>
      <c r="D9156" s="59">
        <v>2104.6999999999998</v>
      </c>
      <c r="E9156" s="59"/>
    </row>
    <row r="9157" spans="3:5" x14ac:dyDescent="0.15">
      <c r="C9157" s="255" t="s">
        <v>992</v>
      </c>
      <c r="D9157" s="59">
        <v>0</v>
      </c>
      <c r="E9157" s="59"/>
    </row>
    <row r="9158" spans="3:5" x14ac:dyDescent="0.15">
      <c r="C9158" s="255" t="s">
        <v>993</v>
      </c>
      <c r="D9158" s="59">
        <v>0</v>
      </c>
      <c r="E9158" s="59"/>
    </row>
    <row r="9159" spans="3:5" x14ac:dyDescent="0.15">
      <c r="C9159" s="255" t="s">
        <v>994</v>
      </c>
      <c r="D9159" s="59">
        <v>0</v>
      </c>
      <c r="E9159" s="59"/>
    </row>
    <row r="9160" spans="3:5" x14ac:dyDescent="0.15">
      <c r="C9160" s="255" t="s">
        <v>995</v>
      </c>
      <c r="D9160" s="59">
        <v>0</v>
      </c>
      <c r="E9160" s="59"/>
    </row>
    <row r="9161" spans="3:5" x14ac:dyDescent="0.15">
      <c r="C9161" s="255" t="s">
        <v>996</v>
      </c>
      <c r="D9161" s="59">
        <v>2.2000000000000002</v>
      </c>
      <c r="E9161" s="59"/>
    </row>
    <row r="9162" spans="3:5" x14ac:dyDescent="0.15">
      <c r="C9162" s="255" t="s">
        <v>997</v>
      </c>
      <c r="D9162" s="59">
        <v>856.8</v>
      </c>
      <c r="E9162" s="59"/>
    </row>
    <row r="9163" spans="3:5" x14ac:dyDescent="0.15">
      <c r="C9163" s="255" t="s">
        <v>998</v>
      </c>
      <c r="D9163" s="59">
        <v>2.2000000000000002</v>
      </c>
      <c r="E9163" s="59"/>
    </row>
    <row r="9164" spans="3:5" x14ac:dyDescent="0.15">
      <c r="C9164" s="255" t="s">
        <v>999</v>
      </c>
      <c r="D9164" s="59">
        <v>0</v>
      </c>
      <c r="E9164" s="59"/>
    </row>
    <row r="9165" spans="3:5" x14ac:dyDescent="0.15">
      <c r="C9165" s="255" t="s">
        <v>1000</v>
      </c>
      <c r="D9165" s="59">
        <v>4.4000000000000004</v>
      </c>
      <c r="E9165" s="59"/>
    </row>
    <row r="9166" spans="3:5" x14ac:dyDescent="0.15">
      <c r="C9166" s="255" t="s">
        <v>1001</v>
      </c>
      <c r="D9166" s="59">
        <v>37.4</v>
      </c>
      <c r="E9166" s="59"/>
    </row>
    <row r="9167" spans="3:5" x14ac:dyDescent="0.15">
      <c r="C9167" s="255" t="s">
        <v>1002</v>
      </c>
      <c r="D9167" s="59">
        <v>11.6</v>
      </c>
      <c r="E9167" s="59"/>
    </row>
    <row r="9168" spans="3:5" x14ac:dyDescent="0.15">
      <c r="C9168" s="255" t="s">
        <v>1003</v>
      </c>
      <c r="D9168" s="59">
        <v>3.5</v>
      </c>
      <c r="E9168" s="59"/>
    </row>
    <row r="9169" spans="3:5" x14ac:dyDescent="0.15">
      <c r="C9169" s="255" t="s">
        <v>1004</v>
      </c>
      <c r="D9169" s="59">
        <v>250</v>
      </c>
      <c r="E9169" s="59"/>
    </row>
    <row r="9170" spans="3:5" x14ac:dyDescent="0.15">
      <c r="C9170" s="255" t="s">
        <v>1005</v>
      </c>
      <c r="D9170" s="59">
        <v>0</v>
      </c>
      <c r="E9170" s="59"/>
    </row>
    <row r="9171" spans="3:5" x14ac:dyDescent="0.15">
      <c r="C9171" s="255" t="s">
        <v>1006</v>
      </c>
      <c r="D9171" s="59">
        <v>1676.6</v>
      </c>
      <c r="E9171" s="59"/>
    </row>
    <row r="9172" spans="3:5" x14ac:dyDescent="0.15">
      <c r="C9172" s="255" t="s">
        <v>1007</v>
      </c>
      <c r="D9172" s="59">
        <v>11440</v>
      </c>
      <c r="E9172" s="59"/>
    </row>
    <row r="9173" spans="3:5" x14ac:dyDescent="0.15">
      <c r="C9173" s="255" t="s">
        <v>1008</v>
      </c>
      <c r="D9173" s="59">
        <v>0</v>
      </c>
      <c r="E9173" s="59"/>
    </row>
    <row r="9174" spans="3:5" x14ac:dyDescent="0.15">
      <c r="C9174" s="255" t="s">
        <v>1009</v>
      </c>
      <c r="D9174" s="59">
        <v>14.3</v>
      </c>
      <c r="E9174" s="59"/>
    </row>
    <row r="9175" spans="3:5" x14ac:dyDescent="0.15">
      <c r="C9175" s="255" t="s">
        <v>1010</v>
      </c>
      <c r="D9175" s="59">
        <v>253.9</v>
      </c>
      <c r="E9175" s="59"/>
    </row>
    <row r="9176" spans="3:5" x14ac:dyDescent="0.15">
      <c r="C9176" s="255" t="s">
        <v>1011</v>
      </c>
      <c r="D9176" s="59">
        <v>11171.8</v>
      </c>
      <c r="E9176" s="59"/>
    </row>
    <row r="9177" spans="3:5" x14ac:dyDescent="0.15">
      <c r="C9177" s="255" t="s">
        <v>1012</v>
      </c>
      <c r="D9177" s="59">
        <v>11569.9</v>
      </c>
      <c r="E9177" s="59"/>
    </row>
    <row r="9178" spans="3:5" x14ac:dyDescent="0.15">
      <c r="C9178" s="255" t="s">
        <v>1013</v>
      </c>
      <c r="D9178" s="59">
        <v>5336.4</v>
      </c>
      <c r="E9178" s="59"/>
    </row>
    <row r="9179" spans="3:5" x14ac:dyDescent="0.15">
      <c r="C9179" s="255" t="s">
        <v>1014</v>
      </c>
      <c r="D9179" s="59">
        <v>4562.7</v>
      </c>
      <c r="E9179" s="59"/>
    </row>
    <row r="9180" spans="3:5" x14ac:dyDescent="0.15">
      <c r="C9180" s="255" t="s">
        <v>1015</v>
      </c>
      <c r="D9180" s="59">
        <v>750.1</v>
      </c>
      <c r="E9180" s="59"/>
    </row>
    <row r="9181" spans="3:5" x14ac:dyDescent="0.15">
      <c r="C9181" s="255" t="s">
        <v>1016</v>
      </c>
      <c r="D9181" s="59">
        <v>855.2</v>
      </c>
      <c r="E9181" s="59"/>
    </row>
    <row r="9182" spans="3:5" x14ac:dyDescent="0.15">
      <c r="C9182" s="255" t="s">
        <v>1017</v>
      </c>
      <c r="D9182" s="59">
        <v>65.599999999999994</v>
      </c>
      <c r="E9182" s="59"/>
    </row>
    <row r="9183" spans="3:5" x14ac:dyDescent="0.15">
      <c r="C9183" s="255" t="s">
        <v>1018</v>
      </c>
      <c r="D9183" s="59">
        <v>0</v>
      </c>
      <c r="E9183" s="59"/>
    </row>
    <row r="9184" spans="3:5" x14ac:dyDescent="0.15">
      <c r="C9184" s="255" t="s">
        <v>1019</v>
      </c>
      <c r="D9184" s="59">
        <v>4969.6000000000004</v>
      </c>
      <c r="E9184" s="59"/>
    </row>
    <row r="9185" spans="3:5" x14ac:dyDescent="0.15">
      <c r="C9185" s="255" t="s">
        <v>1020</v>
      </c>
      <c r="D9185" s="59">
        <v>568.79999999999995</v>
      </c>
      <c r="E9185" s="59"/>
    </row>
    <row r="9186" spans="3:5" x14ac:dyDescent="0.15">
      <c r="C9186" s="255" t="s">
        <v>1021</v>
      </c>
      <c r="D9186" s="59">
        <v>392.9</v>
      </c>
      <c r="E9186" s="59"/>
    </row>
    <row r="9187" spans="3:5" x14ac:dyDescent="0.15">
      <c r="C9187" s="255" t="s">
        <v>1022</v>
      </c>
      <c r="D9187" s="59">
        <v>0</v>
      </c>
      <c r="E9187" s="59"/>
    </row>
    <row r="9188" spans="3:5" x14ac:dyDescent="0.15">
      <c r="C9188" s="255" t="s">
        <v>1023</v>
      </c>
      <c r="D9188" s="59">
        <v>0</v>
      </c>
      <c r="E9188" s="59"/>
    </row>
    <row r="9189" spans="3:5" x14ac:dyDescent="0.15">
      <c r="C9189" s="255" t="s">
        <v>1024</v>
      </c>
      <c r="D9189" s="59">
        <v>0</v>
      </c>
      <c r="E9189" s="59"/>
    </row>
    <row r="9190" spans="3:5" x14ac:dyDescent="0.15">
      <c r="C9190" s="255" t="s">
        <v>1025</v>
      </c>
      <c r="D9190" s="59">
        <v>33.4</v>
      </c>
      <c r="E9190" s="59"/>
    </row>
    <row r="9191" spans="3:5" x14ac:dyDescent="0.15">
      <c r="C9191" s="255" t="s">
        <v>1026</v>
      </c>
      <c r="D9191" s="59">
        <v>597.20000000000005</v>
      </c>
      <c r="E9191" s="59"/>
    </row>
    <row r="9192" spans="3:5" x14ac:dyDescent="0.15">
      <c r="C9192" s="255" t="s">
        <v>1027</v>
      </c>
      <c r="D9192" s="59">
        <v>0</v>
      </c>
      <c r="E9192" s="59"/>
    </row>
    <row r="9193" spans="3:5" x14ac:dyDescent="0.15">
      <c r="C9193" s="255" t="s">
        <v>1028</v>
      </c>
      <c r="D9193" s="59">
        <v>534.20000000000005</v>
      </c>
      <c r="E9193" s="59"/>
    </row>
    <row r="9194" spans="3:5" x14ac:dyDescent="0.15">
      <c r="C9194" s="255" t="s">
        <v>1029</v>
      </c>
      <c r="D9194" s="59">
        <v>26.5</v>
      </c>
      <c r="E9194" s="59"/>
    </row>
    <row r="9195" spans="3:5" x14ac:dyDescent="0.15">
      <c r="C9195" s="255" t="s">
        <v>1030</v>
      </c>
      <c r="D9195" s="59">
        <v>0</v>
      </c>
      <c r="E9195" s="59"/>
    </row>
    <row r="9196" spans="3:5" x14ac:dyDescent="0.15">
      <c r="C9196" s="255" t="s">
        <v>1031</v>
      </c>
      <c r="D9196" s="59">
        <v>29.7</v>
      </c>
      <c r="E9196" s="59"/>
    </row>
    <row r="9197" spans="3:5" x14ac:dyDescent="0.15">
      <c r="C9197" s="255" t="s">
        <v>1032</v>
      </c>
      <c r="D9197" s="59">
        <v>0</v>
      </c>
      <c r="E9197" s="59"/>
    </row>
    <row r="9198" spans="3:5" x14ac:dyDescent="0.15">
      <c r="C9198" s="255" t="s">
        <v>1033</v>
      </c>
      <c r="D9198" s="59">
        <v>30.6</v>
      </c>
      <c r="E9198" s="59"/>
    </row>
    <row r="9199" spans="3:5" x14ac:dyDescent="0.15">
      <c r="C9199" s="255" t="s">
        <v>1034</v>
      </c>
      <c r="D9199" s="59">
        <v>6.2</v>
      </c>
      <c r="E9199" s="59"/>
    </row>
    <row r="9200" spans="3:5" x14ac:dyDescent="0.15">
      <c r="C9200" s="255" t="s">
        <v>1035</v>
      </c>
      <c r="D9200" s="59">
        <v>0</v>
      </c>
      <c r="E9200" s="59"/>
    </row>
    <row r="9201" spans="2:5" x14ac:dyDescent="0.15">
      <c r="C9201" s="255" t="s">
        <v>1036</v>
      </c>
      <c r="D9201" s="59">
        <v>0</v>
      </c>
      <c r="E9201" s="59"/>
    </row>
    <row r="9202" spans="2:5" x14ac:dyDescent="0.15">
      <c r="C9202" s="255" t="s">
        <v>1037</v>
      </c>
      <c r="D9202" s="59">
        <v>79.900000000000006</v>
      </c>
      <c r="E9202" s="59"/>
    </row>
    <row r="9203" spans="2:5" x14ac:dyDescent="0.15">
      <c r="C9203" s="255" t="s">
        <v>1038</v>
      </c>
      <c r="D9203" s="59">
        <v>733.8</v>
      </c>
      <c r="E9203" s="59"/>
    </row>
    <row r="9204" spans="2:5" x14ac:dyDescent="0.15">
      <c r="C9204" s="255" t="s">
        <v>1039</v>
      </c>
      <c r="D9204" s="59">
        <v>49.6</v>
      </c>
      <c r="E9204" s="59"/>
    </row>
    <row r="9205" spans="2:5" x14ac:dyDescent="0.15">
      <c r="C9205" s="255" t="s">
        <v>1040</v>
      </c>
      <c r="D9205" s="59">
        <v>620.79999999999995</v>
      </c>
      <c r="E9205" s="59"/>
    </row>
    <row r="9206" spans="2:5" x14ac:dyDescent="0.15">
      <c r="C9206" s="255" t="s">
        <v>1041</v>
      </c>
      <c r="D9206" s="59">
        <v>198.1</v>
      </c>
      <c r="E9206" s="59"/>
    </row>
    <row r="9207" spans="2:5" x14ac:dyDescent="0.15">
      <c r="C9207" s="255" t="s">
        <v>1042</v>
      </c>
      <c r="D9207" s="59">
        <v>1016.5</v>
      </c>
      <c r="E9207" s="59"/>
    </row>
    <row r="9208" spans="2:5" x14ac:dyDescent="0.15">
      <c r="C9208" s="255" t="s">
        <v>1043</v>
      </c>
      <c r="D9208" s="59">
        <v>51.4</v>
      </c>
      <c r="E9208" s="59"/>
    </row>
    <row r="9209" spans="2:5" x14ac:dyDescent="0.15">
      <c r="C9209" s="255" t="s">
        <v>1044</v>
      </c>
      <c r="D9209" s="59">
        <v>0</v>
      </c>
      <c r="E9209" s="59"/>
    </row>
    <row r="9210" spans="2:5" x14ac:dyDescent="0.15">
      <c r="C9210" s="255" t="s">
        <v>1045</v>
      </c>
      <c r="D9210" s="59">
        <v>0</v>
      </c>
      <c r="E9210" s="59"/>
    </row>
    <row r="9211" spans="2:5" x14ac:dyDescent="0.15">
      <c r="C9211" s="255" t="s">
        <v>1046</v>
      </c>
      <c r="D9211" s="59">
        <v>0</v>
      </c>
      <c r="E9211" s="59"/>
    </row>
    <row r="9212" spans="2:5" x14ac:dyDescent="0.15">
      <c r="C9212" s="255" t="s">
        <v>1047</v>
      </c>
      <c r="D9212" s="59">
        <v>0</v>
      </c>
      <c r="E9212" s="59"/>
    </row>
    <row r="9213" spans="2:5" x14ac:dyDescent="0.15">
      <c r="C9213" s="255" t="s">
        <v>1048</v>
      </c>
      <c r="D9213" s="59">
        <v>0</v>
      </c>
      <c r="E9213" s="59"/>
    </row>
    <row r="9214" spans="2:5" x14ac:dyDescent="0.15">
      <c r="B9214" s="255" t="s">
        <v>1068</v>
      </c>
      <c r="C9214" s="255" t="s">
        <v>743</v>
      </c>
      <c r="D9214" s="59">
        <v>2194</v>
      </c>
      <c r="E9214" s="59"/>
    </row>
    <row r="9215" spans="2:5" x14ac:dyDescent="0.15">
      <c r="C9215" s="255" t="s">
        <v>744</v>
      </c>
      <c r="D9215" s="59">
        <v>2686</v>
      </c>
      <c r="E9215" s="59"/>
    </row>
    <row r="9216" spans="2:5" x14ac:dyDescent="0.15">
      <c r="C9216" s="255" t="s">
        <v>745</v>
      </c>
      <c r="D9216" s="59">
        <v>5683.5</v>
      </c>
      <c r="E9216" s="59"/>
    </row>
    <row r="9217" spans="3:5" x14ac:dyDescent="0.15">
      <c r="C9217" s="255" t="s">
        <v>746</v>
      </c>
      <c r="D9217" s="59">
        <v>2.1</v>
      </c>
      <c r="E9217" s="59"/>
    </row>
    <row r="9218" spans="3:5" x14ac:dyDescent="0.15">
      <c r="C9218" s="255" t="s">
        <v>747</v>
      </c>
      <c r="D9218" s="59">
        <v>1.7</v>
      </c>
      <c r="E9218" s="59"/>
    </row>
    <row r="9219" spans="3:5" x14ac:dyDescent="0.15">
      <c r="C9219" s="255" t="s">
        <v>748</v>
      </c>
      <c r="D9219" s="59">
        <v>0.4</v>
      </c>
      <c r="E9219" s="59"/>
    </row>
    <row r="9220" spans="3:5" x14ac:dyDescent="0.15">
      <c r="C9220" s="255" t="s">
        <v>749</v>
      </c>
      <c r="D9220" s="59">
        <v>0.5</v>
      </c>
      <c r="E9220" s="59"/>
    </row>
    <row r="9221" spans="3:5" x14ac:dyDescent="0.15">
      <c r="C9221" s="255" t="s">
        <v>750</v>
      </c>
      <c r="D9221" s="59">
        <v>0.4</v>
      </c>
      <c r="E9221" s="59"/>
    </row>
    <row r="9222" spans="3:5" x14ac:dyDescent="0.15">
      <c r="C9222" s="255" t="s">
        <v>751</v>
      </c>
      <c r="D9222" s="59">
        <v>52.3</v>
      </c>
      <c r="E9222" s="59"/>
    </row>
    <row r="9223" spans="3:5" x14ac:dyDescent="0.15">
      <c r="C9223" s="255" t="s">
        <v>752</v>
      </c>
      <c r="D9223" s="59">
        <v>1.5</v>
      </c>
      <c r="E9223" s="59"/>
    </row>
    <row r="9224" spans="3:5" x14ac:dyDescent="0.15">
      <c r="C9224" s="255" t="s">
        <v>753</v>
      </c>
      <c r="D9224" s="59">
        <v>112.7</v>
      </c>
      <c r="E9224" s="59"/>
    </row>
    <row r="9225" spans="3:5" x14ac:dyDescent="0.15">
      <c r="C9225" s="255" t="s">
        <v>754</v>
      </c>
      <c r="D9225" s="59">
        <v>1953.7</v>
      </c>
      <c r="E9225" s="59"/>
    </row>
    <row r="9226" spans="3:5" x14ac:dyDescent="0.15">
      <c r="C9226" s="255" t="s">
        <v>192</v>
      </c>
      <c r="D9226" s="59">
        <v>300480.3</v>
      </c>
      <c r="E9226" s="59"/>
    </row>
    <row r="9227" spans="3:5" x14ac:dyDescent="0.15">
      <c r="C9227" s="255" t="s">
        <v>755</v>
      </c>
      <c r="D9227" s="59">
        <v>36260.9</v>
      </c>
      <c r="E9227" s="59"/>
    </row>
    <row r="9228" spans="3:5" x14ac:dyDescent="0.15">
      <c r="C9228" s="255" t="s">
        <v>756</v>
      </c>
      <c r="D9228" s="59">
        <v>142.6</v>
      </c>
      <c r="E9228" s="59"/>
    </row>
    <row r="9229" spans="3:5" x14ac:dyDescent="0.15">
      <c r="C9229" s="255" t="s">
        <v>757</v>
      </c>
      <c r="D9229" s="59">
        <v>119.1</v>
      </c>
      <c r="E9229" s="59"/>
    </row>
    <row r="9230" spans="3:5" x14ac:dyDescent="0.15">
      <c r="C9230" s="255" t="s">
        <v>758</v>
      </c>
      <c r="D9230" s="59">
        <v>2221.1999999999998</v>
      </c>
      <c r="E9230" s="59"/>
    </row>
    <row r="9231" spans="3:5" x14ac:dyDescent="0.15">
      <c r="C9231" s="255" t="s">
        <v>759</v>
      </c>
      <c r="D9231" s="59">
        <v>1387</v>
      </c>
      <c r="E9231" s="59"/>
    </row>
    <row r="9232" spans="3:5" x14ac:dyDescent="0.15">
      <c r="C9232" s="255" t="s">
        <v>760</v>
      </c>
      <c r="D9232" s="59">
        <v>165</v>
      </c>
      <c r="E9232" s="59"/>
    </row>
    <row r="9233" spans="3:5" x14ac:dyDescent="0.15">
      <c r="C9233" s="255" t="s">
        <v>761</v>
      </c>
      <c r="D9233" s="59">
        <v>364.4</v>
      </c>
      <c r="E9233" s="59"/>
    </row>
    <row r="9234" spans="3:5" x14ac:dyDescent="0.15">
      <c r="C9234" s="255" t="s">
        <v>762</v>
      </c>
      <c r="D9234" s="59">
        <v>386</v>
      </c>
      <c r="E9234" s="59"/>
    </row>
    <row r="9235" spans="3:5" x14ac:dyDescent="0.15">
      <c r="C9235" s="255" t="s">
        <v>763</v>
      </c>
      <c r="D9235" s="59">
        <v>173.3</v>
      </c>
      <c r="E9235" s="59"/>
    </row>
    <row r="9236" spans="3:5" x14ac:dyDescent="0.15">
      <c r="C9236" s="255" t="s">
        <v>764</v>
      </c>
      <c r="D9236" s="59">
        <v>2187.5</v>
      </c>
      <c r="E9236" s="59"/>
    </row>
    <row r="9237" spans="3:5" x14ac:dyDescent="0.15">
      <c r="C9237" s="255" t="s">
        <v>765</v>
      </c>
      <c r="D9237" s="59">
        <v>1110.7</v>
      </c>
      <c r="E9237" s="59"/>
    </row>
    <row r="9238" spans="3:5" x14ac:dyDescent="0.15">
      <c r="C9238" s="255" t="s">
        <v>766</v>
      </c>
      <c r="D9238" s="59">
        <v>166.9</v>
      </c>
      <c r="E9238" s="59"/>
    </row>
    <row r="9239" spans="3:5" x14ac:dyDescent="0.15">
      <c r="C9239" s="255" t="s">
        <v>767</v>
      </c>
      <c r="D9239" s="59">
        <v>1140.0999999999999</v>
      </c>
      <c r="E9239" s="59"/>
    </row>
    <row r="9240" spans="3:5" x14ac:dyDescent="0.15">
      <c r="C9240" s="255" t="s">
        <v>768</v>
      </c>
      <c r="D9240" s="59">
        <v>36.1</v>
      </c>
      <c r="E9240" s="59"/>
    </row>
    <row r="9241" spans="3:5" x14ac:dyDescent="0.15">
      <c r="C9241" s="255" t="s">
        <v>769</v>
      </c>
      <c r="D9241" s="59">
        <v>27.4</v>
      </c>
      <c r="E9241" s="59"/>
    </row>
    <row r="9242" spans="3:5" x14ac:dyDescent="0.15">
      <c r="C9242" s="255" t="s">
        <v>770</v>
      </c>
      <c r="D9242" s="59">
        <v>1525.8</v>
      </c>
      <c r="E9242" s="59"/>
    </row>
    <row r="9243" spans="3:5" x14ac:dyDescent="0.15">
      <c r="C9243" s="255" t="s">
        <v>771</v>
      </c>
      <c r="D9243" s="59">
        <v>1619.8</v>
      </c>
      <c r="E9243" s="59"/>
    </row>
    <row r="9244" spans="3:5" x14ac:dyDescent="0.15">
      <c r="C9244" s="255" t="s">
        <v>772</v>
      </c>
      <c r="D9244" s="59">
        <v>556.6</v>
      </c>
      <c r="E9244" s="59"/>
    </row>
    <row r="9245" spans="3:5" x14ac:dyDescent="0.15">
      <c r="C9245" s="255" t="s">
        <v>773</v>
      </c>
      <c r="D9245" s="59">
        <v>101.1</v>
      </c>
      <c r="E9245" s="59"/>
    </row>
    <row r="9246" spans="3:5" x14ac:dyDescent="0.15">
      <c r="C9246" s="255" t="s">
        <v>774</v>
      </c>
      <c r="D9246" s="59">
        <v>92.2</v>
      </c>
      <c r="E9246" s="59"/>
    </row>
    <row r="9247" spans="3:5" x14ac:dyDescent="0.15">
      <c r="C9247" s="255" t="s">
        <v>775</v>
      </c>
      <c r="D9247" s="59">
        <v>94.5</v>
      </c>
      <c r="E9247" s="59"/>
    </row>
    <row r="9248" spans="3:5" x14ac:dyDescent="0.15">
      <c r="C9248" s="255" t="s">
        <v>776</v>
      </c>
      <c r="D9248" s="59">
        <v>300.5</v>
      </c>
      <c r="E9248" s="59"/>
    </row>
    <row r="9249" spans="3:5" x14ac:dyDescent="0.15">
      <c r="C9249" s="255" t="s">
        <v>777</v>
      </c>
      <c r="D9249" s="59">
        <v>766.5</v>
      </c>
      <c r="E9249" s="59"/>
    </row>
    <row r="9250" spans="3:5" x14ac:dyDescent="0.15">
      <c r="C9250" s="255" t="s">
        <v>778</v>
      </c>
      <c r="D9250" s="59">
        <v>430.3</v>
      </c>
      <c r="E9250" s="59"/>
    </row>
    <row r="9251" spans="3:5" x14ac:dyDescent="0.15">
      <c r="C9251" s="255" t="s">
        <v>779</v>
      </c>
      <c r="D9251" s="59">
        <v>539.70000000000005</v>
      </c>
      <c r="E9251" s="59"/>
    </row>
    <row r="9252" spans="3:5" x14ac:dyDescent="0.15">
      <c r="C9252" s="255" t="s">
        <v>780</v>
      </c>
      <c r="D9252" s="59">
        <v>9</v>
      </c>
      <c r="E9252" s="59"/>
    </row>
    <row r="9253" spans="3:5" x14ac:dyDescent="0.15">
      <c r="C9253" s="255" t="s">
        <v>781</v>
      </c>
      <c r="D9253" s="59">
        <v>756.7</v>
      </c>
      <c r="E9253" s="59"/>
    </row>
    <row r="9254" spans="3:5" x14ac:dyDescent="0.15">
      <c r="C9254" s="255" t="s">
        <v>782</v>
      </c>
      <c r="D9254" s="59">
        <v>1883.8</v>
      </c>
      <c r="E9254" s="59"/>
    </row>
    <row r="9255" spans="3:5" x14ac:dyDescent="0.15">
      <c r="C9255" s="255" t="s">
        <v>783</v>
      </c>
      <c r="D9255" s="59">
        <v>722.6</v>
      </c>
      <c r="E9255" s="59"/>
    </row>
    <row r="9256" spans="3:5" x14ac:dyDescent="0.15">
      <c r="C9256" s="255" t="s">
        <v>784</v>
      </c>
      <c r="D9256" s="59">
        <v>619.1</v>
      </c>
      <c r="E9256" s="59"/>
    </row>
    <row r="9257" spans="3:5" x14ac:dyDescent="0.15">
      <c r="C9257" s="255" t="s">
        <v>785</v>
      </c>
      <c r="D9257" s="59">
        <v>554.6</v>
      </c>
      <c r="E9257" s="59"/>
    </row>
    <row r="9258" spans="3:5" x14ac:dyDescent="0.15">
      <c r="C9258" s="255" t="s">
        <v>786</v>
      </c>
      <c r="D9258" s="59">
        <v>149</v>
      </c>
      <c r="E9258" s="59"/>
    </row>
    <row r="9259" spans="3:5" x14ac:dyDescent="0.15">
      <c r="C9259" s="255" t="s">
        <v>787</v>
      </c>
      <c r="D9259" s="59">
        <v>112.1</v>
      </c>
      <c r="E9259" s="59"/>
    </row>
    <row r="9260" spans="3:5" x14ac:dyDescent="0.15">
      <c r="C9260" s="255" t="s">
        <v>788</v>
      </c>
      <c r="D9260" s="59">
        <v>91.8</v>
      </c>
      <c r="E9260" s="59"/>
    </row>
    <row r="9261" spans="3:5" x14ac:dyDescent="0.15">
      <c r="C9261" s="255" t="s">
        <v>789</v>
      </c>
      <c r="D9261" s="59">
        <v>9.8000000000000007</v>
      </c>
      <c r="E9261" s="59"/>
    </row>
    <row r="9262" spans="3:5" x14ac:dyDescent="0.15">
      <c r="C9262" s="255" t="s">
        <v>790</v>
      </c>
      <c r="D9262" s="59">
        <v>2245.9</v>
      </c>
      <c r="E9262" s="59"/>
    </row>
    <row r="9263" spans="3:5" x14ac:dyDescent="0.15">
      <c r="C9263" s="255" t="s">
        <v>791</v>
      </c>
      <c r="D9263" s="59">
        <v>64.2</v>
      </c>
      <c r="E9263" s="59"/>
    </row>
    <row r="9264" spans="3:5" x14ac:dyDescent="0.15">
      <c r="C9264" s="255" t="s">
        <v>792</v>
      </c>
      <c r="D9264" s="59">
        <v>772.3</v>
      </c>
      <c r="E9264" s="59"/>
    </row>
    <row r="9265" spans="3:5" x14ac:dyDescent="0.15">
      <c r="C9265" s="255" t="s">
        <v>793</v>
      </c>
      <c r="D9265" s="59">
        <v>180.1</v>
      </c>
      <c r="E9265" s="59"/>
    </row>
    <row r="9266" spans="3:5" x14ac:dyDescent="0.15">
      <c r="C9266" s="255" t="s">
        <v>794</v>
      </c>
      <c r="D9266" s="59">
        <v>2353.3000000000002</v>
      </c>
      <c r="E9266" s="59"/>
    </row>
    <row r="9267" spans="3:5" x14ac:dyDescent="0.15">
      <c r="C9267" s="255" t="s">
        <v>795</v>
      </c>
      <c r="D9267" s="59">
        <v>237.6</v>
      </c>
      <c r="E9267" s="59"/>
    </row>
    <row r="9268" spans="3:5" x14ac:dyDescent="0.15">
      <c r="C9268" s="255" t="s">
        <v>796</v>
      </c>
      <c r="D9268" s="59">
        <v>565</v>
      </c>
      <c r="E9268" s="59"/>
    </row>
    <row r="9269" spans="3:5" x14ac:dyDescent="0.15">
      <c r="C9269" s="255" t="s">
        <v>797</v>
      </c>
      <c r="D9269" s="59">
        <v>628.9</v>
      </c>
      <c r="E9269" s="59"/>
    </row>
    <row r="9270" spans="3:5" x14ac:dyDescent="0.15">
      <c r="C9270" s="255" t="s">
        <v>798</v>
      </c>
      <c r="D9270" s="59">
        <v>303.60000000000002</v>
      </c>
      <c r="E9270" s="59"/>
    </row>
    <row r="9271" spans="3:5" x14ac:dyDescent="0.15">
      <c r="C9271" s="255" t="s">
        <v>799</v>
      </c>
      <c r="D9271" s="59">
        <v>99.4</v>
      </c>
      <c r="E9271" s="59"/>
    </row>
    <row r="9272" spans="3:5" x14ac:dyDescent="0.15">
      <c r="C9272" s="255" t="s">
        <v>800</v>
      </c>
      <c r="D9272" s="59">
        <v>112.7</v>
      </c>
      <c r="E9272" s="59"/>
    </row>
    <row r="9273" spans="3:5" x14ac:dyDescent="0.15">
      <c r="C9273" s="255" t="s">
        <v>801</v>
      </c>
      <c r="D9273" s="59">
        <v>266.60000000000002</v>
      </c>
      <c r="E9273" s="59"/>
    </row>
    <row r="9274" spans="3:5" x14ac:dyDescent="0.15">
      <c r="C9274" s="255" t="s">
        <v>802</v>
      </c>
      <c r="D9274" s="59">
        <v>1058.3</v>
      </c>
      <c r="E9274" s="59"/>
    </row>
    <row r="9275" spans="3:5" x14ac:dyDescent="0.15">
      <c r="C9275" s="255" t="s">
        <v>803</v>
      </c>
      <c r="D9275" s="59">
        <v>1289.2</v>
      </c>
      <c r="E9275" s="59"/>
    </row>
    <row r="9276" spans="3:5" x14ac:dyDescent="0.15">
      <c r="C9276" s="255" t="s">
        <v>804</v>
      </c>
      <c r="D9276" s="59">
        <v>724.5</v>
      </c>
      <c r="E9276" s="59"/>
    </row>
    <row r="9277" spans="3:5" x14ac:dyDescent="0.15">
      <c r="C9277" s="255" t="s">
        <v>805</v>
      </c>
      <c r="D9277" s="59">
        <v>16.100000000000001</v>
      </c>
      <c r="E9277" s="59"/>
    </row>
    <row r="9278" spans="3:5" x14ac:dyDescent="0.15">
      <c r="C9278" s="255" t="s">
        <v>806</v>
      </c>
      <c r="D9278" s="59">
        <v>755</v>
      </c>
      <c r="E9278" s="59"/>
    </row>
    <row r="9279" spans="3:5" x14ac:dyDescent="0.15">
      <c r="C9279" s="255" t="s">
        <v>807</v>
      </c>
      <c r="D9279" s="59">
        <v>360.2</v>
      </c>
      <c r="E9279" s="59"/>
    </row>
    <row r="9280" spans="3:5" x14ac:dyDescent="0.15">
      <c r="C9280" s="255" t="s">
        <v>808</v>
      </c>
      <c r="D9280" s="59">
        <v>53.8</v>
      </c>
      <c r="E9280" s="59"/>
    </row>
    <row r="9281" spans="3:5" x14ac:dyDescent="0.15">
      <c r="C9281" s="255" t="s">
        <v>809</v>
      </c>
      <c r="D9281" s="59">
        <v>348.6</v>
      </c>
      <c r="E9281" s="59"/>
    </row>
    <row r="9282" spans="3:5" x14ac:dyDescent="0.15">
      <c r="C9282" s="255" t="s">
        <v>810</v>
      </c>
      <c r="D9282" s="59">
        <v>224.6</v>
      </c>
      <c r="E9282" s="59"/>
    </row>
    <row r="9283" spans="3:5" x14ac:dyDescent="0.15">
      <c r="C9283" s="255" t="s">
        <v>811</v>
      </c>
      <c r="D9283" s="59">
        <v>1015.7</v>
      </c>
      <c r="E9283" s="59"/>
    </row>
    <row r="9284" spans="3:5" x14ac:dyDescent="0.15">
      <c r="C9284" s="255" t="s">
        <v>812</v>
      </c>
      <c r="D9284" s="59">
        <v>161.69999999999999</v>
      </c>
      <c r="E9284" s="59"/>
    </row>
    <row r="9285" spans="3:5" x14ac:dyDescent="0.15">
      <c r="C9285" s="255" t="s">
        <v>813</v>
      </c>
      <c r="D9285" s="59">
        <v>37.700000000000003</v>
      </c>
      <c r="E9285" s="59"/>
    </row>
    <row r="9286" spans="3:5" x14ac:dyDescent="0.15">
      <c r="C9286" s="255" t="s">
        <v>814</v>
      </c>
      <c r="D9286" s="59">
        <v>183.9</v>
      </c>
      <c r="E9286" s="59"/>
    </row>
    <row r="9287" spans="3:5" x14ac:dyDescent="0.15">
      <c r="C9287" s="255" t="s">
        <v>815</v>
      </c>
      <c r="D9287" s="59">
        <v>1036.3</v>
      </c>
      <c r="E9287" s="59"/>
    </row>
    <row r="9288" spans="3:5" x14ac:dyDescent="0.15">
      <c r="C9288" s="255" t="s">
        <v>816</v>
      </c>
      <c r="D9288" s="59">
        <v>603.1</v>
      </c>
      <c r="E9288" s="59"/>
    </row>
    <row r="9289" spans="3:5" x14ac:dyDescent="0.15">
      <c r="C9289" s="255" t="s">
        <v>817</v>
      </c>
      <c r="D9289" s="59">
        <v>6700.4</v>
      </c>
      <c r="E9289" s="59"/>
    </row>
    <row r="9290" spans="3:5" x14ac:dyDescent="0.15">
      <c r="C9290" s="255" t="s">
        <v>818</v>
      </c>
      <c r="D9290" s="59">
        <v>629.6</v>
      </c>
      <c r="E9290" s="59"/>
    </row>
    <row r="9291" spans="3:5" x14ac:dyDescent="0.15">
      <c r="C9291" s="255" t="s">
        <v>819</v>
      </c>
      <c r="D9291" s="59">
        <v>11</v>
      </c>
      <c r="E9291" s="59"/>
    </row>
    <row r="9292" spans="3:5" x14ac:dyDescent="0.15">
      <c r="C9292" s="255" t="s">
        <v>820</v>
      </c>
      <c r="D9292" s="59">
        <v>2409.6999999999998</v>
      </c>
      <c r="E9292" s="59"/>
    </row>
    <row r="9293" spans="3:5" x14ac:dyDescent="0.15">
      <c r="C9293" s="255" t="s">
        <v>821</v>
      </c>
      <c r="D9293" s="59">
        <v>39.700000000000003</v>
      </c>
      <c r="E9293" s="59"/>
    </row>
    <row r="9294" spans="3:5" x14ac:dyDescent="0.15">
      <c r="C9294" s="255" t="s">
        <v>822</v>
      </c>
      <c r="D9294" s="59">
        <v>140.19999999999999</v>
      </c>
      <c r="E9294" s="59"/>
    </row>
    <row r="9295" spans="3:5" x14ac:dyDescent="0.15">
      <c r="C9295" s="255" t="s">
        <v>823</v>
      </c>
      <c r="D9295" s="59">
        <v>2.7</v>
      </c>
      <c r="E9295" s="59"/>
    </row>
    <row r="9296" spans="3:5" x14ac:dyDescent="0.15">
      <c r="C9296" s="255" t="s">
        <v>824</v>
      </c>
      <c r="D9296" s="59">
        <v>578.1</v>
      </c>
      <c r="E9296" s="59"/>
    </row>
    <row r="9297" spans="3:5" x14ac:dyDescent="0.15">
      <c r="C9297" s="255" t="s">
        <v>825</v>
      </c>
      <c r="D9297" s="59">
        <v>549.5</v>
      </c>
      <c r="E9297" s="59"/>
    </row>
    <row r="9298" spans="3:5" x14ac:dyDescent="0.15">
      <c r="C9298" s="255" t="s">
        <v>826</v>
      </c>
      <c r="D9298" s="59">
        <v>5.9</v>
      </c>
      <c r="E9298" s="59"/>
    </row>
    <row r="9299" spans="3:5" x14ac:dyDescent="0.15">
      <c r="C9299" s="255" t="s">
        <v>827</v>
      </c>
      <c r="D9299" s="59">
        <v>2.4</v>
      </c>
      <c r="E9299" s="59"/>
    </row>
    <row r="9300" spans="3:5" x14ac:dyDescent="0.15">
      <c r="C9300" s="255" t="s">
        <v>828</v>
      </c>
      <c r="D9300" s="59">
        <v>1882.4</v>
      </c>
      <c r="E9300" s="59"/>
    </row>
    <row r="9301" spans="3:5" x14ac:dyDescent="0.15">
      <c r="C9301" s="255" t="s">
        <v>829</v>
      </c>
      <c r="D9301" s="59">
        <v>10</v>
      </c>
      <c r="E9301" s="59"/>
    </row>
    <row r="9302" spans="3:5" x14ac:dyDescent="0.15">
      <c r="C9302" s="255" t="s">
        <v>830</v>
      </c>
      <c r="D9302" s="59">
        <v>439</v>
      </c>
      <c r="E9302" s="59"/>
    </row>
    <row r="9303" spans="3:5" x14ac:dyDescent="0.15">
      <c r="C9303" s="255" t="s">
        <v>831</v>
      </c>
      <c r="D9303" s="59">
        <v>0</v>
      </c>
      <c r="E9303" s="59"/>
    </row>
    <row r="9304" spans="3:5" x14ac:dyDescent="0.15">
      <c r="C9304" s="255" t="s">
        <v>832</v>
      </c>
      <c r="D9304" s="59">
        <v>11324.8</v>
      </c>
      <c r="E9304" s="59"/>
    </row>
    <row r="9305" spans="3:5" x14ac:dyDescent="0.15">
      <c r="C9305" s="255" t="s">
        <v>833</v>
      </c>
      <c r="D9305" s="59">
        <v>59.7</v>
      </c>
      <c r="E9305" s="59"/>
    </row>
    <row r="9306" spans="3:5" x14ac:dyDescent="0.15">
      <c r="C9306" s="255" t="s">
        <v>834</v>
      </c>
      <c r="D9306" s="59">
        <v>2715.8</v>
      </c>
      <c r="E9306" s="59"/>
    </row>
    <row r="9307" spans="3:5" x14ac:dyDescent="0.15">
      <c r="C9307" s="255" t="s">
        <v>835</v>
      </c>
      <c r="D9307" s="59">
        <v>4500.2</v>
      </c>
      <c r="E9307" s="59"/>
    </row>
    <row r="9308" spans="3:5" x14ac:dyDescent="0.15">
      <c r="C9308" s="255" t="s">
        <v>836</v>
      </c>
      <c r="D9308" s="59">
        <v>1184.4000000000001</v>
      </c>
      <c r="E9308" s="59"/>
    </row>
    <row r="9309" spans="3:5" x14ac:dyDescent="0.15">
      <c r="C9309" s="255" t="s">
        <v>837</v>
      </c>
      <c r="D9309" s="59">
        <v>330</v>
      </c>
      <c r="E9309" s="59"/>
    </row>
    <row r="9310" spans="3:5" x14ac:dyDescent="0.15">
      <c r="C9310" s="255" t="s">
        <v>838</v>
      </c>
      <c r="D9310" s="59">
        <v>184.2</v>
      </c>
      <c r="E9310" s="59"/>
    </row>
    <row r="9311" spans="3:5" x14ac:dyDescent="0.15">
      <c r="C9311" s="255" t="s">
        <v>839</v>
      </c>
      <c r="D9311" s="59">
        <v>125</v>
      </c>
      <c r="E9311" s="59"/>
    </row>
    <row r="9312" spans="3:5" x14ac:dyDescent="0.15">
      <c r="C9312" s="255" t="s">
        <v>840</v>
      </c>
      <c r="D9312" s="59">
        <v>16.3</v>
      </c>
      <c r="E9312" s="59"/>
    </row>
    <row r="9313" spans="3:5" x14ac:dyDescent="0.15">
      <c r="C9313" s="255" t="s">
        <v>841</v>
      </c>
      <c r="D9313" s="59">
        <v>738.8</v>
      </c>
      <c r="E9313" s="59"/>
    </row>
    <row r="9314" spans="3:5" x14ac:dyDescent="0.15">
      <c r="C9314" s="255" t="s">
        <v>842</v>
      </c>
      <c r="D9314" s="59">
        <v>1203.2</v>
      </c>
      <c r="E9314" s="59"/>
    </row>
    <row r="9315" spans="3:5" x14ac:dyDescent="0.15">
      <c r="C9315" s="255" t="s">
        <v>843</v>
      </c>
      <c r="D9315" s="59">
        <v>252.3</v>
      </c>
      <c r="E9315" s="59"/>
    </row>
    <row r="9316" spans="3:5" x14ac:dyDescent="0.15">
      <c r="C9316" s="255" t="s">
        <v>844</v>
      </c>
      <c r="D9316" s="59">
        <v>14.8</v>
      </c>
      <c r="E9316" s="59"/>
    </row>
    <row r="9317" spans="3:5" x14ac:dyDescent="0.15">
      <c r="C9317" s="255" t="s">
        <v>845</v>
      </c>
      <c r="D9317" s="59">
        <v>98046</v>
      </c>
      <c r="E9317" s="59"/>
    </row>
    <row r="9318" spans="3:5" x14ac:dyDescent="0.15">
      <c r="C9318" s="255" t="s">
        <v>846</v>
      </c>
      <c r="D9318" s="59">
        <v>27080.400000000001</v>
      </c>
      <c r="E9318" s="59"/>
    </row>
    <row r="9319" spans="3:5" x14ac:dyDescent="0.15">
      <c r="C9319" s="255" t="s">
        <v>847</v>
      </c>
      <c r="D9319" s="59">
        <v>69.8</v>
      </c>
      <c r="E9319" s="59"/>
    </row>
    <row r="9320" spans="3:5" x14ac:dyDescent="0.15">
      <c r="C9320" s="255" t="s">
        <v>848</v>
      </c>
      <c r="D9320" s="59">
        <v>33878.699999999997</v>
      </c>
      <c r="E9320" s="59"/>
    </row>
    <row r="9321" spans="3:5" x14ac:dyDescent="0.15">
      <c r="C9321" s="255" t="s">
        <v>849</v>
      </c>
      <c r="D9321" s="59">
        <v>2035.1</v>
      </c>
      <c r="E9321" s="59"/>
    </row>
    <row r="9322" spans="3:5" x14ac:dyDescent="0.15">
      <c r="C9322" s="255" t="s">
        <v>850</v>
      </c>
      <c r="D9322" s="59">
        <v>1669.2</v>
      </c>
      <c r="E9322" s="59"/>
    </row>
    <row r="9323" spans="3:5" x14ac:dyDescent="0.15">
      <c r="C9323" s="255" t="s">
        <v>851</v>
      </c>
      <c r="D9323" s="59">
        <v>0</v>
      </c>
      <c r="E9323" s="59"/>
    </row>
    <row r="9324" spans="3:5" x14ac:dyDescent="0.15">
      <c r="C9324" s="255" t="s">
        <v>852</v>
      </c>
      <c r="D9324" s="59">
        <v>0</v>
      </c>
      <c r="E9324" s="59"/>
    </row>
    <row r="9325" spans="3:5" x14ac:dyDescent="0.15">
      <c r="C9325" s="255" t="s">
        <v>853</v>
      </c>
      <c r="D9325" s="59">
        <v>203.1</v>
      </c>
      <c r="E9325" s="59"/>
    </row>
    <row r="9326" spans="3:5" x14ac:dyDescent="0.15">
      <c r="C9326" s="255" t="s">
        <v>854</v>
      </c>
      <c r="D9326" s="59">
        <v>0</v>
      </c>
      <c r="E9326" s="59"/>
    </row>
    <row r="9327" spans="3:5" x14ac:dyDescent="0.15">
      <c r="C9327" s="255" t="s">
        <v>855</v>
      </c>
      <c r="D9327" s="59">
        <v>283.3</v>
      </c>
      <c r="E9327" s="59"/>
    </row>
    <row r="9328" spans="3:5" x14ac:dyDescent="0.15">
      <c r="C9328" s="255" t="s">
        <v>856</v>
      </c>
      <c r="D9328" s="59">
        <v>2389.1999999999998</v>
      </c>
      <c r="E9328" s="59"/>
    </row>
    <row r="9329" spans="3:5" x14ac:dyDescent="0.15">
      <c r="C9329" s="255" t="s">
        <v>857</v>
      </c>
      <c r="D9329" s="59">
        <v>2237.6999999999998</v>
      </c>
      <c r="E9329" s="59"/>
    </row>
    <row r="9330" spans="3:5" x14ac:dyDescent="0.15">
      <c r="C9330" s="255" t="s">
        <v>858</v>
      </c>
      <c r="D9330" s="59">
        <v>2479.1</v>
      </c>
      <c r="E9330" s="59"/>
    </row>
    <row r="9331" spans="3:5" x14ac:dyDescent="0.15">
      <c r="C9331" s="255" t="s">
        <v>859</v>
      </c>
      <c r="D9331" s="59">
        <v>2315.1999999999998</v>
      </c>
      <c r="E9331" s="59"/>
    </row>
    <row r="9332" spans="3:5" x14ac:dyDescent="0.15">
      <c r="C9332" s="255" t="s">
        <v>860</v>
      </c>
      <c r="D9332" s="59">
        <v>211.8</v>
      </c>
      <c r="E9332" s="59"/>
    </row>
    <row r="9333" spans="3:5" x14ac:dyDescent="0.15">
      <c r="C9333" s="255" t="s">
        <v>861</v>
      </c>
      <c r="D9333" s="59">
        <v>1937.2</v>
      </c>
      <c r="E9333" s="59"/>
    </row>
    <row r="9334" spans="3:5" x14ac:dyDescent="0.15">
      <c r="C9334" s="255" t="s">
        <v>862</v>
      </c>
      <c r="D9334" s="59">
        <v>7501</v>
      </c>
      <c r="E9334" s="59"/>
    </row>
    <row r="9335" spans="3:5" x14ac:dyDescent="0.15">
      <c r="C9335" s="255" t="s">
        <v>863</v>
      </c>
      <c r="D9335" s="59">
        <v>1696.7</v>
      </c>
      <c r="E9335" s="59"/>
    </row>
    <row r="9336" spans="3:5" x14ac:dyDescent="0.15">
      <c r="C9336" s="255" t="s">
        <v>864</v>
      </c>
      <c r="D9336" s="59">
        <v>93.1</v>
      </c>
      <c r="E9336" s="59"/>
    </row>
    <row r="9337" spans="3:5" x14ac:dyDescent="0.15">
      <c r="C9337" s="255" t="s">
        <v>865</v>
      </c>
      <c r="D9337" s="59">
        <v>757</v>
      </c>
      <c r="E9337" s="59"/>
    </row>
    <row r="9338" spans="3:5" x14ac:dyDescent="0.15">
      <c r="C9338" s="255" t="s">
        <v>866</v>
      </c>
      <c r="D9338" s="59">
        <v>41.3</v>
      </c>
      <c r="E9338" s="59"/>
    </row>
    <row r="9339" spans="3:5" x14ac:dyDescent="0.15">
      <c r="C9339" s="255" t="s">
        <v>867</v>
      </c>
      <c r="D9339" s="59">
        <v>1210.3</v>
      </c>
      <c r="E9339" s="59"/>
    </row>
    <row r="9340" spans="3:5" x14ac:dyDescent="0.15">
      <c r="C9340" s="255" t="s">
        <v>868</v>
      </c>
      <c r="D9340" s="59">
        <v>9956.7999999999993</v>
      </c>
      <c r="E9340" s="59"/>
    </row>
    <row r="9341" spans="3:5" x14ac:dyDescent="0.15">
      <c r="C9341" s="255" t="s">
        <v>869</v>
      </c>
      <c r="D9341" s="59">
        <v>15884.1</v>
      </c>
      <c r="E9341" s="59"/>
    </row>
    <row r="9342" spans="3:5" x14ac:dyDescent="0.15">
      <c r="C9342" s="255" t="s">
        <v>870</v>
      </c>
      <c r="D9342" s="59">
        <v>3670.6</v>
      </c>
      <c r="E9342" s="59"/>
    </row>
    <row r="9343" spans="3:5" x14ac:dyDescent="0.15">
      <c r="C9343" s="255" t="s">
        <v>871</v>
      </c>
      <c r="D9343" s="59">
        <v>576.6</v>
      </c>
      <c r="E9343" s="59"/>
    </row>
    <row r="9344" spans="3:5" x14ac:dyDescent="0.15">
      <c r="C9344" s="255" t="s">
        <v>872</v>
      </c>
      <c r="D9344" s="59">
        <v>495.5</v>
      </c>
      <c r="E9344" s="59"/>
    </row>
    <row r="9345" spans="3:5" x14ac:dyDescent="0.15">
      <c r="C9345" s="255" t="s">
        <v>873</v>
      </c>
      <c r="D9345" s="59">
        <v>850.6</v>
      </c>
      <c r="E9345" s="59"/>
    </row>
    <row r="9346" spans="3:5" x14ac:dyDescent="0.15">
      <c r="C9346" s="255" t="s">
        <v>874</v>
      </c>
      <c r="D9346" s="59">
        <v>251</v>
      </c>
      <c r="E9346" s="59"/>
    </row>
    <row r="9347" spans="3:5" x14ac:dyDescent="0.15">
      <c r="C9347" s="255" t="s">
        <v>875</v>
      </c>
      <c r="D9347" s="59">
        <v>28</v>
      </c>
      <c r="E9347" s="59"/>
    </row>
    <row r="9348" spans="3:5" x14ac:dyDescent="0.15">
      <c r="C9348" s="255" t="s">
        <v>876</v>
      </c>
      <c r="D9348" s="59">
        <v>16.100000000000001</v>
      </c>
      <c r="E9348" s="59"/>
    </row>
    <row r="9349" spans="3:5" x14ac:dyDescent="0.15">
      <c r="C9349" s="255" t="s">
        <v>877</v>
      </c>
      <c r="D9349" s="59">
        <v>20.8</v>
      </c>
      <c r="E9349" s="59"/>
    </row>
    <row r="9350" spans="3:5" x14ac:dyDescent="0.15">
      <c r="C9350" s="255" t="s">
        <v>878</v>
      </c>
      <c r="D9350" s="59">
        <v>186.4</v>
      </c>
      <c r="E9350" s="59"/>
    </row>
    <row r="9351" spans="3:5" x14ac:dyDescent="0.15">
      <c r="C9351" s="255" t="s">
        <v>879</v>
      </c>
      <c r="D9351" s="59">
        <v>837.9</v>
      </c>
      <c r="E9351" s="59"/>
    </row>
    <row r="9352" spans="3:5" x14ac:dyDescent="0.15">
      <c r="C9352" s="255" t="s">
        <v>880</v>
      </c>
      <c r="D9352" s="59">
        <v>87.1</v>
      </c>
      <c r="E9352" s="59"/>
    </row>
    <row r="9353" spans="3:5" x14ac:dyDescent="0.15">
      <c r="C9353" s="255" t="s">
        <v>881</v>
      </c>
      <c r="D9353" s="59">
        <v>0.4</v>
      </c>
      <c r="E9353" s="59"/>
    </row>
    <row r="9354" spans="3:5" x14ac:dyDescent="0.15">
      <c r="C9354" s="255" t="s">
        <v>882</v>
      </c>
      <c r="D9354" s="59">
        <v>185.6</v>
      </c>
      <c r="E9354" s="59"/>
    </row>
    <row r="9355" spans="3:5" x14ac:dyDescent="0.15">
      <c r="C9355" s="255" t="s">
        <v>883</v>
      </c>
      <c r="D9355" s="59">
        <v>454</v>
      </c>
      <c r="E9355" s="59"/>
    </row>
    <row r="9356" spans="3:5" x14ac:dyDescent="0.15">
      <c r="C9356" s="255" t="s">
        <v>884</v>
      </c>
      <c r="D9356" s="59">
        <v>784.5</v>
      </c>
      <c r="E9356" s="59"/>
    </row>
    <row r="9357" spans="3:5" x14ac:dyDescent="0.15">
      <c r="C9357" s="255" t="s">
        <v>885</v>
      </c>
      <c r="D9357" s="59">
        <v>326.5</v>
      </c>
      <c r="E9357" s="59"/>
    </row>
    <row r="9358" spans="3:5" x14ac:dyDescent="0.15">
      <c r="C9358" s="255" t="s">
        <v>886</v>
      </c>
      <c r="D9358" s="59">
        <v>149.4</v>
      </c>
      <c r="E9358" s="59"/>
    </row>
    <row r="9359" spans="3:5" x14ac:dyDescent="0.15">
      <c r="C9359" s="255" t="s">
        <v>887</v>
      </c>
      <c r="D9359" s="59">
        <v>202</v>
      </c>
      <c r="E9359" s="59"/>
    </row>
    <row r="9360" spans="3:5" x14ac:dyDescent="0.15">
      <c r="C9360" s="255" t="s">
        <v>888</v>
      </c>
      <c r="D9360" s="59">
        <v>25.8</v>
      </c>
      <c r="E9360" s="59"/>
    </row>
    <row r="9361" spans="3:5" x14ac:dyDescent="0.15">
      <c r="C9361" s="255" t="s">
        <v>889</v>
      </c>
      <c r="D9361" s="59">
        <v>198.6</v>
      </c>
      <c r="E9361" s="59"/>
    </row>
    <row r="9362" spans="3:5" x14ac:dyDescent="0.15">
      <c r="C9362" s="255" t="s">
        <v>890</v>
      </c>
      <c r="D9362" s="59">
        <v>91.7</v>
      </c>
      <c r="E9362" s="59"/>
    </row>
    <row r="9363" spans="3:5" x14ac:dyDescent="0.15">
      <c r="C9363" s="255" t="s">
        <v>891</v>
      </c>
      <c r="D9363" s="59">
        <v>19.7</v>
      </c>
      <c r="E9363" s="59"/>
    </row>
    <row r="9364" spans="3:5" x14ac:dyDescent="0.15">
      <c r="C9364" s="255" t="s">
        <v>892</v>
      </c>
      <c r="D9364" s="59">
        <v>12.9</v>
      </c>
      <c r="E9364" s="59"/>
    </row>
    <row r="9365" spans="3:5" x14ac:dyDescent="0.15">
      <c r="C9365" s="255" t="s">
        <v>893</v>
      </c>
      <c r="D9365" s="59">
        <v>166.5</v>
      </c>
      <c r="E9365" s="59"/>
    </row>
    <row r="9366" spans="3:5" x14ac:dyDescent="0.15">
      <c r="C9366" s="255" t="s">
        <v>894</v>
      </c>
      <c r="D9366" s="59">
        <v>27.6</v>
      </c>
      <c r="E9366" s="59"/>
    </row>
    <row r="9367" spans="3:5" x14ac:dyDescent="0.15">
      <c r="C9367" s="255" t="s">
        <v>895</v>
      </c>
      <c r="D9367" s="59">
        <v>453.1</v>
      </c>
      <c r="E9367" s="59"/>
    </row>
    <row r="9368" spans="3:5" x14ac:dyDescent="0.15">
      <c r="C9368" s="255" t="s">
        <v>896</v>
      </c>
      <c r="D9368" s="59">
        <v>57.5</v>
      </c>
      <c r="E9368" s="59"/>
    </row>
    <row r="9369" spans="3:5" x14ac:dyDescent="0.15">
      <c r="C9369" s="255" t="s">
        <v>897</v>
      </c>
      <c r="D9369" s="59">
        <v>1008</v>
      </c>
      <c r="E9369" s="59"/>
    </row>
    <row r="9370" spans="3:5" x14ac:dyDescent="0.15">
      <c r="C9370" s="255" t="s">
        <v>898</v>
      </c>
      <c r="D9370" s="59">
        <v>402</v>
      </c>
      <c r="E9370" s="59"/>
    </row>
    <row r="9371" spans="3:5" x14ac:dyDescent="0.15">
      <c r="C9371" s="255" t="s">
        <v>899</v>
      </c>
      <c r="D9371" s="59">
        <v>91.3</v>
      </c>
      <c r="E9371" s="59"/>
    </row>
    <row r="9372" spans="3:5" x14ac:dyDescent="0.15">
      <c r="C9372" s="255" t="s">
        <v>900</v>
      </c>
      <c r="D9372" s="59">
        <v>348</v>
      </c>
      <c r="E9372" s="59"/>
    </row>
    <row r="9373" spans="3:5" x14ac:dyDescent="0.15">
      <c r="C9373" s="255" t="s">
        <v>901</v>
      </c>
      <c r="D9373" s="59">
        <v>812.6</v>
      </c>
      <c r="E9373" s="59"/>
    </row>
    <row r="9374" spans="3:5" x14ac:dyDescent="0.15">
      <c r="C9374" s="255" t="s">
        <v>902</v>
      </c>
      <c r="D9374" s="59">
        <v>22</v>
      </c>
      <c r="E9374" s="59"/>
    </row>
    <row r="9375" spans="3:5" x14ac:dyDescent="0.15">
      <c r="C9375" s="255" t="s">
        <v>903</v>
      </c>
      <c r="D9375" s="59">
        <v>852.3</v>
      </c>
      <c r="E9375" s="59"/>
    </row>
    <row r="9376" spans="3:5" x14ac:dyDescent="0.15">
      <c r="C9376" s="255" t="s">
        <v>904</v>
      </c>
      <c r="D9376" s="59">
        <v>1134.9000000000001</v>
      </c>
      <c r="E9376" s="59"/>
    </row>
    <row r="9377" spans="3:5" x14ac:dyDescent="0.15">
      <c r="C9377" s="255" t="s">
        <v>905</v>
      </c>
      <c r="D9377" s="59">
        <v>278.39999999999998</v>
      </c>
      <c r="E9377" s="59"/>
    </row>
    <row r="9378" spans="3:5" x14ac:dyDescent="0.15">
      <c r="C9378" s="255" t="s">
        <v>906</v>
      </c>
      <c r="D9378" s="59">
        <v>86.2</v>
      </c>
      <c r="E9378" s="59"/>
    </row>
    <row r="9379" spans="3:5" x14ac:dyDescent="0.15">
      <c r="C9379" s="255" t="s">
        <v>907</v>
      </c>
      <c r="D9379" s="59">
        <v>672</v>
      </c>
      <c r="E9379" s="59"/>
    </row>
    <row r="9380" spans="3:5" x14ac:dyDescent="0.15">
      <c r="C9380" s="255" t="s">
        <v>908</v>
      </c>
      <c r="D9380" s="59">
        <v>7715.7</v>
      </c>
      <c r="E9380" s="59"/>
    </row>
    <row r="9381" spans="3:5" x14ac:dyDescent="0.15">
      <c r="C9381" s="255" t="s">
        <v>909</v>
      </c>
      <c r="D9381" s="59">
        <v>2250</v>
      </c>
      <c r="E9381" s="59"/>
    </row>
    <row r="9382" spans="3:5" x14ac:dyDescent="0.15">
      <c r="C9382" s="255" t="s">
        <v>910</v>
      </c>
      <c r="D9382" s="59">
        <v>7.3</v>
      </c>
      <c r="E9382" s="59"/>
    </row>
    <row r="9383" spans="3:5" x14ac:dyDescent="0.15">
      <c r="C9383" s="255" t="s">
        <v>911</v>
      </c>
      <c r="D9383" s="59">
        <v>232.3</v>
      </c>
      <c r="E9383" s="59"/>
    </row>
    <row r="9384" spans="3:5" x14ac:dyDescent="0.15">
      <c r="C9384" s="255" t="s">
        <v>912</v>
      </c>
      <c r="D9384" s="59">
        <v>1054.2</v>
      </c>
      <c r="E9384" s="59"/>
    </row>
    <row r="9385" spans="3:5" x14ac:dyDescent="0.15">
      <c r="C9385" s="255" t="s">
        <v>913</v>
      </c>
      <c r="D9385" s="59">
        <v>0</v>
      </c>
      <c r="E9385" s="59"/>
    </row>
    <row r="9386" spans="3:5" x14ac:dyDescent="0.15">
      <c r="C9386" s="255" t="s">
        <v>914</v>
      </c>
      <c r="D9386" s="59">
        <v>2.2000000000000002</v>
      </c>
      <c r="E9386" s="59"/>
    </row>
    <row r="9387" spans="3:5" x14ac:dyDescent="0.15">
      <c r="C9387" s="255" t="s">
        <v>915</v>
      </c>
      <c r="D9387" s="59">
        <v>38.9</v>
      </c>
      <c r="E9387" s="59"/>
    </row>
    <row r="9388" spans="3:5" x14ac:dyDescent="0.15">
      <c r="C9388" s="255" t="s">
        <v>916</v>
      </c>
      <c r="D9388" s="59">
        <v>213.3</v>
      </c>
      <c r="E9388" s="59"/>
    </row>
    <row r="9389" spans="3:5" x14ac:dyDescent="0.15">
      <c r="C9389" s="255" t="s">
        <v>917</v>
      </c>
      <c r="D9389" s="59">
        <v>97.2</v>
      </c>
      <c r="E9389" s="59"/>
    </row>
    <row r="9390" spans="3:5" x14ac:dyDescent="0.15">
      <c r="C9390" s="255" t="s">
        <v>918</v>
      </c>
      <c r="D9390" s="59">
        <v>2629.1</v>
      </c>
      <c r="E9390" s="59"/>
    </row>
    <row r="9391" spans="3:5" x14ac:dyDescent="0.15">
      <c r="C9391" s="255" t="s">
        <v>919</v>
      </c>
      <c r="D9391" s="59">
        <v>1.9</v>
      </c>
      <c r="E9391" s="59"/>
    </row>
    <row r="9392" spans="3:5" x14ac:dyDescent="0.15">
      <c r="C9392" s="255" t="s">
        <v>920</v>
      </c>
      <c r="D9392" s="59">
        <v>1189.3</v>
      </c>
      <c r="E9392" s="59"/>
    </row>
    <row r="9393" spans="3:5" x14ac:dyDescent="0.15">
      <c r="C9393" s="255" t="s">
        <v>921</v>
      </c>
      <c r="D9393" s="59">
        <v>0</v>
      </c>
      <c r="E9393" s="59"/>
    </row>
    <row r="9394" spans="3:5" x14ac:dyDescent="0.15">
      <c r="C9394" s="255" t="s">
        <v>922</v>
      </c>
      <c r="D9394" s="59">
        <v>40731.699999999997</v>
      </c>
      <c r="E9394" s="59"/>
    </row>
    <row r="9395" spans="3:5" x14ac:dyDescent="0.15">
      <c r="C9395" s="255" t="s">
        <v>923</v>
      </c>
      <c r="D9395" s="59">
        <v>11013.6</v>
      </c>
      <c r="E9395" s="59"/>
    </row>
    <row r="9396" spans="3:5" x14ac:dyDescent="0.15">
      <c r="C9396" s="255" t="s">
        <v>924</v>
      </c>
      <c r="D9396" s="59">
        <v>3506.1</v>
      </c>
      <c r="E9396" s="59"/>
    </row>
    <row r="9397" spans="3:5" x14ac:dyDescent="0.15">
      <c r="C9397" s="255" t="s">
        <v>925</v>
      </c>
      <c r="D9397" s="59">
        <v>354.3</v>
      </c>
      <c r="E9397" s="59"/>
    </row>
    <row r="9398" spans="3:5" x14ac:dyDescent="0.15">
      <c r="C9398" s="255" t="s">
        <v>926</v>
      </c>
      <c r="D9398" s="59">
        <v>941.4</v>
      </c>
      <c r="E9398" s="59"/>
    </row>
    <row r="9399" spans="3:5" x14ac:dyDescent="0.15">
      <c r="C9399" s="255" t="s">
        <v>927</v>
      </c>
      <c r="D9399" s="59">
        <v>559</v>
      </c>
      <c r="E9399" s="59"/>
    </row>
    <row r="9400" spans="3:5" x14ac:dyDescent="0.15">
      <c r="C9400" s="255" t="s">
        <v>928</v>
      </c>
      <c r="D9400" s="59">
        <v>827.8</v>
      </c>
      <c r="E9400" s="59"/>
    </row>
    <row r="9401" spans="3:5" x14ac:dyDescent="0.15">
      <c r="C9401" s="255" t="s">
        <v>929</v>
      </c>
      <c r="D9401" s="59">
        <v>220.8</v>
      </c>
      <c r="E9401" s="59"/>
    </row>
    <row r="9402" spans="3:5" x14ac:dyDescent="0.15">
      <c r="C9402" s="255" t="s">
        <v>930</v>
      </c>
      <c r="D9402" s="59">
        <v>1793.2</v>
      </c>
      <c r="E9402" s="59"/>
    </row>
    <row r="9403" spans="3:5" x14ac:dyDescent="0.15">
      <c r="C9403" s="255" t="s">
        <v>931</v>
      </c>
      <c r="D9403" s="59">
        <v>5455.7</v>
      </c>
      <c r="E9403" s="59"/>
    </row>
    <row r="9404" spans="3:5" x14ac:dyDescent="0.15">
      <c r="C9404" s="255" t="s">
        <v>932</v>
      </c>
      <c r="D9404" s="59">
        <v>0</v>
      </c>
      <c r="E9404" s="59"/>
    </row>
    <row r="9405" spans="3:5" x14ac:dyDescent="0.15">
      <c r="C9405" s="255" t="s">
        <v>933</v>
      </c>
      <c r="D9405" s="59">
        <v>41.3</v>
      </c>
      <c r="E9405" s="59"/>
    </row>
    <row r="9406" spans="3:5" x14ac:dyDescent="0.15">
      <c r="C9406" s="255" t="s">
        <v>934</v>
      </c>
      <c r="D9406" s="59">
        <v>4822.6000000000004</v>
      </c>
      <c r="E9406" s="59"/>
    </row>
    <row r="9407" spans="3:5" x14ac:dyDescent="0.15">
      <c r="C9407" s="255" t="s">
        <v>935</v>
      </c>
      <c r="D9407" s="59">
        <v>2433.9</v>
      </c>
      <c r="E9407" s="59"/>
    </row>
    <row r="9408" spans="3:5" x14ac:dyDescent="0.15">
      <c r="C9408" s="255" t="s">
        <v>936</v>
      </c>
      <c r="D9408" s="59">
        <v>3599.4</v>
      </c>
      <c r="E9408" s="59"/>
    </row>
    <row r="9409" spans="3:5" x14ac:dyDescent="0.15">
      <c r="C9409" s="255" t="s">
        <v>937</v>
      </c>
      <c r="D9409" s="59">
        <v>679.9</v>
      </c>
      <c r="E9409" s="59"/>
    </row>
    <row r="9410" spans="3:5" x14ac:dyDescent="0.15">
      <c r="C9410" s="255" t="s">
        <v>938</v>
      </c>
      <c r="D9410" s="59">
        <v>350.4</v>
      </c>
      <c r="E9410" s="59"/>
    </row>
    <row r="9411" spans="3:5" x14ac:dyDescent="0.15">
      <c r="C9411" s="255" t="s">
        <v>939</v>
      </c>
      <c r="D9411" s="59">
        <v>4.5</v>
      </c>
      <c r="E9411" s="59"/>
    </row>
    <row r="9412" spans="3:5" x14ac:dyDescent="0.15">
      <c r="C9412" s="255" t="s">
        <v>940</v>
      </c>
      <c r="D9412" s="59">
        <v>110.4</v>
      </c>
      <c r="E9412" s="59"/>
    </row>
    <row r="9413" spans="3:5" x14ac:dyDescent="0.15">
      <c r="C9413" s="255" t="s">
        <v>941</v>
      </c>
      <c r="D9413" s="59">
        <v>329.3</v>
      </c>
      <c r="E9413" s="59"/>
    </row>
    <row r="9414" spans="3:5" x14ac:dyDescent="0.15">
      <c r="C9414" s="255" t="s">
        <v>942</v>
      </c>
      <c r="D9414" s="59">
        <v>17.3</v>
      </c>
      <c r="E9414" s="59"/>
    </row>
    <row r="9415" spans="3:5" x14ac:dyDescent="0.15">
      <c r="C9415" s="255" t="s">
        <v>943</v>
      </c>
      <c r="D9415" s="59">
        <v>1456.4</v>
      </c>
      <c r="E9415" s="59"/>
    </row>
    <row r="9416" spans="3:5" x14ac:dyDescent="0.15">
      <c r="C9416" s="255" t="s">
        <v>944</v>
      </c>
      <c r="D9416" s="59">
        <v>442.1</v>
      </c>
      <c r="E9416" s="59"/>
    </row>
    <row r="9417" spans="3:5" x14ac:dyDescent="0.15">
      <c r="C9417" s="255" t="s">
        <v>945</v>
      </c>
      <c r="D9417" s="59">
        <v>1678.6</v>
      </c>
      <c r="E9417" s="59"/>
    </row>
    <row r="9418" spans="3:5" x14ac:dyDescent="0.15">
      <c r="C9418" s="255" t="s">
        <v>946</v>
      </c>
      <c r="D9418" s="59">
        <v>70.3</v>
      </c>
      <c r="E9418" s="59"/>
    </row>
    <row r="9419" spans="3:5" x14ac:dyDescent="0.15">
      <c r="C9419" s="255" t="s">
        <v>947</v>
      </c>
      <c r="D9419" s="59">
        <v>23.4</v>
      </c>
      <c r="E9419" s="59"/>
    </row>
    <row r="9420" spans="3:5" x14ac:dyDescent="0.15">
      <c r="C9420" s="255" t="s">
        <v>948</v>
      </c>
      <c r="D9420" s="59">
        <v>8497.1</v>
      </c>
      <c r="E9420" s="59"/>
    </row>
    <row r="9421" spans="3:5" x14ac:dyDescent="0.15">
      <c r="C9421" s="255" t="s">
        <v>949</v>
      </c>
      <c r="D9421" s="59">
        <v>175.5</v>
      </c>
      <c r="E9421" s="59"/>
    </row>
    <row r="9422" spans="3:5" x14ac:dyDescent="0.15">
      <c r="C9422" s="255" t="s">
        <v>950</v>
      </c>
      <c r="D9422" s="59">
        <v>1</v>
      </c>
      <c r="E9422" s="59"/>
    </row>
    <row r="9423" spans="3:5" x14ac:dyDescent="0.15">
      <c r="C9423" s="255" t="s">
        <v>951</v>
      </c>
      <c r="D9423" s="59">
        <v>1360.2</v>
      </c>
      <c r="E9423" s="59"/>
    </row>
    <row r="9424" spans="3:5" x14ac:dyDescent="0.15">
      <c r="C9424" s="255" t="s">
        <v>952</v>
      </c>
      <c r="D9424" s="59">
        <v>53.6</v>
      </c>
      <c r="E9424" s="59"/>
    </row>
    <row r="9425" spans="3:5" x14ac:dyDescent="0.15">
      <c r="C9425" s="255" t="s">
        <v>953</v>
      </c>
      <c r="D9425" s="59">
        <v>246.5</v>
      </c>
      <c r="E9425" s="59"/>
    </row>
    <row r="9426" spans="3:5" x14ac:dyDescent="0.15">
      <c r="C9426" s="255" t="s">
        <v>954</v>
      </c>
      <c r="D9426" s="59">
        <v>2576.6</v>
      </c>
      <c r="E9426" s="59"/>
    </row>
    <row r="9427" spans="3:5" x14ac:dyDescent="0.15">
      <c r="C9427" s="255" t="s">
        <v>955</v>
      </c>
      <c r="D9427" s="59">
        <v>1561.6</v>
      </c>
      <c r="E9427" s="59"/>
    </row>
    <row r="9428" spans="3:5" x14ac:dyDescent="0.15">
      <c r="C9428" s="255" t="s">
        <v>956</v>
      </c>
      <c r="D9428" s="59">
        <v>2522.1</v>
      </c>
      <c r="E9428" s="59"/>
    </row>
    <row r="9429" spans="3:5" x14ac:dyDescent="0.15">
      <c r="C9429" s="255" t="s">
        <v>957</v>
      </c>
      <c r="D9429" s="59">
        <v>29052.6</v>
      </c>
      <c r="E9429" s="59"/>
    </row>
    <row r="9430" spans="3:5" x14ac:dyDescent="0.15">
      <c r="C9430" s="255" t="s">
        <v>958</v>
      </c>
      <c r="D9430" s="59">
        <v>153.1</v>
      </c>
      <c r="E9430" s="59"/>
    </row>
    <row r="9431" spans="3:5" x14ac:dyDescent="0.15">
      <c r="C9431" s="255" t="s">
        <v>959</v>
      </c>
      <c r="D9431" s="59">
        <v>978.6</v>
      </c>
      <c r="E9431" s="59"/>
    </row>
    <row r="9432" spans="3:5" x14ac:dyDescent="0.15">
      <c r="C9432" s="255" t="s">
        <v>960</v>
      </c>
      <c r="D9432" s="59">
        <v>91.6</v>
      </c>
      <c r="E9432" s="59"/>
    </row>
    <row r="9433" spans="3:5" x14ac:dyDescent="0.15">
      <c r="C9433" s="255" t="s">
        <v>961</v>
      </c>
      <c r="D9433" s="59">
        <v>90.4</v>
      </c>
      <c r="E9433" s="59"/>
    </row>
    <row r="9434" spans="3:5" x14ac:dyDescent="0.15">
      <c r="C9434" s="255" t="s">
        <v>962</v>
      </c>
      <c r="D9434" s="59">
        <v>1.9</v>
      </c>
      <c r="E9434" s="59"/>
    </row>
    <row r="9435" spans="3:5" x14ac:dyDescent="0.15">
      <c r="C9435" s="255" t="s">
        <v>963</v>
      </c>
      <c r="D9435" s="59">
        <v>1125</v>
      </c>
      <c r="E9435" s="59"/>
    </row>
    <row r="9436" spans="3:5" x14ac:dyDescent="0.15">
      <c r="C9436" s="255" t="s">
        <v>964</v>
      </c>
      <c r="D9436" s="59">
        <v>577.70000000000005</v>
      </c>
      <c r="E9436" s="59"/>
    </row>
    <row r="9437" spans="3:5" x14ac:dyDescent="0.15">
      <c r="C9437" s="255" t="s">
        <v>965</v>
      </c>
      <c r="D9437" s="59">
        <v>90.9</v>
      </c>
      <c r="E9437" s="59"/>
    </row>
    <row r="9438" spans="3:5" x14ac:dyDescent="0.15">
      <c r="C9438" s="255" t="s">
        <v>966</v>
      </c>
      <c r="D9438" s="59">
        <v>10.1</v>
      </c>
      <c r="E9438" s="59"/>
    </row>
    <row r="9439" spans="3:5" x14ac:dyDescent="0.15">
      <c r="C9439" s="255" t="s">
        <v>967</v>
      </c>
      <c r="D9439" s="59">
        <v>179.3</v>
      </c>
      <c r="E9439" s="59"/>
    </row>
    <row r="9440" spans="3:5" x14ac:dyDescent="0.15">
      <c r="C9440" s="255" t="s">
        <v>968</v>
      </c>
      <c r="D9440" s="59">
        <v>2.2999999999999998</v>
      </c>
      <c r="E9440" s="59"/>
    </row>
    <row r="9441" spans="3:5" x14ac:dyDescent="0.15">
      <c r="C9441" s="255" t="s">
        <v>969</v>
      </c>
      <c r="D9441" s="59">
        <v>33.299999999999997</v>
      </c>
      <c r="E9441" s="59"/>
    </row>
    <row r="9442" spans="3:5" x14ac:dyDescent="0.15">
      <c r="C9442" s="255" t="s">
        <v>970</v>
      </c>
      <c r="D9442" s="59">
        <v>113.9</v>
      </c>
      <c r="E9442" s="59"/>
    </row>
    <row r="9443" spans="3:5" x14ac:dyDescent="0.15">
      <c r="C9443" s="255" t="s">
        <v>971</v>
      </c>
      <c r="D9443" s="59">
        <v>444.9</v>
      </c>
      <c r="E9443" s="59"/>
    </row>
    <row r="9444" spans="3:5" x14ac:dyDescent="0.15">
      <c r="C9444" s="255" t="s">
        <v>972</v>
      </c>
      <c r="D9444" s="59">
        <v>601.79999999999995</v>
      </c>
      <c r="E9444" s="59"/>
    </row>
    <row r="9445" spans="3:5" x14ac:dyDescent="0.15">
      <c r="C9445" s="255" t="s">
        <v>973</v>
      </c>
      <c r="D9445" s="59">
        <v>42.5</v>
      </c>
      <c r="E9445" s="59"/>
    </row>
    <row r="9446" spans="3:5" x14ac:dyDescent="0.15">
      <c r="C9446" s="255" t="s">
        <v>974</v>
      </c>
      <c r="D9446" s="59">
        <v>68</v>
      </c>
      <c r="E9446" s="59"/>
    </row>
    <row r="9447" spans="3:5" x14ac:dyDescent="0.15">
      <c r="C9447" s="255" t="s">
        <v>975</v>
      </c>
      <c r="D9447" s="59">
        <v>168.3</v>
      </c>
      <c r="E9447" s="59"/>
    </row>
    <row r="9448" spans="3:5" x14ac:dyDescent="0.15">
      <c r="C9448" s="255" t="s">
        <v>976</v>
      </c>
      <c r="D9448" s="59">
        <v>30.9</v>
      </c>
      <c r="E9448" s="59"/>
    </row>
    <row r="9449" spans="3:5" x14ac:dyDescent="0.15">
      <c r="C9449" s="255" t="s">
        <v>977</v>
      </c>
      <c r="D9449" s="59">
        <v>584</v>
      </c>
      <c r="E9449" s="59"/>
    </row>
    <row r="9450" spans="3:5" x14ac:dyDescent="0.15">
      <c r="C9450" s="255" t="s">
        <v>978</v>
      </c>
      <c r="D9450" s="59">
        <v>1129</v>
      </c>
      <c r="E9450" s="59"/>
    </row>
    <row r="9451" spans="3:5" x14ac:dyDescent="0.15">
      <c r="C9451" s="255" t="s">
        <v>979</v>
      </c>
      <c r="D9451" s="59">
        <v>352.8</v>
      </c>
      <c r="E9451" s="59"/>
    </row>
    <row r="9452" spans="3:5" x14ac:dyDescent="0.15">
      <c r="C9452" s="255" t="s">
        <v>980</v>
      </c>
      <c r="D9452" s="59">
        <v>320.8</v>
      </c>
      <c r="E9452" s="59"/>
    </row>
    <row r="9453" spans="3:5" x14ac:dyDescent="0.15">
      <c r="C9453" s="255" t="s">
        <v>981</v>
      </c>
      <c r="D9453" s="59">
        <v>0</v>
      </c>
      <c r="E9453" s="59"/>
    </row>
    <row r="9454" spans="3:5" x14ac:dyDescent="0.15">
      <c r="C9454" s="255" t="s">
        <v>982</v>
      </c>
      <c r="D9454" s="59">
        <v>411.9</v>
      </c>
      <c r="E9454" s="59"/>
    </row>
    <row r="9455" spans="3:5" x14ac:dyDescent="0.15">
      <c r="C9455" s="255" t="s">
        <v>983</v>
      </c>
      <c r="D9455" s="59">
        <v>1788.9</v>
      </c>
      <c r="E9455" s="59"/>
    </row>
    <row r="9456" spans="3:5" x14ac:dyDescent="0.15">
      <c r="C9456" s="255" t="s">
        <v>984</v>
      </c>
      <c r="D9456" s="59">
        <v>42.4</v>
      </c>
      <c r="E9456" s="59"/>
    </row>
    <row r="9457" spans="3:5" x14ac:dyDescent="0.15">
      <c r="C9457" s="255" t="s">
        <v>985</v>
      </c>
      <c r="D9457" s="59">
        <v>1002.7</v>
      </c>
      <c r="E9457" s="59"/>
    </row>
    <row r="9458" spans="3:5" x14ac:dyDescent="0.15">
      <c r="C9458" s="255" t="s">
        <v>986</v>
      </c>
      <c r="D9458" s="59">
        <v>657.8</v>
      </c>
      <c r="E9458" s="59"/>
    </row>
    <row r="9459" spans="3:5" x14ac:dyDescent="0.15">
      <c r="C9459" s="255" t="s">
        <v>987</v>
      </c>
      <c r="D9459" s="59">
        <v>406.1</v>
      </c>
      <c r="E9459" s="59"/>
    </row>
    <row r="9460" spans="3:5" x14ac:dyDescent="0.15">
      <c r="C9460" s="255" t="s">
        <v>988</v>
      </c>
      <c r="D9460" s="59">
        <v>1440.8</v>
      </c>
      <c r="E9460" s="59"/>
    </row>
    <row r="9461" spans="3:5" x14ac:dyDescent="0.15">
      <c r="C9461" s="255" t="s">
        <v>989</v>
      </c>
      <c r="D9461" s="59">
        <v>1233.7</v>
      </c>
      <c r="E9461" s="59"/>
    </row>
    <row r="9462" spans="3:5" x14ac:dyDescent="0.15">
      <c r="C9462" s="255" t="s">
        <v>990</v>
      </c>
      <c r="D9462" s="59">
        <v>371.6</v>
      </c>
      <c r="E9462" s="59"/>
    </row>
    <row r="9463" spans="3:5" x14ac:dyDescent="0.15">
      <c r="C9463" s="255" t="s">
        <v>991</v>
      </c>
      <c r="D9463" s="59">
        <v>5360.4</v>
      </c>
      <c r="E9463" s="59"/>
    </row>
    <row r="9464" spans="3:5" x14ac:dyDescent="0.15">
      <c r="C9464" s="255" t="s">
        <v>992</v>
      </c>
      <c r="D9464" s="59">
        <v>13.2</v>
      </c>
      <c r="E9464" s="59"/>
    </row>
    <row r="9465" spans="3:5" x14ac:dyDescent="0.15">
      <c r="C9465" s="255" t="s">
        <v>993</v>
      </c>
      <c r="D9465" s="59">
        <v>151.5</v>
      </c>
      <c r="E9465" s="59"/>
    </row>
    <row r="9466" spans="3:5" x14ac:dyDescent="0.15">
      <c r="C9466" s="255" t="s">
        <v>994</v>
      </c>
      <c r="D9466" s="59">
        <v>0</v>
      </c>
      <c r="E9466" s="59"/>
    </row>
    <row r="9467" spans="3:5" x14ac:dyDescent="0.15">
      <c r="C9467" s="255" t="s">
        <v>995</v>
      </c>
      <c r="D9467" s="59">
        <v>899.9</v>
      </c>
      <c r="E9467" s="59"/>
    </row>
    <row r="9468" spans="3:5" x14ac:dyDescent="0.15">
      <c r="C9468" s="255" t="s">
        <v>996</v>
      </c>
      <c r="D9468" s="59">
        <v>413.3</v>
      </c>
      <c r="E9468" s="59"/>
    </row>
    <row r="9469" spans="3:5" x14ac:dyDescent="0.15">
      <c r="C9469" s="255" t="s">
        <v>997</v>
      </c>
      <c r="D9469" s="59">
        <v>299.10000000000002</v>
      </c>
      <c r="E9469" s="59"/>
    </row>
    <row r="9470" spans="3:5" x14ac:dyDescent="0.15">
      <c r="C9470" s="255" t="s">
        <v>998</v>
      </c>
      <c r="D9470" s="59">
        <v>104.9</v>
      </c>
      <c r="E9470" s="59"/>
    </row>
    <row r="9471" spans="3:5" x14ac:dyDescent="0.15">
      <c r="C9471" s="255" t="s">
        <v>999</v>
      </c>
      <c r="D9471" s="59">
        <v>5.4</v>
      </c>
      <c r="E9471" s="59"/>
    </row>
    <row r="9472" spans="3:5" x14ac:dyDescent="0.15">
      <c r="C9472" s="255" t="s">
        <v>1000</v>
      </c>
      <c r="D9472" s="59">
        <v>1015.9</v>
      </c>
      <c r="E9472" s="59"/>
    </row>
    <row r="9473" spans="3:5" x14ac:dyDescent="0.15">
      <c r="C9473" s="255" t="s">
        <v>1001</v>
      </c>
      <c r="D9473" s="59">
        <v>447</v>
      </c>
      <c r="E9473" s="59"/>
    </row>
    <row r="9474" spans="3:5" x14ac:dyDescent="0.15">
      <c r="C9474" s="255" t="s">
        <v>1002</v>
      </c>
      <c r="D9474" s="59">
        <v>154.4</v>
      </c>
      <c r="E9474" s="59"/>
    </row>
    <row r="9475" spans="3:5" x14ac:dyDescent="0.15">
      <c r="C9475" s="255" t="s">
        <v>1003</v>
      </c>
      <c r="D9475" s="59">
        <v>110.9</v>
      </c>
      <c r="E9475" s="59"/>
    </row>
    <row r="9476" spans="3:5" x14ac:dyDescent="0.15">
      <c r="C9476" s="255" t="s">
        <v>1004</v>
      </c>
      <c r="D9476" s="59">
        <v>95</v>
      </c>
      <c r="E9476" s="59"/>
    </row>
    <row r="9477" spans="3:5" x14ac:dyDescent="0.15">
      <c r="C9477" s="255" t="s">
        <v>1005</v>
      </c>
      <c r="D9477" s="59">
        <v>133.19999999999999</v>
      </c>
      <c r="E9477" s="59"/>
    </row>
    <row r="9478" spans="3:5" x14ac:dyDescent="0.15">
      <c r="C9478" s="255" t="s">
        <v>1006</v>
      </c>
      <c r="D9478" s="59">
        <v>5301.8</v>
      </c>
      <c r="E9478" s="59"/>
    </row>
    <row r="9479" spans="3:5" x14ac:dyDescent="0.15">
      <c r="C9479" s="255" t="s">
        <v>1007</v>
      </c>
      <c r="D9479" s="59">
        <v>1446</v>
      </c>
      <c r="E9479" s="59"/>
    </row>
    <row r="9480" spans="3:5" x14ac:dyDescent="0.15">
      <c r="C9480" s="255" t="s">
        <v>1008</v>
      </c>
      <c r="D9480" s="59">
        <v>556</v>
      </c>
      <c r="E9480" s="59"/>
    </row>
    <row r="9481" spans="3:5" x14ac:dyDescent="0.15">
      <c r="C9481" s="255" t="s">
        <v>1009</v>
      </c>
      <c r="D9481" s="59">
        <v>341.7</v>
      </c>
      <c r="E9481" s="59"/>
    </row>
    <row r="9482" spans="3:5" x14ac:dyDescent="0.15">
      <c r="C9482" s="255" t="s">
        <v>1010</v>
      </c>
      <c r="D9482" s="59">
        <v>179.1</v>
      </c>
      <c r="E9482" s="59"/>
    </row>
    <row r="9483" spans="3:5" x14ac:dyDescent="0.15">
      <c r="C9483" s="255" t="s">
        <v>1011</v>
      </c>
      <c r="D9483" s="59">
        <v>369.2</v>
      </c>
      <c r="E9483" s="59"/>
    </row>
    <row r="9484" spans="3:5" x14ac:dyDescent="0.15">
      <c r="C9484" s="255" t="s">
        <v>1012</v>
      </c>
      <c r="D9484" s="59">
        <v>16942.400000000001</v>
      </c>
      <c r="E9484" s="59"/>
    </row>
    <row r="9485" spans="3:5" x14ac:dyDescent="0.15">
      <c r="C9485" s="255" t="s">
        <v>1013</v>
      </c>
      <c r="D9485" s="59">
        <v>9249.1</v>
      </c>
      <c r="E9485" s="59"/>
    </row>
    <row r="9486" spans="3:5" x14ac:dyDescent="0.15">
      <c r="C9486" s="255" t="s">
        <v>1014</v>
      </c>
      <c r="D9486" s="59">
        <v>3029.9</v>
      </c>
      <c r="E9486" s="59"/>
    </row>
    <row r="9487" spans="3:5" x14ac:dyDescent="0.15">
      <c r="C9487" s="255" t="s">
        <v>1015</v>
      </c>
      <c r="D9487" s="59">
        <v>791.1</v>
      </c>
      <c r="E9487" s="59"/>
    </row>
    <row r="9488" spans="3:5" x14ac:dyDescent="0.15">
      <c r="C9488" s="255" t="s">
        <v>1016</v>
      </c>
      <c r="D9488" s="59">
        <v>2071.5</v>
      </c>
      <c r="E9488" s="59"/>
    </row>
    <row r="9489" spans="3:5" x14ac:dyDescent="0.15">
      <c r="C9489" s="255" t="s">
        <v>1017</v>
      </c>
      <c r="D9489" s="59">
        <v>1779</v>
      </c>
      <c r="E9489" s="59"/>
    </row>
    <row r="9490" spans="3:5" x14ac:dyDescent="0.15">
      <c r="C9490" s="255" t="s">
        <v>1018</v>
      </c>
      <c r="D9490" s="59">
        <v>21.8</v>
      </c>
      <c r="E9490" s="59"/>
    </row>
    <row r="9491" spans="3:5" x14ac:dyDescent="0.15">
      <c r="C9491" s="255" t="s">
        <v>1019</v>
      </c>
      <c r="D9491" s="59">
        <v>27878.5</v>
      </c>
      <c r="E9491" s="59"/>
    </row>
    <row r="9492" spans="3:5" x14ac:dyDescent="0.15">
      <c r="C9492" s="255" t="s">
        <v>1020</v>
      </c>
      <c r="D9492" s="59">
        <v>470.7</v>
      </c>
      <c r="E9492" s="59"/>
    </row>
    <row r="9493" spans="3:5" x14ac:dyDescent="0.15">
      <c r="C9493" s="255" t="s">
        <v>1021</v>
      </c>
      <c r="D9493" s="59">
        <v>1295.8</v>
      </c>
      <c r="E9493" s="59"/>
    </row>
    <row r="9494" spans="3:5" x14ac:dyDescent="0.15">
      <c r="C9494" s="255" t="s">
        <v>1022</v>
      </c>
      <c r="D9494" s="59">
        <v>402.2</v>
      </c>
      <c r="E9494" s="59"/>
    </row>
    <row r="9495" spans="3:5" x14ac:dyDescent="0.15">
      <c r="C9495" s="255" t="s">
        <v>1023</v>
      </c>
      <c r="D9495" s="59">
        <v>137.69999999999999</v>
      </c>
      <c r="E9495" s="59"/>
    </row>
    <row r="9496" spans="3:5" x14ac:dyDescent="0.15">
      <c r="C9496" s="255" t="s">
        <v>1024</v>
      </c>
      <c r="D9496" s="59">
        <v>22.4</v>
      </c>
      <c r="E9496" s="59"/>
    </row>
    <row r="9497" spans="3:5" x14ac:dyDescent="0.15">
      <c r="C9497" s="255" t="s">
        <v>1025</v>
      </c>
      <c r="D9497" s="59">
        <v>249.4</v>
      </c>
      <c r="E9497" s="59"/>
    </row>
    <row r="9498" spans="3:5" x14ac:dyDescent="0.15">
      <c r="C9498" s="255" t="s">
        <v>1026</v>
      </c>
      <c r="D9498" s="59">
        <v>3423.4</v>
      </c>
      <c r="E9498" s="59"/>
    </row>
    <row r="9499" spans="3:5" x14ac:dyDescent="0.15">
      <c r="C9499" s="255" t="s">
        <v>1027</v>
      </c>
      <c r="D9499" s="59">
        <v>0</v>
      </c>
      <c r="E9499" s="59"/>
    </row>
    <row r="9500" spans="3:5" x14ac:dyDescent="0.15">
      <c r="C9500" s="255" t="s">
        <v>1028</v>
      </c>
      <c r="D9500" s="59">
        <v>571.70000000000005</v>
      </c>
      <c r="E9500" s="59"/>
    </row>
    <row r="9501" spans="3:5" x14ac:dyDescent="0.15">
      <c r="C9501" s="255" t="s">
        <v>1029</v>
      </c>
      <c r="D9501" s="59">
        <v>371</v>
      </c>
      <c r="E9501" s="59"/>
    </row>
    <row r="9502" spans="3:5" x14ac:dyDescent="0.15">
      <c r="C9502" s="255" t="s">
        <v>1030</v>
      </c>
      <c r="D9502" s="59">
        <v>39.9</v>
      </c>
      <c r="E9502" s="59"/>
    </row>
    <row r="9503" spans="3:5" x14ac:dyDescent="0.15">
      <c r="C9503" s="255" t="s">
        <v>1031</v>
      </c>
      <c r="D9503" s="59">
        <v>544.6</v>
      </c>
      <c r="E9503" s="59"/>
    </row>
    <row r="9504" spans="3:5" x14ac:dyDescent="0.15">
      <c r="C9504" s="255" t="s">
        <v>1032</v>
      </c>
      <c r="D9504" s="59">
        <v>202.9</v>
      </c>
      <c r="E9504" s="59"/>
    </row>
    <row r="9505" spans="3:5" x14ac:dyDescent="0.15">
      <c r="C9505" s="255" t="s">
        <v>1033</v>
      </c>
      <c r="D9505" s="59">
        <v>2.8</v>
      </c>
      <c r="E9505" s="59"/>
    </row>
    <row r="9506" spans="3:5" x14ac:dyDescent="0.15">
      <c r="C9506" s="255" t="s">
        <v>1034</v>
      </c>
      <c r="D9506" s="59">
        <v>126.9</v>
      </c>
      <c r="E9506" s="59"/>
    </row>
    <row r="9507" spans="3:5" x14ac:dyDescent="0.15">
      <c r="C9507" s="255" t="s">
        <v>1035</v>
      </c>
      <c r="D9507" s="59">
        <v>3405.6</v>
      </c>
      <c r="E9507" s="59"/>
    </row>
    <row r="9508" spans="3:5" x14ac:dyDescent="0.15">
      <c r="C9508" s="255" t="s">
        <v>1036</v>
      </c>
      <c r="D9508" s="59">
        <v>303.39999999999998</v>
      </c>
      <c r="E9508" s="59"/>
    </row>
    <row r="9509" spans="3:5" x14ac:dyDescent="0.15">
      <c r="C9509" s="255" t="s">
        <v>1037</v>
      </c>
      <c r="D9509" s="59">
        <v>887.8</v>
      </c>
      <c r="E9509" s="59"/>
    </row>
    <row r="9510" spans="3:5" x14ac:dyDescent="0.15">
      <c r="C9510" s="255" t="s">
        <v>1038</v>
      </c>
      <c r="D9510" s="59">
        <v>4874.5</v>
      </c>
      <c r="E9510" s="59"/>
    </row>
    <row r="9511" spans="3:5" x14ac:dyDescent="0.15">
      <c r="C9511" s="255" t="s">
        <v>1039</v>
      </c>
      <c r="D9511" s="59">
        <v>1235.8</v>
      </c>
      <c r="E9511" s="59"/>
    </row>
    <row r="9512" spans="3:5" x14ac:dyDescent="0.15">
      <c r="C9512" s="255" t="s">
        <v>1040</v>
      </c>
      <c r="D9512" s="59">
        <v>4924</v>
      </c>
      <c r="E9512" s="59"/>
    </row>
    <row r="9513" spans="3:5" x14ac:dyDescent="0.15">
      <c r="C9513" s="255" t="s">
        <v>1041</v>
      </c>
      <c r="D9513" s="59">
        <v>394.2</v>
      </c>
      <c r="E9513" s="59"/>
    </row>
    <row r="9514" spans="3:5" x14ac:dyDescent="0.15">
      <c r="C9514" s="255" t="s">
        <v>1042</v>
      </c>
      <c r="D9514" s="59">
        <v>2485.4</v>
      </c>
      <c r="E9514" s="59"/>
    </row>
    <row r="9515" spans="3:5" x14ac:dyDescent="0.15">
      <c r="C9515" s="255" t="s">
        <v>1043</v>
      </c>
      <c r="D9515" s="59">
        <v>719.1</v>
      </c>
      <c r="E9515" s="59"/>
    </row>
    <row r="9516" spans="3:5" x14ac:dyDescent="0.15">
      <c r="C9516" s="255" t="s">
        <v>1044</v>
      </c>
      <c r="D9516" s="59">
        <v>187.8</v>
      </c>
      <c r="E9516" s="59"/>
    </row>
    <row r="9517" spans="3:5" x14ac:dyDescent="0.15">
      <c r="C9517" s="255" t="s">
        <v>1045</v>
      </c>
      <c r="D9517" s="59">
        <v>56.7</v>
      </c>
      <c r="E9517" s="59"/>
    </row>
    <row r="9518" spans="3:5" x14ac:dyDescent="0.15">
      <c r="C9518" s="255" t="s">
        <v>1046</v>
      </c>
      <c r="D9518" s="59">
        <v>215.7</v>
      </c>
      <c r="E9518" s="59"/>
    </row>
    <row r="9519" spans="3:5" x14ac:dyDescent="0.15">
      <c r="C9519" s="255" t="s">
        <v>1047</v>
      </c>
      <c r="D9519" s="59">
        <v>250.6</v>
      </c>
      <c r="E9519" s="59"/>
    </row>
    <row r="9520" spans="3:5" x14ac:dyDescent="0.15">
      <c r="C9520" s="255" t="s">
        <v>1048</v>
      </c>
      <c r="D9520" s="59">
        <v>76.400000000000006</v>
      </c>
      <c r="E9520" s="59"/>
    </row>
    <row r="9521" spans="2:5" x14ac:dyDescent="0.15">
      <c r="B9521" s="255" t="s">
        <v>1069</v>
      </c>
      <c r="C9521" s="255" t="s">
        <v>743</v>
      </c>
      <c r="D9521" s="59">
        <v>519</v>
      </c>
      <c r="E9521" s="59"/>
    </row>
    <row r="9522" spans="2:5" x14ac:dyDescent="0.15">
      <c r="C9522" s="255" t="s">
        <v>744</v>
      </c>
      <c r="D9522" s="59">
        <v>843.3</v>
      </c>
      <c r="E9522" s="59"/>
    </row>
    <row r="9523" spans="2:5" x14ac:dyDescent="0.15">
      <c r="C9523" s="255" t="s">
        <v>745</v>
      </c>
      <c r="D9523" s="59">
        <v>1780.2</v>
      </c>
      <c r="E9523" s="59"/>
    </row>
    <row r="9524" spans="2:5" x14ac:dyDescent="0.15">
      <c r="C9524" s="255" t="s">
        <v>746</v>
      </c>
      <c r="D9524" s="59">
        <v>2.1</v>
      </c>
      <c r="E9524" s="59"/>
    </row>
    <row r="9525" spans="2:5" x14ac:dyDescent="0.15">
      <c r="C9525" s="255" t="s">
        <v>747</v>
      </c>
      <c r="D9525" s="59">
        <v>1.7</v>
      </c>
      <c r="E9525" s="59"/>
    </row>
    <row r="9526" spans="2:5" x14ac:dyDescent="0.15">
      <c r="C9526" s="255" t="s">
        <v>748</v>
      </c>
      <c r="D9526" s="59">
        <v>0.5</v>
      </c>
      <c r="E9526" s="59"/>
    </row>
    <row r="9527" spans="2:5" x14ac:dyDescent="0.15">
      <c r="C9527" s="255" t="s">
        <v>749</v>
      </c>
      <c r="D9527" s="59">
        <v>0.4</v>
      </c>
      <c r="E9527" s="59"/>
    </row>
    <row r="9528" spans="2:5" x14ac:dyDescent="0.15">
      <c r="C9528" s="255" t="s">
        <v>750</v>
      </c>
      <c r="D9528" s="59">
        <v>0.5</v>
      </c>
      <c r="E9528" s="59"/>
    </row>
    <row r="9529" spans="2:5" x14ac:dyDescent="0.15">
      <c r="C9529" s="255" t="s">
        <v>751</v>
      </c>
      <c r="D9529" s="59">
        <v>49.4</v>
      </c>
      <c r="E9529" s="59"/>
    </row>
    <row r="9530" spans="2:5" x14ac:dyDescent="0.15">
      <c r="C9530" s="255" t="s">
        <v>752</v>
      </c>
      <c r="D9530" s="59">
        <v>1.5</v>
      </c>
      <c r="E9530" s="59"/>
    </row>
    <row r="9531" spans="2:5" x14ac:dyDescent="0.15">
      <c r="C9531" s="255" t="s">
        <v>753</v>
      </c>
      <c r="D9531" s="59">
        <v>96.3</v>
      </c>
      <c r="E9531" s="59"/>
    </row>
    <row r="9532" spans="2:5" x14ac:dyDescent="0.15">
      <c r="C9532" s="255" t="s">
        <v>754</v>
      </c>
      <c r="D9532" s="59">
        <v>1946.5</v>
      </c>
      <c r="E9532" s="59"/>
    </row>
    <row r="9533" spans="2:5" x14ac:dyDescent="0.15">
      <c r="C9533" s="255" t="s">
        <v>192</v>
      </c>
      <c r="D9533" s="59">
        <v>338564.9</v>
      </c>
      <c r="E9533" s="59"/>
    </row>
    <row r="9534" spans="2:5" x14ac:dyDescent="0.15">
      <c r="C9534" s="255" t="s">
        <v>755</v>
      </c>
      <c r="D9534" s="59">
        <v>39401.800000000003</v>
      </c>
      <c r="E9534" s="59"/>
    </row>
    <row r="9535" spans="2:5" x14ac:dyDescent="0.15">
      <c r="C9535" s="255" t="s">
        <v>756</v>
      </c>
      <c r="D9535" s="59">
        <v>193.3</v>
      </c>
      <c r="E9535" s="59"/>
    </row>
    <row r="9536" spans="2:5" x14ac:dyDescent="0.15">
      <c r="C9536" s="255" t="s">
        <v>757</v>
      </c>
      <c r="D9536" s="59">
        <v>117.3</v>
      </c>
      <c r="E9536" s="59"/>
    </row>
    <row r="9537" spans="3:5" x14ac:dyDescent="0.15">
      <c r="C9537" s="255" t="s">
        <v>758</v>
      </c>
      <c r="D9537" s="59">
        <v>2278.5</v>
      </c>
      <c r="E9537" s="59"/>
    </row>
    <row r="9538" spans="3:5" x14ac:dyDescent="0.15">
      <c r="C9538" s="255" t="s">
        <v>759</v>
      </c>
      <c r="D9538" s="59">
        <v>1549.6</v>
      </c>
      <c r="E9538" s="59"/>
    </row>
    <row r="9539" spans="3:5" x14ac:dyDescent="0.15">
      <c r="C9539" s="255" t="s">
        <v>760</v>
      </c>
      <c r="D9539" s="59">
        <v>127.7</v>
      </c>
      <c r="E9539" s="59"/>
    </row>
    <row r="9540" spans="3:5" x14ac:dyDescent="0.15">
      <c r="C9540" s="255" t="s">
        <v>761</v>
      </c>
      <c r="D9540" s="59">
        <v>427.3</v>
      </c>
      <c r="E9540" s="59"/>
    </row>
    <row r="9541" spans="3:5" x14ac:dyDescent="0.15">
      <c r="C9541" s="255" t="s">
        <v>762</v>
      </c>
      <c r="D9541" s="59">
        <v>368.2</v>
      </c>
      <c r="E9541" s="59"/>
    </row>
    <row r="9542" spans="3:5" x14ac:dyDescent="0.15">
      <c r="C9542" s="255" t="s">
        <v>763</v>
      </c>
      <c r="D9542" s="59">
        <v>175.9</v>
      </c>
      <c r="E9542" s="59"/>
    </row>
    <row r="9543" spans="3:5" x14ac:dyDescent="0.15">
      <c r="C9543" s="255" t="s">
        <v>764</v>
      </c>
      <c r="D9543" s="59">
        <v>2279.6</v>
      </c>
      <c r="E9543" s="59"/>
    </row>
    <row r="9544" spans="3:5" x14ac:dyDescent="0.15">
      <c r="C9544" s="255" t="s">
        <v>765</v>
      </c>
      <c r="D9544" s="59">
        <v>944.4</v>
      </c>
      <c r="E9544" s="59"/>
    </row>
    <row r="9545" spans="3:5" x14ac:dyDescent="0.15">
      <c r="C9545" s="255" t="s">
        <v>766</v>
      </c>
      <c r="D9545" s="59">
        <v>210.1</v>
      </c>
      <c r="E9545" s="59"/>
    </row>
    <row r="9546" spans="3:5" x14ac:dyDescent="0.15">
      <c r="C9546" s="255" t="s">
        <v>767</v>
      </c>
      <c r="D9546" s="59">
        <v>1275</v>
      </c>
      <c r="E9546" s="59"/>
    </row>
    <row r="9547" spans="3:5" x14ac:dyDescent="0.15">
      <c r="C9547" s="255" t="s">
        <v>768</v>
      </c>
      <c r="D9547" s="59">
        <v>62.4</v>
      </c>
      <c r="E9547" s="59"/>
    </row>
    <row r="9548" spans="3:5" x14ac:dyDescent="0.15">
      <c r="C9548" s="255" t="s">
        <v>769</v>
      </c>
      <c r="D9548" s="59">
        <v>15.3</v>
      </c>
      <c r="E9548" s="59"/>
    </row>
    <row r="9549" spans="3:5" x14ac:dyDescent="0.15">
      <c r="C9549" s="255" t="s">
        <v>770</v>
      </c>
      <c r="D9549" s="59">
        <v>1435</v>
      </c>
      <c r="E9549" s="59"/>
    </row>
    <row r="9550" spans="3:5" x14ac:dyDescent="0.15">
      <c r="C9550" s="255" t="s">
        <v>771</v>
      </c>
      <c r="D9550" s="59">
        <v>1494.3</v>
      </c>
      <c r="E9550" s="59"/>
    </row>
    <row r="9551" spans="3:5" x14ac:dyDescent="0.15">
      <c r="C9551" s="255" t="s">
        <v>772</v>
      </c>
      <c r="D9551" s="59">
        <v>773.2</v>
      </c>
      <c r="E9551" s="59"/>
    </row>
    <row r="9552" spans="3:5" x14ac:dyDescent="0.15">
      <c r="C9552" s="255" t="s">
        <v>773</v>
      </c>
      <c r="D9552" s="59">
        <v>119.2</v>
      </c>
      <c r="E9552" s="59"/>
    </row>
    <row r="9553" spans="3:5" x14ac:dyDescent="0.15">
      <c r="C9553" s="255" t="s">
        <v>774</v>
      </c>
      <c r="D9553" s="59">
        <v>98.4</v>
      </c>
      <c r="E9553" s="59"/>
    </row>
    <row r="9554" spans="3:5" x14ac:dyDescent="0.15">
      <c r="C9554" s="255" t="s">
        <v>775</v>
      </c>
      <c r="D9554" s="59">
        <v>120.3</v>
      </c>
      <c r="E9554" s="59"/>
    </row>
    <row r="9555" spans="3:5" x14ac:dyDescent="0.15">
      <c r="C9555" s="255" t="s">
        <v>776</v>
      </c>
      <c r="D9555" s="59">
        <v>320.3</v>
      </c>
      <c r="E9555" s="59"/>
    </row>
    <row r="9556" spans="3:5" x14ac:dyDescent="0.15">
      <c r="C9556" s="255" t="s">
        <v>777</v>
      </c>
      <c r="D9556" s="59">
        <v>820.1</v>
      </c>
      <c r="E9556" s="59"/>
    </row>
    <row r="9557" spans="3:5" x14ac:dyDescent="0.15">
      <c r="C9557" s="255" t="s">
        <v>778</v>
      </c>
      <c r="D9557" s="59">
        <v>462.4</v>
      </c>
      <c r="E9557" s="59"/>
    </row>
    <row r="9558" spans="3:5" x14ac:dyDescent="0.15">
      <c r="C9558" s="255" t="s">
        <v>779</v>
      </c>
      <c r="D9558" s="59">
        <v>602.29999999999995</v>
      </c>
      <c r="E9558" s="59"/>
    </row>
    <row r="9559" spans="3:5" x14ac:dyDescent="0.15">
      <c r="C9559" s="255" t="s">
        <v>780</v>
      </c>
      <c r="D9559" s="59">
        <v>6</v>
      </c>
      <c r="E9559" s="59"/>
    </row>
    <row r="9560" spans="3:5" x14ac:dyDescent="0.15">
      <c r="C9560" s="255" t="s">
        <v>781</v>
      </c>
      <c r="D9560" s="59">
        <v>826.6</v>
      </c>
      <c r="E9560" s="59"/>
    </row>
    <row r="9561" spans="3:5" x14ac:dyDescent="0.15">
      <c r="C9561" s="255" t="s">
        <v>782</v>
      </c>
      <c r="D9561" s="59">
        <v>2036</v>
      </c>
      <c r="E9561" s="59"/>
    </row>
    <row r="9562" spans="3:5" x14ac:dyDescent="0.15">
      <c r="C9562" s="255" t="s">
        <v>783</v>
      </c>
      <c r="D9562" s="59">
        <v>673.4</v>
      </c>
      <c r="E9562" s="59"/>
    </row>
    <row r="9563" spans="3:5" x14ac:dyDescent="0.15">
      <c r="C9563" s="255" t="s">
        <v>784</v>
      </c>
      <c r="D9563" s="59">
        <v>726.9</v>
      </c>
      <c r="E9563" s="59"/>
    </row>
    <row r="9564" spans="3:5" x14ac:dyDescent="0.15">
      <c r="C9564" s="255" t="s">
        <v>785</v>
      </c>
      <c r="D9564" s="59">
        <v>518.5</v>
      </c>
      <c r="E9564" s="59"/>
    </row>
    <row r="9565" spans="3:5" x14ac:dyDescent="0.15">
      <c r="C9565" s="255" t="s">
        <v>786</v>
      </c>
      <c r="D9565" s="59">
        <v>109.9</v>
      </c>
      <c r="E9565" s="59"/>
    </row>
    <row r="9566" spans="3:5" x14ac:dyDescent="0.15">
      <c r="C9566" s="255" t="s">
        <v>787</v>
      </c>
      <c r="D9566" s="59">
        <v>171.2</v>
      </c>
      <c r="E9566" s="59"/>
    </row>
    <row r="9567" spans="3:5" x14ac:dyDescent="0.15">
      <c r="C9567" s="255" t="s">
        <v>788</v>
      </c>
      <c r="D9567" s="59">
        <v>103.3</v>
      </c>
      <c r="E9567" s="59"/>
    </row>
    <row r="9568" spans="3:5" x14ac:dyDescent="0.15">
      <c r="C9568" s="255" t="s">
        <v>789</v>
      </c>
      <c r="D9568" s="59">
        <v>14.9</v>
      </c>
      <c r="E9568" s="59"/>
    </row>
    <row r="9569" spans="3:5" x14ac:dyDescent="0.15">
      <c r="C9569" s="255" t="s">
        <v>790</v>
      </c>
      <c r="D9569" s="59">
        <v>2651</v>
      </c>
      <c r="E9569" s="59"/>
    </row>
    <row r="9570" spans="3:5" x14ac:dyDescent="0.15">
      <c r="C9570" s="255" t="s">
        <v>791</v>
      </c>
      <c r="D9570" s="59">
        <v>94.2</v>
      </c>
      <c r="E9570" s="59"/>
    </row>
    <row r="9571" spans="3:5" x14ac:dyDescent="0.15">
      <c r="C9571" s="255" t="s">
        <v>792</v>
      </c>
      <c r="D9571" s="59">
        <v>916.6</v>
      </c>
      <c r="E9571" s="59"/>
    </row>
    <row r="9572" spans="3:5" x14ac:dyDescent="0.15">
      <c r="C9572" s="255" t="s">
        <v>793</v>
      </c>
      <c r="D9572" s="59">
        <v>219</v>
      </c>
      <c r="E9572" s="59"/>
    </row>
    <row r="9573" spans="3:5" x14ac:dyDescent="0.15">
      <c r="C9573" s="255" t="s">
        <v>794</v>
      </c>
      <c r="D9573" s="59">
        <v>2890.5</v>
      </c>
      <c r="E9573" s="59"/>
    </row>
    <row r="9574" spans="3:5" x14ac:dyDescent="0.15">
      <c r="C9574" s="255" t="s">
        <v>795</v>
      </c>
      <c r="D9574" s="59">
        <v>240.9</v>
      </c>
      <c r="E9574" s="59"/>
    </row>
    <row r="9575" spans="3:5" x14ac:dyDescent="0.15">
      <c r="C9575" s="255" t="s">
        <v>796</v>
      </c>
      <c r="D9575" s="59">
        <v>664.2</v>
      </c>
      <c r="E9575" s="59"/>
    </row>
    <row r="9576" spans="3:5" x14ac:dyDescent="0.15">
      <c r="C9576" s="255" t="s">
        <v>797</v>
      </c>
      <c r="D9576" s="59">
        <v>646.20000000000005</v>
      </c>
      <c r="E9576" s="59"/>
    </row>
    <row r="9577" spans="3:5" x14ac:dyDescent="0.15">
      <c r="C9577" s="255" t="s">
        <v>798</v>
      </c>
      <c r="D9577" s="59">
        <v>356.8</v>
      </c>
      <c r="E9577" s="59"/>
    </row>
    <row r="9578" spans="3:5" x14ac:dyDescent="0.15">
      <c r="C9578" s="255" t="s">
        <v>799</v>
      </c>
      <c r="D9578" s="59">
        <v>147.30000000000001</v>
      </c>
      <c r="E9578" s="59"/>
    </row>
    <row r="9579" spans="3:5" x14ac:dyDescent="0.15">
      <c r="C9579" s="255" t="s">
        <v>800</v>
      </c>
      <c r="D9579" s="59">
        <v>99.9</v>
      </c>
      <c r="E9579" s="59"/>
    </row>
    <row r="9580" spans="3:5" x14ac:dyDescent="0.15">
      <c r="C9580" s="255" t="s">
        <v>801</v>
      </c>
      <c r="D9580" s="59">
        <v>260.3</v>
      </c>
      <c r="E9580" s="59"/>
    </row>
    <row r="9581" spans="3:5" x14ac:dyDescent="0.15">
      <c r="C9581" s="255" t="s">
        <v>802</v>
      </c>
      <c r="D9581" s="59">
        <v>1268.9000000000001</v>
      </c>
      <c r="E9581" s="59"/>
    </row>
    <row r="9582" spans="3:5" x14ac:dyDescent="0.15">
      <c r="C9582" s="255" t="s">
        <v>803</v>
      </c>
      <c r="D9582" s="59">
        <v>1414.6</v>
      </c>
      <c r="E9582" s="59"/>
    </row>
    <row r="9583" spans="3:5" x14ac:dyDescent="0.15">
      <c r="C9583" s="255" t="s">
        <v>804</v>
      </c>
      <c r="D9583" s="59">
        <v>789.8</v>
      </c>
      <c r="E9583" s="59"/>
    </row>
    <row r="9584" spans="3:5" x14ac:dyDescent="0.15">
      <c r="C9584" s="255" t="s">
        <v>805</v>
      </c>
      <c r="D9584" s="59">
        <v>21.3</v>
      </c>
      <c r="E9584" s="59"/>
    </row>
    <row r="9585" spans="3:5" x14ac:dyDescent="0.15">
      <c r="C9585" s="255" t="s">
        <v>806</v>
      </c>
      <c r="D9585" s="59">
        <v>806.9</v>
      </c>
      <c r="E9585" s="59"/>
    </row>
    <row r="9586" spans="3:5" x14ac:dyDescent="0.15">
      <c r="C9586" s="255" t="s">
        <v>807</v>
      </c>
      <c r="D9586" s="59">
        <v>450</v>
      </c>
      <c r="E9586" s="59"/>
    </row>
    <row r="9587" spans="3:5" x14ac:dyDescent="0.15">
      <c r="C9587" s="255" t="s">
        <v>808</v>
      </c>
      <c r="D9587" s="59">
        <v>72.5</v>
      </c>
      <c r="E9587" s="59"/>
    </row>
    <row r="9588" spans="3:5" x14ac:dyDescent="0.15">
      <c r="C9588" s="255" t="s">
        <v>809</v>
      </c>
      <c r="D9588" s="59">
        <v>310.5</v>
      </c>
      <c r="E9588" s="59"/>
    </row>
    <row r="9589" spans="3:5" x14ac:dyDescent="0.15">
      <c r="C9589" s="255" t="s">
        <v>810</v>
      </c>
      <c r="D9589" s="59">
        <v>244</v>
      </c>
      <c r="E9589" s="59"/>
    </row>
    <row r="9590" spans="3:5" x14ac:dyDescent="0.15">
      <c r="C9590" s="255" t="s">
        <v>811</v>
      </c>
      <c r="D9590" s="59">
        <v>1129.2</v>
      </c>
      <c r="E9590" s="59"/>
    </row>
    <row r="9591" spans="3:5" x14ac:dyDescent="0.15">
      <c r="C9591" s="255" t="s">
        <v>812</v>
      </c>
      <c r="D9591" s="59">
        <v>198.1</v>
      </c>
      <c r="E9591" s="59"/>
    </row>
    <row r="9592" spans="3:5" x14ac:dyDescent="0.15">
      <c r="C9592" s="255" t="s">
        <v>813</v>
      </c>
      <c r="D9592" s="59">
        <v>32.200000000000003</v>
      </c>
      <c r="E9592" s="59"/>
    </row>
    <row r="9593" spans="3:5" x14ac:dyDescent="0.15">
      <c r="C9593" s="255" t="s">
        <v>814</v>
      </c>
      <c r="D9593" s="59">
        <v>243.2</v>
      </c>
      <c r="E9593" s="59"/>
    </row>
    <row r="9594" spans="3:5" x14ac:dyDescent="0.15">
      <c r="C9594" s="255" t="s">
        <v>815</v>
      </c>
      <c r="D9594" s="59">
        <v>1091.5999999999999</v>
      </c>
      <c r="E9594" s="59"/>
    </row>
    <row r="9595" spans="3:5" x14ac:dyDescent="0.15">
      <c r="C9595" s="255" t="s">
        <v>816</v>
      </c>
      <c r="D9595" s="59">
        <v>685.9</v>
      </c>
      <c r="E9595" s="59"/>
    </row>
    <row r="9596" spans="3:5" x14ac:dyDescent="0.15">
      <c r="C9596" s="255" t="s">
        <v>817</v>
      </c>
      <c r="D9596" s="59">
        <v>7476</v>
      </c>
      <c r="E9596" s="59"/>
    </row>
    <row r="9597" spans="3:5" x14ac:dyDescent="0.15">
      <c r="C9597" s="255" t="s">
        <v>818</v>
      </c>
      <c r="D9597" s="59">
        <v>772.5</v>
      </c>
      <c r="E9597" s="59"/>
    </row>
    <row r="9598" spans="3:5" x14ac:dyDescent="0.15">
      <c r="C9598" s="255" t="s">
        <v>819</v>
      </c>
      <c r="D9598" s="59">
        <v>7</v>
      </c>
      <c r="E9598" s="59"/>
    </row>
    <row r="9599" spans="3:5" x14ac:dyDescent="0.15">
      <c r="C9599" s="255" t="s">
        <v>820</v>
      </c>
      <c r="D9599" s="59">
        <v>3157.1</v>
      </c>
      <c r="E9599" s="59"/>
    </row>
    <row r="9600" spans="3:5" x14ac:dyDescent="0.15">
      <c r="C9600" s="255" t="s">
        <v>821</v>
      </c>
      <c r="D9600" s="59">
        <v>61</v>
      </c>
      <c r="E9600" s="59"/>
    </row>
    <row r="9601" spans="3:5" x14ac:dyDescent="0.15">
      <c r="C9601" s="255" t="s">
        <v>822</v>
      </c>
      <c r="D9601" s="59">
        <v>191</v>
      </c>
      <c r="E9601" s="59"/>
    </row>
    <row r="9602" spans="3:5" x14ac:dyDescent="0.15">
      <c r="C9602" s="255" t="s">
        <v>823</v>
      </c>
      <c r="D9602" s="59">
        <v>2.7</v>
      </c>
      <c r="E9602" s="59"/>
    </row>
    <row r="9603" spans="3:5" x14ac:dyDescent="0.15">
      <c r="C9603" s="255" t="s">
        <v>824</v>
      </c>
      <c r="D9603" s="59">
        <v>589.4</v>
      </c>
      <c r="E9603" s="59"/>
    </row>
    <row r="9604" spans="3:5" x14ac:dyDescent="0.15">
      <c r="C9604" s="255" t="s">
        <v>825</v>
      </c>
      <c r="D9604" s="59">
        <v>763.6</v>
      </c>
      <c r="E9604" s="59"/>
    </row>
    <row r="9605" spans="3:5" x14ac:dyDescent="0.15">
      <c r="C9605" s="255" t="s">
        <v>826</v>
      </c>
      <c r="D9605" s="59">
        <v>9.4</v>
      </c>
      <c r="E9605" s="59"/>
    </row>
    <row r="9606" spans="3:5" x14ac:dyDescent="0.15">
      <c r="C9606" s="255" t="s">
        <v>827</v>
      </c>
      <c r="D9606" s="59">
        <v>5.4</v>
      </c>
      <c r="E9606" s="59"/>
    </row>
    <row r="9607" spans="3:5" x14ac:dyDescent="0.15">
      <c r="C9607" s="255" t="s">
        <v>828</v>
      </c>
      <c r="D9607" s="59">
        <v>1570.3</v>
      </c>
      <c r="E9607" s="59"/>
    </row>
    <row r="9608" spans="3:5" x14ac:dyDescent="0.15">
      <c r="C9608" s="255" t="s">
        <v>829</v>
      </c>
      <c r="D9608" s="59">
        <v>4</v>
      </c>
      <c r="E9608" s="59"/>
    </row>
    <row r="9609" spans="3:5" x14ac:dyDescent="0.15">
      <c r="C9609" s="255" t="s">
        <v>830</v>
      </c>
      <c r="D9609" s="59">
        <v>342.5</v>
      </c>
      <c r="E9609" s="59"/>
    </row>
    <row r="9610" spans="3:5" x14ac:dyDescent="0.15">
      <c r="C9610" s="255" t="s">
        <v>831</v>
      </c>
      <c r="D9610" s="59">
        <v>0</v>
      </c>
      <c r="E9610" s="59"/>
    </row>
    <row r="9611" spans="3:5" x14ac:dyDescent="0.15">
      <c r="C9611" s="255" t="s">
        <v>832</v>
      </c>
      <c r="D9611" s="59">
        <v>12883.9</v>
      </c>
      <c r="E9611" s="59"/>
    </row>
    <row r="9612" spans="3:5" x14ac:dyDescent="0.15">
      <c r="C9612" s="255" t="s">
        <v>833</v>
      </c>
      <c r="D9612" s="59">
        <v>51</v>
      </c>
      <c r="E9612" s="59"/>
    </row>
    <row r="9613" spans="3:5" x14ac:dyDescent="0.15">
      <c r="C9613" s="255" t="s">
        <v>834</v>
      </c>
      <c r="D9613" s="59">
        <v>2697.5</v>
      </c>
      <c r="E9613" s="59"/>
    </row>
    <row r="9614" spans="3:5" x14ac:dyDescent="0.15">
      <c r="C9614" s="255" t="s">
        <v>835</v>
      </c>
      <c r="D9614" s="59">
        <v>5502</v>
      </c>
      <c r="E9614" s="59"/>
    </row>
    <row r="9615" spans="3:5" x14ac:dyDescent="0.15">
      <c r="C9615" s="255" t="s">
        <v>836</v>
      </c>
      <c r="D9615" s="59">
        <v>1547.2</v>
      </c>
      <c r="E9615" s="59"/>
    </row>
    <row r="9616" spans="3:5" x14ac:dyDescent="0.15">
      <c r="C9616" s="255" t="s">
        <v>837</v>
      </c>
      <c r="D9616" s="59">
        <v>415.1</v>
      </c>
      <c r="E9616" s="59"/>
    </row>
    <row r="9617" spans="3:5" x14ac:dyDescent="0.15">
      <c r="C9617" s="255" t="s">
        <v>838</v>
      </c>
      <c r="D9617" s="59">
        <v>233.1</v>
      </c>
      <c r="E9617" s="59"/>
    </row>
    <row r="9618" spans="3:5" x14ac:dyDescent="0.15">
      <c r="C9618" s="255" t="s">
        <v>839</v>
      </c>
      <c r="D9618" s="59">
        <v>174.3</v>
      </c>
      <c r="E9618" s="59"/>
    </row>
    <row r="9619" spans="3:5" x14ac:dyDescent="0.15">
      <c r="C9619" s="255" t="s">
        <v>840</v>
      </c>
      <c r="D9619" s="59">
        <v>13.1</v>
      </c>
      <c r="E9619" s="59"/>
    </row>
    <row r="9620" spans="3:5" x14ac:dyDescent="0.15">
      <c r="C9620" s="255" t="s">
        <v>841</v>
      </c>
      <c r="D9620" s="59">
        <v>693.7</v>
      </c>
      <c r="E9620" s="59"/>
    </row>
    <row r="9621" spans="3:5" x14ac:dyDescent="0.15">
      <c r="C9621" s="255" t="s">
        <v>842</v>
      </c>
      <c r="D9621" s="59">
        <v>1271.5999999999999</v>
      </c>
      <c r="E9621" s="59"/>
    </row>
    <row r="9622" spans="3:5" x14ac:dyDescent="0.15">
      <c r="C9622" s="255" t="s">
        <v>843</v>
      </c>
      <c r="D9622" s="59">
        <v>258.10000000000002</v>
      </c>
      <c r="E9622" s="59"/>
    </row>
    <row r="9623" spans="3:5" x14ac:dyDescent="0.15">
      <c r="C9623" s="255" t="s">
        <v>844</v>
      </c>
      <c r="D9623" s="59">
        <v>27.3</v>
      </c>
      <c r="E9623" s="59"/>
    </row>
    <row r="9624" spans="3:5" x14ac:dyDescent="0.15">
      <c r="C9624" s="255" t="s">
        <v>845</v>
      </c>
      <c r="D9624" s="59">
        <v>116301.4</v>
      </c>
      <c r="E9624" s="59"/>
    </row>
    <row r="9625" spans="3:5" x14ac:dyDescent="0.15">
      <c r="C9625" s="255" t="s">
        <v>846</v>
      </c>
      <c r="D9625" s="59">
        <v>33400.1</v>
      </c>
      <c r="E9625" s="59"/>
    </row>
    <row r="9626" spans="3:5" x14ac:dyDescent="0.15">
      <c r="C9626" s="255" t="s">
        <v>847</v>
      </c>
      <c r="D9626" s="59">
        <v>130.30000000000001</v>
      </c>
      <c r="E9626" s="59"/>
    </row>
    <row r="9627" spans="3:5" x14ac:dyDescent="0.15">
      <c r="C9627" s="255" t="s">
        <v>848</v>
      </c>
      <c r="D9627" s="59">
        <v>42344.3</v>
      </c>
      <c r="E9627" s="59"/>
    </row>
    <row r="9628" spans="3:5" x14ac:dyDescent="0.15">
      <c r="C9628" s="255" t="s">
        <v>849</v>
      </c>
      <c r="D9628" s="59">
        <v>3422</v>
      </c>
      <c r="E9628" s="59"/>
    </row>
    <row r="9629" spans="3:5" x14ac:dyDescent="0.15">
      <c r="C9629" s="255" t="s">
        <v>850</v>
      </c>
      <c r="D9629" s="59">
        <v>1812.2</v>
      </c>
      <c r="E9629" s="59"/>
    </row>
    <row r="9630" spans="3:5" x14ac:dyDescent="0.15">
      <c r="C9630" s="255" t="s">
        <v>851</v>
      </c>
      <c r="D9630" s="59">
        <v>0</v>
      </c>
      <c r="E9630" s="59"/>
    </row>
    <row r="9631" spans="3:5" x14ac:dyDescent="0.15">
      <c r="C9631" s="255" t="s">
        <v>852</v>
      </c>
      <c r="D9631" s="59">
        <v>0</v>
      </c>
      <c r="E9631" s="59"/>
    </row>
    <row r="9632" spans="3:5" x14ac:dyDescent="0.15">
      <c r="C9632" s="255" t="s">
        <v>853</v>
      </c>
      <c r="D9632" s="59">
        <v>288.5</v>
      </c>
      <c r="E9632" s="59"/>
    </row>
    <row r="9633" spans="3:5" x14ac:dyDescent="0.15">
      <c r="C9633" s="255" t="s">
        <v>854</v>
      </c>
      <c r="D9633" s="59">
        <v>0</v>
      </c>
      <c r="E9633" s="59"/>
    </row>
    <row r="9634" spans="3:5" x14ac:dyDescent="0.15">
      <c r="C9634" s="255" t="s">
        <v>855</v>
      </c>
      <c r="D9634" s="59">
        <v>182.1</v>
      </c>
      <c r="E9634" s="59"/>
    </row>
    <row r="9635" spans="3:5" x14ac:dyDescent="0.15">
      <c r="C9635" s="255" t="s">
        <v>856</v>
      </c>
      <c r="D9635" s="59">
        <v>2418.8000000000002</v>
      </c>
      <c r="E9635" s="59"/>
    </row>
    <row r="9636" spans="3:5" x14ac:dyDescent="0.15">
      <c r="C9636" s="255" t="s">
        <v>857</v>
      </c>
      <c r="D9636" s="59">
        <v>2343.9</v>
      </c>
      <c r="E9636" s="59"/>
    </row>
    <row r="9637" spans="3:5" x14ac:dyDescent="0.15">
      <c r="C9637" s="255" t="s">
        <v>858</v>
      </c>
      <c r="D9637" s="59">
        <v>2702.5</v>
      </c>
      <c r="E9637" s="59"/>
    </row>
    <row r="9638" spans="3:5" x14ac:dyDescent="0.15">
      <c r="C9638" s="255" t="s">
        <v>859</v>
      </c>
      <c r="D9638" s="59">
        <v>1740.7</v>
      </c>
      <c r="E9638" s="59"/>
    </row>
    <row r="9639" spans="3:5" x14ac:dyDescent="0.15">
      <c r="C9639" s="255" t="s">
        <v>860</v>
      </c>
      <c r="D9639" s="59">
        <v>282.39999999999998</v>
      </c>
      <c r="E9639" s="59"/>
    </row>
    <row r="9640" spans="3:5" x14ac:dyDescent="0.15">
      <c r="C9640" s="255" t="s">
        <v>861</v>
      </c>
      <c r="D9640" s="59">
        <v>3363.9</v>
      </c>
      <c r="E9640" s="59"/>
    </row>
    <row r="9641" spans="3:5" x14ac:dyDescent="0.15">
      <c r="C9641" s="255" t="s">
        <v>862</v>
      </c>
      <c r="D9641" s="59">
        <v>7400.8</v>
      </c>
      <c r="E9641" s="59"/>
    </row>
    <row r="9642" spans="3:5" x14ac:dyDescent="0.15">
      <c r="C9642" s="255" t="s">
        <v>863</v>
      </c>
      <c r="D9642" s="59">
        <v>2401.6</v>
      </c>
      <c r="E9642" s="59"/>
    </row>
    <row r="9643" spans="3:5" x14ac:dyDescent="0.15">
      <c r="C9643" s="255" t="s">
        <v>864</v>
      </c>
      <c r="D9643" s="59">
        <v>90.9</v>
      </c>
      <c r="E9643" s="59"/>
    </row>
    <row r="9644" spans="3:5" x14ac:dyDescent="0.15">
      <c r="C9644" s="255" t="s">
        <v>865</v>
      </c>
      <c r="D9644" s="59">
        <v>347.6</v>
      </c>
      <c r="E9644" s="59"/>
    </row>
    <row r="9645" spans="3:5" x14ac:dyDescent="0.15">
      <c r="C9645" s="255" t="s">
        <v>866</v>
      </c>
      <c r="D9645" s="59">
        <v>45.1</v>
      </c>
      <c r="E9645" s="59"/>
    </row>
    <row r="9646" spans="3:5" x14ac:dyDescent="0.15">
      <c r="C9646" s="255" t="s">
        <v>867</v>
      </c>
      <c r="D9646" s="59">
        <v>868.3</v>
      </c>
      <c r="E9646" s="59"/>
    </row>
    <row r="9647" spans="3:5" x14ac:dyDescent="0.15">
      <c r="C9647" s="255" t="s">
        <v>868</v>
      </c>
      <c r="D9647" s="59">
        <v>10715.2</v>
      </c>
      <c r="E9647" s="59"/>
    </row>
    <row r="9648" spans="3:5" x14ac:dyDescent="0.15">
      <c r="C9648" s="255" t="s">
        <v>869</v>
      </c>
      <c r="D9648" s="59">
        <v>17586.099999999999</v>
      </c>
      <c r="E9648" s="59"/>
    </row>
    <row r="9649" spans="3:5" x14ac:dyDescent="0.15">
      <c r="C9649" s="255" t="s">
        <v>870</v>
      </c>
      <c r="D9649" s="59">
        <v>5292.6</v>
      </c>
      <c r="E9649" s="59"/>
    </row>
    <row r="9650" spans="3:5" x14ac:dyDescent="0.15">
      <c r="C9650" s="255" t="s">
        <v>871</v>
      </c>
      <c r="D9650" s="59">
        <v>373.6</v>
      </c>
      <c r="E9650" s="59"/>
    </row>
    <row r="9651" spans="3:5" x14ac:dyDescent="0.15">
      <c r="C9651" s="255" t="s">
        <v>872</v>
      </c>
      <c r="D9651" s="59">
        <v>351.5</v>
      </c>
      <c r="E9651" s="59"/>
    </row>
    <row r="9652" spans="3:5" x14ac:dyDescent="0.15">
      <c r="C9652" s="255" t="s">
        <v>873</v>
      </c>
      <c r="D9652" s="59">
        <v>985.3</v>
      </c>
      <c r="E9652" s="59"/>
    </row>
    <row r="9653" spans="3:5" x14ac:dyDescent="0.15">
      <c r="C9653" s="255" t="s">
        <v>874</v>
      </c>
      <c r="D9653" s="59">
        <v>469.9</v>
      </c>
      <c r="E9653" s="59"/>
    </row>
    <row r="9654" spans="3:5" x14ac:dyDescent="0.15">
      <c r="C9654" s="255" t="s">
        <v>875</v>
      </c>
      <c r="D9654" s="59">
        <v>18</v>
      </c>
      <c r="E9654" s="59"/>
    </row>
    <row r="9655" spans="3:5" x14ac:dyDescent="0.15">
      <c r="C9655" s="255" t="s">
        <v>876</v>
      </c>
      <c r="D9655" s="59">
        <v>35.200000000000003</v>
      </c>
      <c r="E9655" s="59"/>
    </row>
    <row r="9656" spans="3:5" x14ac:dyDescent="0.15">
      <c r="C9656" s="255" t="s">
        <v>877</v>
      </c>
      <c r="D9656" s="59">
        <v>3</v>
      </c>
      <c r="E9656" s="59"/>
    </row>
    <row r="9657" spans="3:5" x14ac:dyDescent="0.15">
      <c r="C9657" s="255" t="s">
        <v>878</v>
      </c>
      <c r="D9657" s="59">
        <v>49.4</v>
      </c>
      <c r="E9657" s="59"/>
    </row>
    <row r="9658" spans="3:5" x14ac:dyDescent="0.15">
      <c r="C9658" s="255" t="s">
        <v>879</v>
      </c>
      <c r="D9658" s="59">
        <v>939.1</v>
      </c>
      <c r="E9658" s="59"/>
    </row>
    <row r="9659" spans="3:5" x14ac:dyDescent="0.15">
      <c r="C9659" s="255" t="s">
        <v>880</v>
      </c>
      <c r="D9659" s="59">
        <v>71</v>
      </c>
      <c r="E9659" s="59"/>
    </row>
    <row r="9660" spans="3:5" x14ac:dyDescent="0.15">
      <c r="C9660" s="255" t="s">
        <v>881</v>
      </c>
      <c r="D9660" s="59">
        <v>0</v>
      </c>
      <c r="E9660" s="59"/>
    </row>
    <row r="9661" spans="3:5" x14ac:dyDescent="0.15">
      <c r="C9661" s="255" t="s">
        <v>882</v>
      </c>
      <c r="D9661" s="59">
        <v>162.69999999999999</v>
      </c>
      <c r="E9661" s="59"/>
    </row>
    <row r="9662" spans="3:5" x14ac:dyDescent="0.15">
      <c r="C9662" s="255" t="s">
        <v>883</v>
      </c>
      <c r="D9662" s="59">
        <v>498.6</v>
      </c>
      <c r="E9662" s="59"/>
    </row>
    <row r="9663" spans="3:5" x14ac:dyDescent="0.15">
      <c r="C9663" s="255" t="s">
        <v>884</v>
      </c>
      <c r="D9663" s="59">
        <v>832.5</v>
      </c>
      <c r="E9663" s="59"/>
    </row>
    <row r="9664" spans="3:5" x14ac:dyDescent="0.15">
      <c r="C9664" s="255" t="s">
        <v>885</v>
      </c>
      <c r="D9664" s="59">
        <v>385.3</v>
      </c>
      <c r="E9664" s="59"/>
    </row>
    <row r="9665" spans="3:5" x14ac:dyDescent="0.15">
      <c r="C9665" s="255" t="s">
        <v>886</v>
      </c>
      <c r="D9665" s="59">
        <v>104.6</v>
      </c>
      <c r="E9665" s="59"/>
    </row>
    <row r="9666" spans="3:5" x14ac:dyDescent="0.15">
      <c r="C9666" s="255" t="s">
        <v>887</v>
      </c>
      <c r="D9666" s="59">
        <v>141.1</v>
      </c>
      <c r="E9666" s="59"/>
    </row>
    <row r="9667" spans="3:5" x14ac:dyDescent="0.15">
      <c r="C9667" s="255" t="s">
        <v>888</v>
      </c>
      <c r="D9667" s="59">
        <v>79.7</v>
      </c>
      <c r="E9667" s="59"/>
    </row>
    <row r="9668" spans="3:5" x14ac:dyDescent="0.15">
      <c r="C9668" s="255" t="s">
        <v>889</v>
      </c>
      <c r="D9668" s="59">
        <v>182.7</v>
      </c>
      <c r="E9668" s="59"/>
    </row>
    <row r="9669" spans="3:5" x14ac:dyDescent="0.15">
      <c r="C9669" s="255" t="s">
        <v>890</v>
      </c>
      <c r="D9669" s="59">
        <v>68.2</v>
      </c>
      <c r="E9669" s="59"/>
    </row>
    <row r="9670" spans="3:5" x14ac:dyDescent="0.15">
      <c r="C9670" s="255" t="s">
        <v>891</v>
      </c>
      <c r="D9670" s="59">
        <v>41.3</v>
      </c>
      <c r="E9670" s="59"/>
    </row>
    <row r="9671" spans="3:5" x14ac:dyDescent="0.15">
      <c r="C9671" s="255" t="s">
        <v>892</v>
      </c>
      <c r="D9671" s="59">
        <v>8.1</v>
      </c>
      <c r="E9671" s="59"/>
    </row>
    <row r="9672" spans="3:5" x14ac:dyDescent="0.15">
      <c r="C9672" s="255" t="s">
        <v>893</v>
      </c>
      <c r="D9672" s="59">
        <v>74.3</v>
      </c>
      <c r="E9672" s="59"/>
    </row>
    <row r="9673" spans="3:5" x14ac:dyDescent="0.15">
      <c r="C9673" s="255" t="s">
        <v>894</v>
      </c>
      <c r="D9673" s="59">
        <v>45.7</v>
      </c>
      <c r="E9673" s="59"/>
    </row>
    <row r="9674" spans="3:5" x14ac:dyDescent="0.15">
      <c r="C9674" s="255" t="s">
        <v>895</v>
      </c>
      <c r="D9674" s="59">
        <v>342.3</v>
      </c>
      <c r="E9674" s="59"/>
    </row>
    <row r="9675" spans="3:5" x14ac:dyDescent="0.15">
      <c r="C9675" s="255" t="s">
        <v>896</v>
      </c>
      <c r="D9675" s="59">
        <v>115.5</v>
      </c>
      <c r="E9675" s="59"/>
    </row>
    <row r="9676" spans="3:5" x14ac:dyDescent="0.15">
      <c r="C9676" s="255" t="s">
        <v>897</v>
      </c>
      <c r="D9676" s="59">
        <v>1064.2</v>
      </c>
      <c r="E9676" s="59"/>
    </row>
    <row r="9677" spans="3:5" x14ac:dyDescent="0.15">
      <c r="C9677" s="255" t="s">
        <v>898</v>
      </c>
      <c r="D9677" s="59">
        <v>191.5</v>
      </c>
      <c r="E9677" s="59"/>
    </row>
    <row r="9678" spans="3:5" x14ac:dyDescent="0.15">
      <c r="C9678" s="255" t="s">
        <v>899</v>
      </c>
      <c r="D9678" s="59">
        <v>71.900000000000006</v>
      </c>
      <c r="E9678" s="59"/>
    </row>
    <row r="9679" spans="3:5" x14ac:dyDescent="0.15">
      <c r="C9679" s="255" t="s">
        <v>900</v>
      </c>
      <c r="D9679" s="59">
        <v>334.7</v>
      </c>
      <c r="E9679" s="59"/>
    </row>
    <row r="9680" spans="3:5" x14ac:dyDescent="0.15">
      <c r="C9680" s="255" t="s">
        <v>901</v>
      </c>
      <c r="D9680" s="59">
        <v>801.8</v>
      </c>
      <c r="E9680" s="59"/>
    </row>
    <row r="9681" spans="3:5" x14ac:dyDescent="0.15">
      <c r="C9681" s="255" t="s">
        <v>902</v>
      </c>
      <c r="D9681" s="59">
        <v>0.3</v>
      </c>
      <c r="E9681" s="59"/>
    </row>
    <row r="9682" spans="3:5" x14ac:dyDescent="0.15">
      <c r="C9682" s="255" t="s">
        <v>903</v>
      </c>
      <c r="D9682" s="59">
        <v>889.7</v>
      </c>
      <c r="E9682" s="59"/>
    </row>
    <row r="9683" spans="3:5" x14ac:dyDescent="0.15">
      <c r="C9683" s="255" t="s">
        <v>904</v>
      </c>
      <c r="D9683" s="59">
        <v>1224.9000000000001</v>
      </c>
      <c r="E9683" s="59"/>
    </row>
    <row r="9684" spans="3:5" x14ac:dyDescent="0.15">
      <c r="C9684" s="255" t="s">
        <v>905</v>
      </c>
      <c r="D9684" s="59">
        <v>362.5</v>
      </c>
      <c r="E9684" s="59"/>
    </row>
    <row r="9685" spans="3:5" x14ac:dyDescent="0.15">
      <c r="C9685" s="255" t="s">
        <v>906</v>
      </c>
      <c r="D9685" s="59">
        <v>70.7</v>
      </c>
      <c r="E9685" s="59"/>
    </row>
    <row r="9686" spans="3:5" x14ac:dyDescent="0.15">
      <c r="C9686" s="255" t="s">
        <v>907</v>
      </c>
      <c r="D9686" s="59">
        <v>902.6</v>
      </c>
      <c r="E9686" s="59"/>
    </row>
    <row r="9687" spans="3:5" x14ac:dyDescent="0.15">
      <c r="C9687" s="255" t="s">
        <v>908</v>
      </c>
      <c r="D9687" s="59">
        <v>8532</v>
      </c>
      <c r="E9687" s="59"/>
    </row>
    <row r="9688" spans="3:5" x14ac:dyDescent="0.15">
      <c r="C9688" s="255" t="s">
        <v>909</v>
      </c>
      <c r="D9688" s="59">
        <v>2318.6</v>
      </c>
      <c r="E9688" s="59"/>
    </row>
    <row r="9689" spans="3:5" x14ac:dyDescent="0.15">
      <c r="C9689" s="255" t="s">
        <v>910</v>
      </c>
      <c r="D9689" s="59">
        <v>7.5</v>
      </c>
      <c r="E9689" s="59"/>
    </row>
    <row r="9690" spans="3:5" x14ac:dyDescent="0.15">
      <c r="C9690" s="255" t="s">
        <v>911</v>
      </c>
      <c r="D9690" s="59">
        <v>141.19999999999999</v>
      </c>
      <c r="E9690" s="59"/>
    </row>
    <row r="9691" spans="3:5" x14ac:dyDescent="0.15">
      <c r="C9691" s="255" t="s">
        <v>912</v>
      </c>
      <c r="D9691" s="59">
        <v>584.9</v>
      </c>
      <c r="E9691" s="59"/>
    </row>
    <row r="9692" spans="3:5" x14ac:dyDescent="0.15">
      <c r="C9692" s="255" t="s">
        <v>913</v>
      </c>
      <c r="D9692" s="59">
        <v>0</v>
      </c>
      <c r="E9692" s="59"/>
    </row>
    <row r="9693" spans="3:5" x14ac:dyDescent="0.15">
      <c r="C9693" s="255" t="s">
        <v>914</v>
      </c>
      <c r="D9693" s="59">
        <v>0</v>
      </c>
      <c r="E9693" s="59"/>
    </row>
    <row r="9694" spans="3:5" x14ac:dyDescent="0.15">
      <c r="C9694" s="255" t="s">
        <v>915</v>
      </c>
      <c r="D9694" s="59">
        <v>88</v>
      </c>
      <c r="E9694" s="59"/>
    </row>
    <row r="9695" spans="3:5" x14ac:dyDescent="0.15">
      <c r="C9695" s="255" t="s">
        <v>916</v>
      </c>
      <c r="D9695" s="59">
        <v>405.6</v>
      </c>
      <c r="E9695" s="59"/>
    </row>
    <row r="9696" spans="3:5" x14ac:dyDescent="0.15">
      <c r="C9696" s="255" t="s">
        <v>917</v>
      </c>
      <c r="D9696" s="59">
        <v>282.89999999999998</v>
      </c>
      <c r="E9696" s="59"/>
    </row>
    <row r="9697" spans="3:5" x14ac:dyDescent="0.15">
      <c r="C9697" s="255" t="s">
        <v>918</v>
      </c>
      <c r="D9697" s="59">
        <v>3174.5</v>
      </c>
      <c r="E9697" s="59"/>
    </row>
    <row r="9698" spans="3:5" x14ac:dyDescent="0.15">
      <c r="C9698" s="255" t="s">
        <v>919</v>
      </c>
      <c r="D9698" s="59">
        <v>2.6</v>
      </c>
      <c r="E9698" s="59"/>
    </row>
    <row r="9699" spans="3:5" x14ac:dyDescent="0.15">
      <c r="C9699" s="255" t="s">
        <v>920</v>
      </c>
      <c r="D9699" s="59">
        <v>1526</v>
      </c>
      <c r="E9699" s="59"/>
    </row>
    <row r="9700" spans="3:5" x14ac:dyDescent="0.15">
      <c r="C9700" s="255" t="s">
        <v>921</v>
      </c>
      <c r="D9700" s="59">
        <v>0</v>
      </c>
      <c r="E9700" s="59"/>
    </row>
    <row r="9701" spans="3:5" x14ac:dyDescent="0.15">
      <c r="C9701" s="255" t="s">
        <v>922</v>
      </c>
      <c r="D9701" s="59">
        <v>40299.4</v>
      </c>
      <c r="E9701" s="59"/>
    </row>
    <row r="9702" spans="3:5" x14ac:dyDescent="0.15">
      <c r="C9702" s="255" t="s">
        <v>923</v>
      </c>
      <c r="D9702" s="59">
        <v>9999.7999999999993</v>
      </c>
      <c r="E9702" s="59"/>
    </row>
    <row r="9703" spans="3:5" x14ac:dyDescent="0.15">
      <c r="C9703" s="255" t="s">
        <v>924</v>
      </c>
      <c r="D9703" s="59">
        <v>2573.5</v>
      </c>
      <c r="E9703" s="59"/>
    </row>
    <row r="9704" spans="3:5" x14ac:dyDescent="0.15">
      <c r="C9704" s="255" t="s">
        <v>925</v>
      </c>
      <c r="D9704" s="59">
        <v>59.4</v>
      </c>
      <c r="E9704" s="59"/>
    </row>
    <row r="9705" spans="3:5" x14ac:dyDescent="0.15">
      <c r="C9705" s="255" t="s">
        <v>926</v>
      </c>
      <c r="D9705" s="59">
        <v>1210.9000000000001</v>
      </c>
      <c r="E9705" s="59"/>
    </row>
    <row r="9706" spans="3:5" x14ac:dyDescent="0.15">
      <c r="C9706" s="255" t="s">
        <v>927</v>
      </c>
      <c r="D9706" s="59">
        <v>302.39999999999998</v>
      </c>
      <c r="E9706" s="59"/>
    </row>
    <row r="9707" spans="3:5" x14ac:dyDescent="0.15">
      <c r="C9707" s="255" t="s">
        <v>928</v>
      </c>
      <c r="D9707" s="59">
        <v>902</v>
      </c>
      <c r="E9707" s="59"/>
    </row>
    <row r="9708" spans="3:5" x14ac:dyDescent="0.15">
      <c r="C9708" s="255" t="s">
        <v>929</v>
      </c>
      <c r="D9708" s="59">
        <v>256.10000000000002</v>
      </c>
      <c r="E9708" s="59"/>
    </row>
    <row r="9709" spans="3:5" x14ac:dyDescent="0.15">
      <c r="C9709" s="255" t="s">
        <v>930</v>
      </c>
      <c r="D9709" s="59">
        <v>1000.8</v>
      </c>
      <c r="E9709" s="59"/>
    </row>
    <row r="9710" spans="3:5" x14ac:dyDescent="0.15">
      <c r="C9710" s="255" t="s">
        <v>931</v>
      </c>
      <c r="D9710" s="59">
        <v>4627.2</v>
      </c>
      <c r="E9710" s="59"/>
    </row>
    <row r="9711" spans="3:5" x14ac:dyDescent="0.15">
      <c r="C9711" s="255" t="s">
        <v>932</v>
      </c>
      <c r="D9711" s="59">
        <v>0</v>
      </c>
      <c r="E9711" s="59"/>
    </row>
    <row r="9712" spans="3:5" x14ac:dyDescent="0.15">
      <c r="C9712" s="255" t="s">
        <v>933</v>
      </c>
      <c r="D9712" s="59">
        <v>31.4</v>
      </c>
      <c r="E9712" s="59"/>
    </row>
    <row r="9713" spans="3:5" x14ac:dyDescent="0.15">
      <c r="C9713" s="255" t="s">
        <v>934</v>
      </c>
      <c r="D9713" s="59">
        <v>4760.7</v>
      </c>
      <c r="E9713" s="59"/>
    </row>
    <row r="9714" spans="3:5" x14ac:dyDescent="0.15">
      <c r="C9714" s="255" t="s">
        <v>935</v>
      </c>
      <c r="D9714" s="59">
        <v>3296.6</v>
      </c>
      <c r="E9714" s="59"/>
    </row>
    <row r="9715" spans="3:5" x14ac:dyDescent="0.15">
      <c r="C9715" s="255" t="s">
        <v>936</v>
      </c>
      <c r="D9715" s="59">
        <v>3096.6</v>
      </c>
      <c r="E9715" s="59"/>
    </row>
    <row r="9716" spans="3:5" x14ac:dyDescent="0.15">
      <c r="C9716" s="255" t="s">
        <v>937</v>
      </c>
      <c r="D9716" s="59">
        <v>700.5</v>
      </c>
      <c r="E9716" s="59"/>
    </row>
    <row r="9717" spans="3:5" x14ac:dyDescent="0.15">
      <c r="C9717" s="255" t="s">
        <v>938</v>
      </c>
      <c r="D9717" s="59">
        <v>359.7</v>
      </c>
      <c r="E9717" s="59"/>
    </row>
    <row r="9718" spans="3:5" x14ac:dyDescent="0.15">
      <c r="C9718" s="255" t="s">
        <v>939</v>
      </c>
      <c r="D9718" s="59">
        <v>13.4</v>
      </c>
      <c r="E9718" s="59"/>
    </row>
    <row r="9719" spans="3:5" x14ac:dyDescent="0.15">
      <c r="C9719" s="255" t="s">
        <v>940</v>
      </c>
      <c r="D9719" s="59">
        <v>159.80000000000001</v>
      </c>
      <c r="E9719" s="59"/>
    </row>
    <row r="9720" spans="3:5" x14ac:dyDescent="0.15">
      <c r="C9720" s="255" t="s">
        <v>941</v>
      </c>
      <c r="D9720" s="59">
        <v>584.29999999999995</v>
      </c>
      <c r="E9720" s="59"/>
    </row>
    <row r="9721" spans="3:5" x14ac:dyDescent="0.15">
      <c r="C9721" s="255" t="s">
        <v>942</v>
      </c>
      <c r="D9721" s="59">
        <v>0</v>
      </c>
      <c r="E9721" s="59"/>
    </row>
    <row r="9722" spans="3:5" x14ac:dyDescent="0.15">
      <c r="C9722" s="255" t="s">
        <v>943</v>
      </c>
      <c r="D9722" s="59">
        <v>2526.5</v>
      </c>
      <c r="E9722" s="59"/>
    </row>
    <row r="9723" spans="3:5" x14ac:dyDescent="0.15">
      <c r="C9723" s="255" t="s">
        <v>944</v>
      </c>
      <c r="D9723" s="59">
        <v>649.79999999999995</v>
      </c>
      <c r="E9723" s="59"/>
    </row>
    <row r="9724" spans="3:5" x14ac:dyDescent="0.15">
      <c r="C9724" s="255" t="s">
        <v>945</v>
      </c>
      <c r="D9724" s="59">
        <v>3115.3</v>
      </c>
      <c r="E9724" s="59"/>
    </row>
    <row r="9725" spans="3:5" x14ac:dyDescent="0.15">
      <c r="C9725" s="255" t="s">
        <v>946</v>
      </c>
      <c r="D9725" s="59">
        <v>46.5</v>
      </c>
      <c r="E9725" s="59"/>
    </row>
    <row r="9726" spans="3:5" x14ac:dyDescent="0.15">
      <c r="C9726" s="255" t="s">
        <v>947</v>
      </c>
      <c r="D9726" s="59">
        <v>26.2</v>
      </c>
      <c r="E9726" s="59"/>
    </row>
    <row r="9727" spans="3:5" x14ac:dyDescent="0.15">
      <c r="C9727" s="255" t="s">
        <v>948</v>
      </c>
      <c r="D9727" s="59">
        <v>8710.7999999999993</v>
      </c>
      <c r="E9727" s="59"/>
    </row>
    <row r="9728" spans="3:5" x14ac:dyDescent="0.15">
      <c r="C9728" s="255" t="s">
        <v>949</v>
      </c>
      <c r="D9728" s="59">
        <v>216.3</v>
      </c>
      <c r="E9728" s="59"/>
    </row>
    <row r="9729" spans="3:5" x14ac:dyDescent="0.15">
      <c r="C9729" s="255" t="s">
        <v>950</v>
      </c>
      <c r="D9729" s="59">
        <v>1.2</v>
      </c>
      <c r="E9729" s="59"/>
    </row>
    <row r="9730" spans="3:5" x14ac:dyDescent="0.15">
      <c r="C9730" s="255" t="s">
        <v>951</v>
      </c>
      <c r="D9730" s="59">
        <v>1596.8</v>
      </c>
      <c r="E9730" s="59"/>
    </row>
    <row r="9731" spans="3:5" x14ac:dyDescent="0.15">
      <c r="C9731" s="255" t="s">
        <v>952</v>
      </c>
      <c r="D9731" s="59">
        <v>26.5</v>
      </c>
      <c r="E9731" s="59"/>
    </row>
    <row r="9732" spans="3:5" x14ac:dyDescent="0.15">
      <c r="C9732" s="255" t="s">
        <v>953</v>
      </c>
      <c r="D9732" s="59">
        <v>227.9</v>
      </c>
      <c r="E9732" s="59"/>
    </row>
    <row r="9733" spans="3:5" x14ac:dyDescent="0.15">
      <c r="C9733" s="255" t="s">
        <v>954</v>
      </c>
      <c r="D9733" s="59">
        <v>2664.2</v>
      </c>
      <c r="E9733" s="59"/>
    </row>
    <row r="9734" spans="3:5" x14ac:dyDescent="0.15">
      <c r="C9734" s="255" t="s">
        <v>955</v>
      </c>
      <c r="D9734" s="59">
        <v>1552.4</v>
      </c>
      <c r="E9734" s="59"/>
    </row>
    <row r="9735" spans="3:5" x14ac:dyDescent="0.15">
      <c r="C9735" s="255" t="s">
        <v>956</v>
      </c>
      <c r="D9735" s="59">
        <v>2425.4</v>
      </c>
      <c r="E9735" s="59"/>
    </row>
    <row r="9736" spans="3:5" x14ac:dyDescent="0.15">
      <c r="C9736" s="255" t="s">
        <v>957</v>
      </c>
      <c r="D9736" s="59">
        <v>32402.6</v>
      </c>
      <c r="E9736" s="59"/>
    </row>
    <row r="9737" spans="3:5" x14ac:dyDescent="0.15">
      <c r="C9737" s="255" t="s">
        <v>958</v>
      </c>
      <c r="D9737" s="59">
        <v>136.4</v>
      </c>
      <c r="E9737" s="59"/>
    </row>
    <row r="9738" spans="3:5" x14ac:dyDescent="0.15">
      <c r="C9738" s="255" t="s">
        <v>959</v>
      </c>
      <c r="D9738" s="59">
        <v>1500.9</v>
      </c>
      <c r="E9738" s="59"/>
    </row>
    <row r="9739" spans="3:5" x14ac:dyDescent="0.15">
      <c r="C9739" s="255" t="s">
        <v>960</v>
      </c>
      <c r="D9739" s="59">
        <v>24.1</v>
      </c>
      <c r="E9739" s="59"/>
    </row>
    <row r="9740" spans="3:5" x14ac:dyDescent="0.15">
      <c r="C9740" s="255" t="s">
        <v>961</v>
      </c>
      <c r="D9740" s="59">
        <v>230.6</v>
      </c>
      <c r="E9740" s="59"/>
    </row>
    <row r="9741" spans="3:5" x14ac:dyDescent="0.15">
      <c r="C9741" s="255" t="s">
        <v>962</v>
      </c>
      <c r="D9741" s="59">
        <v>5.9</v>
      </c>
      <c r="E9741" s="59"/>
    </row>
    <row r="9742" spans="3:5" x14ac:dyDescent="0.15">
      <c r="C9742" s="255" t="s">
        <v>963</v>
      </c>
      <c r="D9742" s="59">
        <v>1485.8</v>
      </c>
      <c r="E9742" s="59"/>
    </row>
    <row r="9743" spans="3:5" x14ac:dyDescent="0.15">
      <c r="C9743" s="255" t="s">
        <v>964</v>
      </c>
      <c r="D9743" s="59">
        <v>646.6</v>
      </c>
      <c r="E9743" s="59"/>
    </row>
    <row r="9744" spans="3:5" x14ac:dyDescent="0.15">
      <c r="C9744" s="255" t="s">
        <v>965</v>
      </c>
      <c r="D9744" s="59">
        <v>126.4</v>
      </c>
      <c r="E9744" s="59"/>
    </row>
    <row r="9745" spans="3:5" x14ac:dyDescent="0.15">
      <c r="C9745" s="255" t="s">
        <v>966</v>
      </c>
      <c r="D9745" s="59">
        <v>0.3</v>
      </c>
      <c r="E9745" s="59"/>
    </row>
    <row r="9746" spans="3:5" x14ac:dyDescent="0.15">
      <c r="C9746" s="255" t="s">
        <v>967</v>
      </c>
      <c r="D9746" s="59">
        <v>269.5</v>
      </c>
      <c r="E9746" s="59"/>
    </row>
    <row r="9747" spans="3:5" x14ac:dyDescent="0.15">
      <c r="C9747" s="255" t="s">
        <v>968</v>
      </c>
      <c r="D9747" s="59">
        <v>7.3</v>
      </c>
      <c r="E9747" s="59"/>
    </row>
    <row r="9748" spans="3:5" x14ac:dyDescent="0.15">
      <c r="C9748" s="255" t="s">
        <v>969</v>
      </c>
      <c r="D9748" s="59">
        <v>46.3</v>
      </c>
      <c r="E9748" s="59"/>
    </row>
    <row r="9749" spans="3:5" x14ac:dyDescent="0.15">
      <c r="C9749" s="255" t="s">
        <v>970</v>
      </c>
      <c r="D9749" s="59">
        <v>279</v>
      </c>
      <c r="E9749" s="59"/>
    </row>
    <row r="9750" spans="3:5" x14ac:dyDescent="0.15">
      <c r="C9750" s="255" t="s">
        <v>971</v>
      </c>
      <c r="D9750" s="59">
        <v>179.5</v>
      </c>
      <c r="E9750" s="59"/>
    </row>
    <row r="9751" spans="3:5" x14ac:dyDescent="0.15">
      <c r="C9751" s="255" t="s">
        <v>972</v>
      </c>
      <c r="D9751" s="59">
        <v>49.3</v>
      </c>
      <c r="E9751" s="59"/>
    </row>
    <row r="9752" spans="3:5" x14ac:dyDescent="0.15">
      <c r="C9752" s="255" t="s">
        <v>973</v>
      </c>
      <c r="D9752" s="59">
        <v>80.900000000000006</v>
      </c>
      <c r="E9752" s="59"/>
    </row>
    <row r="9753" spans="3:5" x14ac:dyDescent="0.15">
      <c r="C9753" s="255" t="s">
        <v>974</v>
      </c>
      <c r="D9753" s="59">
        <v>20.399999999999999</v>
      </c>
      <c r="E9753" s="59"/>
    </row>
    <row r="9754" spans="3:5" x14ac:dyDescent="0.15">
      <c r="C9754" s="255" t="s">
        <v>975</v>
      </c>
      <c r="D9754" s="59">
        <v>411.8</v>
      </c>
      <c r="E9754" s="59"/>
    </row>
    <row r="9755" spans="3:5" x14ac:dyDescent="0.15">
      <c r="C9755" s="255" t="s">
        <v>976</v>
      </c>
      <c r="D9755" s="59">
        <v>34.700000000000003</v>
      </c>
      <c r="E9755" s="59"/>
    </row>
    <row r="9756" spans="3:5" x14ac:dyDescent="0.15">
      <c r="C9756" s="255" t="s">
        <v>977</v>
      </c>
      <c r="D9756" s="59">
        <v>620</v>
      </c>
      <c r="E9756" s="59"/>
    </row>
    <row r="9757" spans="3:5" x14ac:dyDescent="0.15">
      <c r="C9757" s="255" t="s">
        <v>978</v>
      </c>
      <c r="D9757" s="59">
        <v>952.8</v>
      </c>
      <c r="E9757" s="59"/>
    </row>
    <row r="9758" spans="3:5" x14ac:dyDescent="0.15">
      <c r="C9758" s="255" t="s">
        <v>979</v>
      </c>
      <c r="D9758" s="59">
        <v>248.7</v>
      </c>
      <c r="E9758" s="59"/>
    </row>
    <row r="9759" spans="3:5" x14ac:dyDescent="0.15">
      <c r="C9759" s="255" t="s">
        <v>980</v>
      </c>
      <c r="D9759" s="59">
        <v>286.5</v>
      </c>
      <c r="E9759" s="59"/>
    </row>
    <row r="9760" spans="3:5" x14ac:dyDescent="0.15">
      <c r="C9760" s="255" t="s">
        <v>981</v>
      </c>
      <c r="D9760" s="59">
        <v>0</v>
      </c>
      <c r="E9760" s="59"/>
    </row>
    <row r="9761" spans="3:5" x14ac:dyDescent="0.15">
      <c r="C9761" s="255" t="s">
        <v>982</v>
      </c>
      <c r="D9761" s="59">
        <v>187.5</v>
      </c>
      <c r="E9761" s="59"/>
    </row>
    <row r="9762" spans="3:5" x14ac:dyDescent="0.15">
      <c r="C9762" s="255" t="s">
        <v>983</v>
      </c>
      <c r="D9762" s="59">
        <v>1574.9</v>
      </c>
      <c r="E9762" s="59"/>
    </row>
    <row r="9763" spans="3:5" x14ac:dyDescent="0.15">
      <c r="C9763" s="255" t="s">
        <v>984</v>
      </c>
      <c r="D9763" s="59">
        <v>60.4</v>
      </c>
      <c r="E9763" s="59"/>
    </row>
    <row r="9764" spans="3:5" x14ac:dyDescent="0.15">
      <c r="C9764" s="255" t="s">
        <v>985</v>
      </c>
      <c r="D9764" s="59">
        <v>945.3</v>
      </c>
      <c r="E9764" s="59"/>
    </row>
    <row r="9765" spans="3:5" x14ac:dyDescent="0.15">
      <c r="C9765" s="255" t="s">
        <v>986</v>
      </c>
      <c r="D9765" s="59">
        <v>496.6</v>
      </c>
      <c r="E9765" s="59"/>
    </row>
    <row r="9766" spans="3:5" x14ac:dyDescent="0.15">
      <c r="C9766" s="255" t="s">
        <v>987</v>
      </c>
      <c r="D9766" s="59">
        <v>376.2</v>
      </c>
      <c r="E9766" s="59"/>
    </row>
    <row r="9767" spans="3:5" x14ac:dyDescent="0.15">
      <c r="C9767" s="255" t="s">
        <v>988</v>
      </c>
      <c r="D9767" s="59">
        <v>2066.5</v>
      </c>
      <c r="E9767" s="59"/>
    </row>
    <row r="9768" spans="3:5" x14ac:dyDescent="0.15">
      <c r="C9768" s="255" t="s">
        <v>989</v>
      </c>
      <c r="D9768" s="59">
        <v>1663.4</v>
      </c>
      <c r="E9768" s="59"/>
    </row>
    <row r="9769" spans="3:5" x14ac:dyDescent="0.15">
      <c r="C9769" s="255" t="s">
        <v>990</v>
      </c>
      <c r="D9769" s="59">
        <v>506.7</v>
      </c>
      <c r="E9769" s="59"/>
    </row>
    <row r="9770" spans="3:5" x14ac:dyDescent="0.15">
      <c r="C9770" s="255" t="s">
        <v>991</v>
      </c>
      <c r="D9770" s="59">
        <v>5939.3</v>
      </c>
      <c r="E9770" s="59"/>
    </row>
    <row r="9771" spans="3:5" x14ac:dyDescent="0.15">
      <c r="C9771" s="255" t="s">
        <v>992</v>
      </c>
      <c r="D9771" s="59">
        <v>16.100000000000001</v>
      </c>
      <c r="E9771" s="59"/>
    </row>
    <row r="9772" spans="3:5" x14ac:dyDescent="0.15">
      <c r="C9772" s="255" t="s">
        <v>993</v>
      </c>
      <c r="D9772" s="59">
        <v>144.19999999999999</v>
      </c>
      <c r="E9772" s="59"/>
    </row>
    <row r="9773" spans="3:5" x14ac:dyDescent="0.15">
      <c r="C9773" s="255" t="s">
        <v>994</v>
      </c>
      <c r="D9773" s="59">
        <v>0</v>
      </c>
      <c r="E9773" s="59"/>
    </row>
    <row r="9774" spans="3:5" x14ac:dyDescent="0.15">
      <c r="C9774" s="255" t="s">
        <v>995</v>
      </c>
      <c r="D9774" s="59">
        <v>952.6</v>
      </c>
      <c r="E9774" s="59"/>
    </row>
    <row r="9775" spans="3:5" x14ac:dyDescent="0.15">
      <c r="C9775" s="255" t="s">
        <v>996</v>
      </c>
      <c r="D9775" s="59">
        <v>423.6</v>
      </c>
      <c r="E9775" s="59"/>
    </row>
    <row r="9776" spans="3:5" x14ac:dyDescent="0.15">
      <c r="C9776" s="255" t="s">
        <v>997</v>
      </c>
      <c r="D9776" s="59">
        <v>282.89999999999998</v>
      </c>
      <c r="E9776" s="59"/>
    </row>
    <row r="9777" spans="3:5" x14ac:dyDescent="0.15">
      <c r="C9777" s="255" t="s">
        <v>998</v>
      </c>
      <c r="D9777" s="59">
        <v>118.6</v>
      </c>
      <c r="E9777" s="59"/>
    </row>
    <row r="9778" spans="3:5" x14ac:dyDescent="0.15">
      <c r="C9778" s="255" t="s">
        <v>999</v>
      </c>
      <c r="D9778" s="59">
        <v>4.2</v>
      </c>
      <c r="E9778" s="59"/>
    </row>
    <row r="9779" spans="3:5" x14ac:dyDescent="0.15">
      <c r="C9779" s="255" t="s">
        <v>1000</v>
      </c>
      <c r="D9779" s="59">
        <v>1041.5</v>
      </c>
      <c r="E9779" s="59"/>
    </row>
    <row r="9780" spans="3:5" x14ac:dyDescent="0.15">
      <c r="C9780" s="255" t="s">
        <v>1001</v>
      </c>
      <c r="D9780" s="59">
        <v>376.6</v>
      </c>
      <c r="E9780" s="59"/>
    </row>
    <row r="9781" spans="3:5" x14ac:dyDescent="0.15">
      <c r="C9781" s="255" t="s">
        <v>1002</v>
      </c>
      <c r="D9781" s="59">
        <v>201</v>
      </c>
      <c r="E9781" s="59"/>
    </row>
    <row r="9782" spans="3:5" x14ac:dyDescent="0.15">
      <c r="C9782" s="255" t="s">
        <v>1003</v>
      </c>
      <c r="D9782" s="59">
        <v>162.19999999999999</v>
      </c>
      <c r="E9782" s="59"/>
    </row>
    <row r="9783" spans="3:5" x14ac:dyDescent="0.15">
      <c r="C9783" s="255" t="s">
        <v>1004</v>
      </c>
      <c r="D9783" s="59">
        <v>119.1</v>
      </c>
      <c r="E9783" s="59"/>
    </row>
    <row r="9784" spans="3:5" x14ac:dyDescent="0.15">
      <c r="C9784" s="255" t="s">
        <v>1005</v>
      </c>
      <c r="D9784" s="59">
        <v>5.2</v>
      </c>
      <c r="E9784" s="59"/>
    </row>
    <row r="9785" spans="3:5" x14ac:dyDescent="0.15">
      <c r="C9785" s="255" t="s">
        <v>1006</v>
      </c>
      <c r="D9785" s="59">
        <v>7094.7</v>
      </c>
      <c r="E9785" s="59"/>
    </row>
    <row r="9786" spans="3:5" x14ac:dyDescent="0.15">
      <c r="C9786" s="255" t="s">
        <v>1007</v>
      </c>
      <c r="D9786" s="59">
        <v>2303.6</v>
      </c>
      <c r="E9786" s="59"/>
    </row>
    <row r="9787" spans="3:5" x14ac:dyDescent="0.15">
      <c r="C9787" s="255" t="s">
        <v>1008</v>
      </c>
      <c r="D9787" s="59">
        <v>856.4</v>
      </c>
      <c r="E9787" s="59"/>
    </row>
    <row r="9788" spans="3:5" x14ac:dyDescent="0.15">
      <c r="C9788" s="255" t="s">
        <v>1009</v>
      </c>
      <c r="D9788" s="59">
        <v>147.30000000000001</v>
      </c>
      <c r="E9788" s="59"/>
    </row>
    <row r="9789" spans="3:5" x14ac:dyDescent="0.15">
      <c r="C9789" s="255" t="s">
        <v>1010</v>
      </c>
      <c r="D9789" s="59">
        <v>335.1</v>
      </c>
      <c r="E9789" s="59"/>
    </row>
    <row r="9790" spans="3:5" x14ac:dyDescent="0.15">
      <c r="C9790" s="255" t="s">
        <v>1011</v>
      </c>
      <c r="D9790" s="59">
        <v>964.8</v>
      </c>
      <c r="E9790" s="59"/>
    </row>
    <row r="9791" spans="3:5" x14ac:dyDescent="0.15">
      <c r="C9791" s="255" t="s">
        <v>1012</v>
      </c>
      <c r="D9791" s="59">
        <v>24075.8</v>
      </c>
      <c r="E9791" s="59"/>
    </row>
    <row r="9792" spans="3:5" x14ac:dyDescent="0.15">
      <c r="C9792" s="255" t="s">
        <v>1013</v>
      </c>
      <c r="D9792" s="59">
        <v>14504.2</v>
      </c>
      <c r="E9792" s="59"/>
    </row>
    <row r="9793" spans="3:5" x14ac:dyDescent="0.15">
      <c r="C9793" s="255" t="s">
        <v>1014</v>
      </c>
      <c r="D9793" s="59">
        <v>3836.1</v>
      </c>
      <c r="E9793" s="59"/>
    </row>
    <row r="9794" spans="3:5" x14ac:dyDescent="0.15">
      <c r="C9794" s="255" t="s">
        <v>1015</v>
      </c>
      <c r="D9794" s="59">
        <v>1016.3</v>
      </c>
      <c r="E9794" s="59"/>
    </row>
    <row r="9795" spans="3:5" x14ac:dyDescent="0.15">
      <c r="C9795" s="255" t="s">
        <v>1016</v>
      </c>
      <c r="D9795" s="59">
        <v>3073</v>
      </c>
      <c r="E9795" s="59"/>
    </row>
    <row r="9796" spans="3:5" x14ac:dyDescent="0.15">
      <c r="C9796" s="255" t="s">
        <v>1017</v>
      </c>
      <c r="D9796" s="59">
        <v>1594.5</v>
      </c>
      <c r="E9796" s="59"/>
    </row>
    <row r="9797" spans="3:5" x14ac:dyDescent="0.15">
      <c r="C9797" s="255" t="s">
        <v>1018</v>
      </c>
      <c r="D9797" s="59">
        <v>51.6</v>
      </c>
      <c r="E9797" s="59"/>
    </row>
    <row r="9798" spans="3:5" x14ac:dyDescent="0.15">
      <c r="C9798" s="255" t="s">
        <v>1019</v>
      </c>
      <c r="D9798" s="59">
        <v>28591.599999999999</v>
      </c>
      <c r="E9798" s="59"/>
    </row>
    <row r="9799" spans="3:5" x14ac:dyDescent="0.15">
      <c r="C9799" s="255" t="s">
        <v>1020</v>
      </c>
      <c r="D9799" s="59">
        <v>583.70000000000005</v>
      </c>
      <c r="E9799" s="59"/>
    </row>
    <row r="9800" spans="3:5" x14ac:dyDescent="0.15">
      <c r="C9800" s="255" t="s">
        <v>1021</v>
      </c>
      <c r="D9800" s="59">
        <v>1631.4</v>
      </c>
      <c r="E9800" s="59"/>
    </row>
    <row r="9801" spans="3:5" x14ac:dyDescent="0.15">
      <c r="C9801" s="255" t="s">
        <v>1022</v>
      </c>
      <c r="D9801" s="59">
        <v>407.8</v>
      </c>
      <c r="E9801" s="59"/>
    </row>
    <row r="9802" spans="3:5" x14ac:dyDescent="0.15">
      <c r="C9802" s="255" t="s">
        <v>1023</v>
      </c>
      <c r="D9802" s="59">
        <v>72.400000000000006</v>
      </c>
      <c r="E9802" s="59"/>
    </row>
    <row r="9803" spans="3:5" x14ac:dyDescent="0.15">
      <c r="C9803" s="255" t="s">
        <v>1024</v>
      </c>
      <c r="D9803" s="59">
        <v>11.4</v>
      </c>
      <c r="E9803" s="59"/>
    </row>
    <row r="9804" spans="3:5" x14ac:dyDescent="0.15">
      <c r="C9804" s="255" t="s">
        <v>1025</v>
      </c>
      <c r="D9804" s="59">
        <v>338</v>
      </c>
      <c r="E9804" s="59"/>
    </row>
    <row r="9805" spans="3:5" x14ac:dyDescent="0.15">
      <c r="C9805" s="255" t="s">
        <v>1026</v>
      </c>
      <c r="D9805" s="59">
        <v>3608.5</v>
      </c>
      <c r="E9805" s="59"/>
    </row>
    <row r="9806" spans="3:5" x14ac:dyDescent="0.15">
      <c r="C9806" s="255" t="s">
        <v>1027</v>
      </c>
      <c r="D9806" s="59">
        <v>0</v>
      </c>
      <c r="E9806" s="59"/>
    </row>
    <row r="9807" spans="3:5" x14ac:dyDescent="0.15">
      <c r="C9807" s="255" t="s">
        <v>1028</v>
      </c>
      <c r="D9807" s="59">
        <v>417.4</v>
      </c>
      <c r="E9807" s="59"/>
    </row>
    <row r="9808" spans="3:5" x14ac:dyDescent="0.15">
      <c r="C9808" s="255" t="s">
        <v>1029</v>
      </c>
      <c r="D9808" s="59">
        <v>476.7</v>
      </c>
      <c r="E9808" s="59"/>
    </row>
    <row r="9809" spans="3:5" x14ac:dyDescent="0.15">
      <c r="C9809" s="255" t="s">
        <v>1030</v>
      </c>
      <c r="D9809" s="59">
        <v>2.5</v>
      </c>
      <c r="E9809" s="59"/>
    </row>
    <row r="9810" spans="3:5" x14ac:dyDescent="0.15">
      <c r="C9810" s="255" t="s">
        <v>1031</v>
      </c>
      <c r="D9810" s="59">
        <v>518.6</v>
      </c>
      <c r="E9810" s="59"/>
    </row>
    <row r="9811" spans="3:5" x14ac:dyDescent="0.15">
      <c r="C9811" s="255" t="s">
        <v>1032</v>
      </c>
      <c r="D9811" s="59">
        <v>1.2</v>
      </c>
      <c r="E9811" s="59"/>
    </row>
    <row r="9812" spans="3:5" x14ac:dyDescent="0.15">
      <c r="C9812" s="255" t="s">
        <v>1033</v>
      </c>
      <c r="D9812" s="59">
        <v>6.6</v>
      </c>
      <c r="E9812" s="59"/>
    </row>
    <row r="9813" spans="3:5" x14ac:dyDescent="0.15">
      <c r="C9813" s="255" t="s">
        <v>1034</v>
      </c>
      <c r="D9813" s="59">
        <v>120</v>
      </c>
      <c r="E9813" s="59"/>
    </row>
    <row r="9814" spans="3:5" x14ac:dyDescent="0.15">
      <c r="C9814" s="255" t="s">
        <v>1035</v>
      </c>
      <c r="D9814" s="59">
        <v>4464.8999999999996</v>
      </c>
      <c r="E9814" s="59"/>
    </row>
    <row r="9815" spans="3:5" x14ac:dyDescent="0.15">
      <c r="C9815" s="255" t="s">
        <v>1036</v>
      </c>
      <c r="D9815" s="59">
        <v>14.1</v>
      </c>
      <c r="E9815" s="59"/>
    </row>
    <row r="9816" spans="3:5" x14ac:dyDescent="0.15">
      <c r="C9816" s="255" t="s">
        <v>1037</v>
      </c>
      <c r="D9816" s="59">
        <v>862.1</v>
      </c>
      <c r="E9816" s="59"/>
    </row>
    <row r="9817" spans="3:5" x14ac:dyDescent="0.15">
      <c r="C9817" s="255" t="s">
        <v>1038</v>
      </c>
      <c r="D9817" s="59">
        <v>4663.7</v>
      </c>
      <c r="E9817" s="59"/>
    </row>
    <row r="9818" spans="3:5" x14ac:dyDescent="0.15">
      <c r="C9818" s="255" t="s">
        <v>1039</v>
      </c>
      <c r="D9818" s="59">
        <v>1406.7</v>
      </c>
      <c r="E9818" s="59"/>
    </row>
    <row r="9819" spans="3:5" x14ac:dyDescent="0.15">
      <c r="C9819" s="255" t="s">
        <v>1040</v>
      </c>
      <c r="D9819" s="59">
        <v>3941</v>
      </c>
      <c r="E9819" s="59"/>
    </row>
    <row r="9820" spans="3:5" x14ac:dyDescent="0.15">
      <c r="C9820" s="255" t="s">
        <v>1041</v>
      </c>
      <c r="D9820" s="59">
        <v>487.9</v>
      </c>
      <c r="E9820" s="59"/>
    </row>
    <row r="9821" spans="3:5" x14ac:dyDescent="0.15">
      <c r="C9821" s="255" t="s">
        <v>1042</v>
      </c>
      <c r="D9821" s="59">
        <v>2609</v>
      </c>
      <c r="E9821" s="59"/>
    </row>
    <row r="9822" spans="3:5" x14ac:dyDescent="0.15">
      <c r="C9822" s="255" t="s">
        <v>1043</v>
      </c>
      <c r="D9822" s="59">
        <v>1121.7</v>
      </c>
      <c r="E9822" s="59"/>
    </row>
    <row r="9823" spans="3:5" x14ac:dyDescent="0.15">
      <c r="C9823" s="255" t="s">
        <v>1044</v>
      </c>
      <c r="D9823" s="59">
        <v>202.9</v>
      </c>
      <c r="E9823" s="59"/>
    </row>
    <row r="9824" spans="3:5" x14ac:dyDescent="0.15">
      <c r="C9824" s="255" t="s">
        <v>1045</v>
      </c>
      <c r="D9824" s="59">
        <v>37.9</v>
      </c>
      <c r="E9824" s="59"/>
    </row>
    <row r="9825" spans="2:5" x14ac:dyDescent="0.15">
      <c r="C9825" s="255" t="s">
        <v>1046</v>
      </c>
      <c r="D9825" s="59">
        <v>194.2</v>
      </c>
      <c r="E9825" s="59"/>
    </row>
    <row r="9826" spans="2:5" x14ac:dyDescent="0.15">
      <c r="C9826" s="255" t="s">
        <v>1047</v>
      </c>
      <c r="D9826" s="59">
        <v>275</v>
      </c>
      <c r="E9826" s="59"/>
    </row>
    <row r="9827" spans="2:5" x14ac:dyDescent="0.15">
      <c r="C9827" s="255" t="s">
        <v>1048</v>
      </c>
      <c r="D9827" s="59">
        <v>114.5</v>
      </c>
      <c r="E9827" s="59"/>
    </row>
    <row r="9828" spans="2:5" x14ac:dyDescent="0.15">
      <c r="B9828" s="255" t="s">
        <v>1070</v>
      </c>
      <c r="C9828" s="255" t="s">
        <v>743</v>
      </c>
      <c r="D9828" s="59">
        <v>296</v>
      </c>
      <c r="E9828" s="59"/>
    </row>
    <row r="9829" spans="2:5" x14ac:dyDescent="0.15">
      <c r="C9829" s="255" t="s">
        <v>744</v>
      </c>
      <c r="D9829" s="59">
        <v>388.5</v>
      </c>
      <c r="E9829" s="59"/>
    </row>
    <row r="9830" spans="2:5" x14ac:dyDescent="0.15">
      <c r="C9830" s="255" t="s">
        <v>745</v>
      </c>
      <c r="D9830" s="59">
        <v>821.9</v>
      </c>
      <c r="E9830" s="59"/>
    </row>
    <row r="9831" spans="2:5" x14ac:dyDescent="0.15">
      <c r="C9831" s="255" t="s">
        <v>746</v>
      </c>
      <c r="D9831" s="59">
        <v>2.1</v>
      </c>
      <c r="E9831" s="59"/>
    </row>
    <row r="9832" spans="2:5" x14ac:dyDescent="0.15">
      <c r="C9832" s="255" t="s">
        <v>747</v>
      </c>
      <c r="D9832" s="59">
        <v>1.7</v>
      </c>
      <c r="E9832" s="59"/>
    </row>
    <row r="9833" spans="2:5" x14ac:dyDescent="0.15">
      <c r="C9833" s="255" t="s">
        <v>748</v>
      </c>
      <c r="D9833" s="59">
        <v>0.4</v>
      </c>
      <c r="E9833" s="59"/>
    </row>
    <row r="9834" spans="2:5" x14ac:dyDescent="0.15">
      <c r="C9834" s="255" t="s">
        <v>749</v>
      </c>
      <c r="D9834" s="59">
        <v>0.6</v>
      </c>
      <c r="E9834" s="59"/>
    </row>
    <row r="9835" spans="2:5" x14ac:dyDescent="0.15">
      <c r="C9835" s="255" t="s">
        <v>750</v>
      </c>
      <c r="D9835" s="59">
        <v>0.4</v>
      </c>
      <c r="E9835" s="59"/>
    </row>
    <row r="9836" spans="2:5" x14ac:dyDescent="0.15">
      <c r="C9836" s="255" t="s">
        <v>751</v>
      </c>
      <c r="D9836" s="59">
        <v>56.2</v>
      </c>
      <c r="E9836" s="59"/>
    </row>
    <row r="9837" spans="2:5" x14ac:dyDescent="0.15">
      <c r="C9837" s="255" t="s">
        <v>752</v>
      </c>
      <c r="D9837" s="59">
        <v>1.5</v>
      </c>
      <c r="E9837" s="59"/>
    </row>
    <row r="9838" spans="2:5" x14ac:dyDescent="0.15">
      <c r="C9838" s="255" t="s">
        <v>753</v>
      </c>
      <c r="D9838" s="59">
        <v>123.3</v>
      </c>
      <c r="E9838" s="59"/>
    </row>
    <row r="9839" spans="2:5" x14ac:dyDescent="0.15">
      <c r="C9839" s="255" t="s">
        <v>754</v>
      </c>
      <c r="D9839" s="59">
        <v>1953.8</v>
      </c>
      <c r="E9839" s="59"/>
    </row>
    <row r="9840" spans="2:5" x14ac:dyDescent="0.15">
      <c r="C9840" s="255" t="s">
        <v>192</v>
      </c>
      <c r="D9840" s="59">
        <v>326240.59999999998</v>
      </c>
      <c r="E9840" s="59"/>
    </row>
    <row r="9841" spans="3:5" x14ac:dyDescent="0.15">
      <c r="C9841" s="255" t="s">
        <v>755</v>
      </c>
      <c r="D9841" s="59">
        <v>37891.5</v>
      </c>
      <c r="E9841" s="59"/>
    </row>
    <row r="9842" spans="3:5" x14ac:dyDescent="0.15">
      <c r="C9842" s="255" t="s">
        <v>756</v>
      </c>
      <c r="D9842" s="59">
        <v>160.1</v>
      </c>
      <c r="E9842" s="59"/>
    </row>
    <row r="9843" spans="3:5" x14ac:dyDescent="0.15">
      <c r="C9843" s="255" t="s">
        <v>757</v>
      </c>
      <c r="D9843" s="59">
        <v>124.8</v>
      </c>
      <c r="E9843" s="59"/>
    </row>
    <row r="9844" spans="3:5" x14ac:dyDescent="0.15">
      <c r="C9844" s="255" t="s">
        <v>758</v>
      </c>
      <c r="D9844" s="59">
        <v>2517.1</v>
      </c>
      <c r="E9844" s="59"/>
    </row>
    <row r="9845" spans="3:5" x14ac:dyDescent="0.15">
      <c r="C9845" s="255" t="s">
        <v>759</v>
      </c>
      <c r="D9845" s="59">
        <v>1416.3</v>
      </c>
      <c r="E9845" s="59"/>
    </row>
    <row r="9846" spans="3:5" x14ac:dyDescent="0.15">
      <c r="C9846" s="255" t="s">
        <v>760</v>
      </c>
      <c r="D9846" s="59">
        <v>141.19999999999999</v>
      </c>
      <c r="E9846" s="59"/>
    </row>
    <row r="9847" spans="3:5" x14ac:dyDescent="0.15">
      <c r="C9847" s="255" t="s">
        <v>761</v>
      </c>
      <c r="D9847" s="59">
        <v>453.3</v>
      </c>
      <c r="E9847" s="59"/>
    </row>
    <row r="9848" spans="3:5" x14ac:dyDescent="0.15">
      <c r="C9848" s="255" t="s">
        <v>762</v>
      </c>
      <c r="D9848" s="59">
        <v>398.5</v>
      </c>
      <c r="E9848" s="59"/>
    </row>
    <row r="9849" spans="3:5" x14ac:dyDescent="0.15">
      <c r="C9849" s="255" t="s">
        <v>763</v>
      </c>
      <c r="D9849" s="59">
        <v>190.8</v>
      </c>
      <c r="E9849" s="59"/>
    </row>
    <row r="9850" spans="3:5" x14ac:dyDescent="0.15">
      <c r="C9850" s="255" t="s">
        <v>764</v>
      </c>
      <c r="D9850" s="59">
        <v>1980</v>
      </c>
      <c r="E9850" s="59"/>
    </row>
    <row r="9851" spans="3:5" x14ac:dyDescent="0.15">
      <c r="C9851" s="255" t="s">
        <v>765</v>
      </c>
      <c r="D9851" s="59">
        <v>1104.2</v>
      </c>
      <c r="E9851" s="59"/>
    </row>
    <row r="9852" spans="3:5" x14ac:dyDescent="0.15">
      <c r="C9852" s="255" t="s">
        <v>766</v>
      </c>
      <c r="D9852" s="59">
        <v>158.80000000000001</v>
      </c>
      <c r="E9852" s="59"/>
    </row>
    <row r="9853" spans="3:5" x14ac:dyDescent="0.15">
      <c r="C9853" s="255" t="s">
        <v>767</v>
      </c>
      <c r="D9853" s="59">
        <v>1037.8</v>
      </c>
      <c r="E9853" s="59"/>
    </row>
    <row r="9854" spans="3:5" x14ac:dyDescent="0.15">
      <c r="C9854" s="255" t="s">
        <v>768</v>
      </c>
      <c r="D9854" s="59">
        <v>36.299999999999997</v>
      </c>
      <c r="E9854" s="59"/>
    </row>
    <row r="9855" spans="3:5" x14ac:dyDescent="0.15">
      <c r="C9855" s="255" t="s">
        <v>769</v>
      </c>
      <c r="D9855" s="59">
        <v>39.799999999999997</v>
      </c>
      <c r="E9855" s="59"/>
    </row>
    <row r="9856" spans="3:5" x14ac:dyDescent="0.15">
      <c r="C9856" s="255" t="s">
        <v>770</v>
      </c>
      <c r="D9856" s="59">
        <v>1717</v>
      </c>
      <c r="E9856" s="59"/>
    </row>
    <row r="9857" spans="3:5" x14ac:dyDescent="0.15">
      <c r="C9857" s="255" t="s">
        <v>771</v>
      </c>
      <c r="D9857" s="59">
        <v>1751.5</v>
      </c>
      <c r="E9857" s="59"/>
    </row>
    <row r="9858" spans="3:5" x14ac:dyDescent="0.15">
      <c r="C9858" s="255" t="s">
        <v>772</v>
      </c>
      <c r="D9858" s="59">
        <v>519.79999999999995</v>
      </c>
      <c r="E9858" s="59"/>
    </row>
    <row r="9859" spans="3:5" x14ac:dyDescent="0.15">
      <c r="C9859" s="255" t="s">
        <v>773</v>
      </c>
      <c r="D9859" s="59">
        <v>115.5</v>
      </c>
      <c r="E9859" s="59"/>
    </row>
    <row r="9860" spans="3:5" x14ac:dyDescent="0.15">
      <c r="C9860" s="255" t="s">
        <v>774</v>
      </c>
      <c r="D9860" s="59">
        <v>103.2</v>
      </c>
      <c r="E9860" s="59"/>
    </row>
    <row r="9861" spans="3:5" x14ac:dyDescent="0.15">
      <c r="C9861" s="255" t="s">
        <v>775</v>
      </c>
      <c r="D9861" s="59">
        <v>96.3</v>
      </c>
      <c r="E9861" s="59"/>
    </row>
    <row r="9862" spans="3:5" x14ac:dyDescent="0.15">
      <c r="C9862" s="255" t="s">
        <v>776</v>
      </c>
      <c r="D9862" s="59">
        <v>382.6</v>
      </c>
      <c r="E9862" s="59"/>
    </row>
    <row r="9863" spans="3:5" x14ac:dyDescent="0.15">
      <c r="C9863" s="255" t="s">
        <v>777</v>
      </c>
      <c r="D9863" s="59">
        <v>920.9</v>
      </c>
      <c r="E9863" s="59"/>
    </row>
    <row r="9864" spans="3:5" x14ac:dyDescent="0.15">
      <c r="C9864" s="255" t="s">
        <v>778</v>
      </c>
      <c r="D9864" s="59">
        <v>415</v>
      </c>
      <c r="E9864" s="59"/>
    </row>
    <row r="9865" spans="3:5" x14ac:dyDescent="0.15">
      <c r="C9865" s="255" t="s">
        <v>779</v>
      </c>
      <c r="D9865" s="59">
        <v>536.79999999999995</v>
      </c>
      <c r="E9865" s="59"/>
    </row>
    <row r="9866" spans="3:5" x14ac:dyDescent="0.15">
      <c r="C9866" s="255" t="s">
        <v>780</v>
      </c>
      <c r="D9866" s="59">
        <v>12.5</v>
      </c>
      <c r="E9866" s="59"/>
    </row>
    <row r="9867" spans="3:5" x14ac:dyDescent="0.15">
      <c r="C9867" s="255" t="s">
        <v>781</v>
      </c>
      <c r="D9867" s="59">
        <v>885.4</v>
      </c>
      <c r="E9867" s="59"/>
    </row>
    <row r="9868" spans="3:5" x14ac:dyDescent="0.15">
      <c r="C9868" s="255" t="s">
        <v>782</v>
      </c>
      <c r="D9868" s="59">
        <v>2091.5</v>
      </c>
      <c r="E9868" s="59"/>
    </row>
    <row r="9869" spans="3:5" x14ac:dyDescent="0.15">
      <c r="C9869" s="255" t="s">
        <v>783</v>
      </c>
      <c r="D9869" s="59">
        <v>893</v>
      </c>
      <c r="E9869" s="59"/>
    </row>
    <row r="9870" spans="3:5" x14ac:dyDescent="0.15">
      <c r="C9870" s="255" t="s">
        <v>784</v>
      </c>
      <c r="D9870" s="59">
        <v>671</v>
      </c>
      <c r="E9870" s="59"/>
    </row>
    <row r="9871" spans="3:5" x14ac:dyDescent="0.15">
      <c r="C9871" s="255" t="s">
        <v>785</v>
      </c>
      <c r="D9871" s="59">
        <v>554.70000000000005</v>
      </c>
      <c r="E9871" s="59"/>
    </row>
    <row r="9872" spans="3:5" x14ac:dyDescent="0.15">
      <c r="C9872" s="255" t="s">
        <v>786</v>
      </c>
      <c r="D9872" s="59">
        <v>162.5</v>
      </c>
      <c r="E9872" s="59"/>
    </row>
    <row r="9873" spans="3:5" x14ac:dyDescent="0.15">
      <c r="C9873" s="255" t="s">
        <v>787</v>
      </c>
      <c r="D9873" s="59">
        <v>98.4</v>
      </c>
      <c r="E9873" s="59"/>
    </row>
    <row r="9874" spans="3:5" x14ac:dyDescent="0.15">
      <c r="C9874" s="255" t="s">
        <v>788</v>
      </c>
      <c r="D9874" s="59">
        <v>71.400000000000006</v>
      </c>
      <c r="E9874" s="59"/>
    </row>
    <row r="9875" spans="3:5" x14ac:dyDescent="0.15">
      <c r="C9875" s="255" t="s">
        <v>789</v>
      </c>
      <c r="D9875" s="59">
        <v>17.100000000000001</v>
      </c>
      <c r="E9875" s="59"/>
    </row>
    <row r="9876" spans="3:5" x14ac:dyDescent="0.15">
      <c r="C9876" s="255" t="s">
        <v>790</v>
      </c>
      <c r="D9876" s="59">
        <v>2294.4</v>
      </c>
      <c r="E9876" s="59"/>
    </row>
    <row r="9877" spans="3:5" x14ac:dyDescent="0.15">
      <c r="C9877" s="255" t="s">
        <v>791</v>
      </c>
      <c r="D9877" s="59">
        <v>64</v>
      </c>
      <c r="E9877" s="59"/>
    </row>
    <row r="9878" spans="3:5" x14ac:dyDescent="0.15">
      <c r="C9878" s="255" t="s">
        <v>792</v>
      </c>
      <c r="D9878" s="59">
        <v>840.9</v>
      </c>
      <c r="E9878" s="59"/>
    </row>
    <row r="9879" spans="3:5" x14ac:dyDescent="0.15">
      <c r="C9879" s="255" t="s">
        <v>793</v>
      </c>
      <c r="D9879" s="59">
        <v>215.5</v>
      </c>
      <c r="E9879" s="59"/>
    </row>
    <row r="9880" spans="3:5" x14ac:dyDescent="0.15">
      <c r="C9880" s="255" t="s">
        <v>794</v>
      </c>
      <c r="D9880" s="59">
        <v>2430</v>
      </c>
      <c r="E9880" s="59"/>
    </row>
    <row r="9881" spans="3:5" x14ac:dyDescent="0.15">
      <c r="C9881" s="255" t="s">
        <v>795</v>
      </c>
      <c r="D9881" s="59">
        <v>281</v>
      </c>
      <c r="E9881" s="59"/>
    </row>
    <row r="9882" spans="3:5" x14ac:dyDescent="0.15">
      <c r="C9882" s="255" t="s">
        <v>796</v>
      </c>
      <c r="D9882" s="59">
        <v>504.1</v>
      </c>
      <c r="E9882" s="59"/>
    </row>
    <row r="9883" spans="3:5" x14ac:dyDescent="0.15">
      <c r="C9883" s="255" t="s">
        <v>797</v>
      </c>
      <c r="D9883" s="59">
        <v>631.79999999999995</v>
      </c>
      <c r="E9883" s="59"/>
    </row>
    <row r="9884" spans="3:5" x14ac:dyDescent="0.15">
      <c r="C9884" s="255" t="s">
        <v>798</v>
      </c>
      <c r="D9884" s="59">
        <v>320.89999999999998</v>
      </c>
      <c r="E9884" s="59"/>
    </row>
    <row r="9885" spans="3:5" x14ac:dyDescent="0.15">
      <c r="C9885" s="255" t="s">
        <v>799</v>
      </c>
      <c r="D9885" s="59">
        <v>81.400000000000006</v>
      </c>
      <c r="E9885" s="59"/>
    </row>
    <row r="9886" spans="3:5" x14ac:dyDescent="0.15">
      <c r="C9886" s="255" t="s">
        <v>800</v>
      </c>
      <c r="D9886" s="59">
        <v>120.5</v>
      </c>
      <c r="E9886" s="59"/>
    </row>
    <row r="9887" spans="3:5" x14ac:dyDescent="0.15">
      <c r="C9887" s="255" t="s">
        <v>801</v>
      </c>
      <c r="D9887" s="59">
        <v>298.2</v>
      </c>
      <c r="E9887" s="59"/>
    </row>
    <row r="9888" spans="3:5" x14ac:dyDescent="0.15">
      <c r="C9888" s="255" t="s">
        <v>802</v>
      </c>
      <c r="D9888" s="59">
        <v>1105.5</v>
      </c>
      <c r="E9888" s="59"/>
    </row>
    <row r="9889" spans="3:5" x14ac:dyDescent="0.15">
      <c r="C9889" s="255" t="s">
        <v>803</v>
      </c>
      <c r="D9889" s="59">
        <v>1295.2</v>
      </c>
      <c r="E9889" s="59"/>
    </row>
    <row r="9890" spans="3:5" x14ac:dyDescent="0.15">
      <c r="C9890" s="255" t="s">
        <v>804</v>
      </c>
      <c r="D9890" s="59">
        <v>695.5</v>
      </c>
      <c r="E9890" s="59"/>
    </row>
    <row r="9891" spans="3:5" x14ac:dyDescent="0.15">
      <c r="C9891" s="255" t="s">
        <v>805</v>
      </c>
      <c r="D9891" s="59">
        <v>25.9</v>
      </c>
      <c r="E9891" s="59"/>
    </row>
    <row r="9892" spans="3:5" x14ac:dyDescent="0.15">
      <c r="C9892" s="255" t="s">
        <v>806</v>
      </c>
      <c r="D9892" s="59">
        <v>859.2</v>
      </c>
      <c r="E9892" s="59"/>
    </row>
    <row r="9893" spans="3:5" x14ac:dyDescent="0.15">
      <c r="C9893" s="255" t="s">
        <v>807</v>
      </c>
      <c r="D9893" s="59">
        <v>413.6</v>
      </c>
      <c r="E9893" s="59"/>
    </row>
    <row r="9894" spans="3:5" x14ac:dyDescent="0.15">
      <c r="C9894" s="255" t="s">
        <v>808</v>
      </c>
      <c r="D9894" s="59">
        <v>17.3</v>
      </c>
      <c r="E9894" s="59"/>
    </row>
    <row r="9895" spans="3:5" x14ac:dyDescent="0.15">
      <c r="C9895" s="255" t="s">
        <v>809</v>
      </c>
      <c r="D9895" s="59">
        <v>460.2</v>
      </c>
      <c r="E9895" s="59"/>
    </row>
    <row r="9896" spans="3:5" x14ac:dyDescent="0.15">
      <c r="C9896" s="255" t="s">
        <v>810</v>
      </c>
      <c r="D9896" s="59">
        <v>209.3</v>
      </c>
      <c r="E9896" s="59"/>
    </row>
    <row r="9897" spans="3:5" x14ac:dyDescent="0.15">
      <c r="C9897" s="255" t="s">
        <v>811</v>
      </c>
      <c r="D9897" s="59">
        <v>1023.6</v>
      </c>
      <c r="E9897" s="59"/>
    </row>
    <row r="9898" spans="3:5" x14ac:dyDescent="0.15">
      <c r="C9898" s="255" t="s">
        <v>812</v>
      </c>
      <c r="D9898" s="59">
        <v>172.5</v>
      </c>
      <c r="E9898" s="59"/>
    </row>
    <row r="9899" spans="3:5" x14ac:dyDescent="0.15">
      <c r="C9899" s="255" t="s">
        <v>813</v>
      </c>
      <c r="D9899" s="59">
        <v>48.7</v>
      </c>
      <c r="E9899" s="59"/>
    </row>
    <row r="9900" spans="3:5" x14ac:dyDescent="0.15">
      <c r="C9900" s="255" t="s">
        <v>814</v>
      </c>
      <c r="D9900" s="59">
        <v>174.5</v>
      </c>
      <c r="E9900" s="59"/>
    </row>
    <row r="9901" spans="3:5" x14ac:dyDescent="0.15">
      <c r="C9901" s="255" t="s">
        <v>815</v>
      </c>
      <c r="D9901" s="59">
        <v>917.2</v>
      </c>
      <c r="E9901" s="59"/>
    </row>
    <row r="9902" spans="3:5" x14ac:dyDescent="0.15">
      <c r="C9902" s="255" t="s">
        <v>816</v>
      </c>
      <c r="D9902" s="59">
        <v>615.6</v>
      </c>
      <c r="E9902" s="59"/>
    </row>
    <row r="9903" spans="3:5" x14ac:dyDescent="0.15">
      <c r="C9903" s="255" t="s">
        <v>817</v>
      </c>
      <c r="D9903" s="59">
        <v>7010.1</v>
      </c>
      <c r="E9903" s="59"/>
    </row>
    <row r="9904" spans="3:5" x14ac:dyDescent="0.15">
      <c r="C9904" s="255" t="s">
        <v>818</v>
      </c>
      <c r="D9904" s="59">
        <v>663.5</v>
      </c>
      <c r="E9904" s="59"/>
    </row>
    <row r="9905" spans="3:5" x14ac:dyDescent="0.15">
      <c r="C9905" s="255" t="s">
        <v>819</v>
      </c>
      <c r="D9905" s="59">
        <v>1.9</v>
      </c>
      <c r="E9905" s="59"/>
    </row>
    <row r="9906" spans="3:5" x14ac:dyDescent="0.15">
      <c r="C9906" s="255" t="s">
        <v>820</v>
      </c>
      <c r="D9906" s="59">
        <v>2427.5</v>
      </c>
      <c r="E9906" s="59"/>
    </row>
    <row r="9907" spans="3:5" x14ac:dyDescent="0.15">
      <c r="C9907" s="255" t="s">
        <v>821</v>
      </c>
      <c r="D9907" s="59">
        <v>29.6</v>
      </c>
      <c r="E9907" s="59"/>
    </row>
    <row r="9908" spans="3:5" x14ac:dyDescent="0.15">
      <c r="C9908" s="255" t="s">
        <v>822</v>
      </c>
      <c r="D9908" s="59">
        <v>217.8</v>
      </c>
      <c r="E9908" s="59"/>
    </row>
    <row r="9909" spans="3:5" x14ac:dyDescent="0.15">
      <c r="C9909" s="255" t="s">
        <v>823</v>
      </c>
      <c r="D9909" s="59">
        <v>2.6</v>
      </c>
      <c r="E9909" s="59"/>
    </row>
    <row r="9910" spans="3:5" x14ac:dyDescent="0.15">
      <c r="C9910" s="255" t="s">
        <v>824</v>
      </c>
      <c r="D9910" s="59">
        <v>548.9</v>
      </c>
      <c r="E9910" s="59"/>
    </row>
    <row r="9911" spans="3:5" x14ac:dyDescent="0.15">
      <c r="C9911" s="255" t="s">
        <v>825</v>
      </c>
      <c r="D9911" s="59">
        <v>545.5</v>
      </c>
      <c r="E9911" s="59"/>
    </row>
    <row r="9912" spans="3:5" x14ac:dyDescent="0.15">
      <c r="C9912" s="255" t="s">
        <v>826</v>
      </c>
      <c r="D9912" s="59">
        <v>4.0999999999999996</v>
      </c>
      <c r="E9912" s="59"/>
    </row>
    <row r="9913" spans="3:5" x14ac:dyDescent="0.15">
      <c r="C9913" s="255" t="s">
        <v>827</v>
      </c>
      <c r="D9913" s="59">
        <v>0</v>
      </c>
      <c r="E9913" s="59"/>
    </row>
    <row r="9914" spans="3:5" x14ac:dyDescent="0.15">
      <c r="C9914" s="255" t="s">
        <v>828</v>
      </c>
      <c r="D9914" s="59">
        <v>1631.9</v>
      </c>
      <c r="E9914" s="59"/>
    </row>
    <row r="9915" spans="3:5" x14ac:dyDescent="0.15">
      <c r="C9915" s="255" t="s">
        <v>829</v>
      </c>
      <c r="D9915" s="59">
        <v>9.5</v>
      </c>
      <c r="E9915" s="59"/>
    </row>
    <row r="9916" spans="3:5" x14ac:dyDescent="0.15">
      <c r="C9916" s="255" t="s">
        <v>830</v>
      </c>
      <c r="D9916" s="59">
        <v>927.6</v>
      </c>
      <c r="E9916" s="59"/>
    </row>
    <row r="9917" spans="3:5" x14ac:dyDescent="0.15">
      <c r="C9917" s="255" t="s">
        <v>831</v>
      </c>
      <c r="D9917" s="59">
        <v>0</v>
      </c>
      <c r="E9917" s="59"/>
    </row>
    <row r="9918" spans="3:5" x14ac:dyDescent="0.15">
      <c r="C9918" s="255" t="s">
        <v>832</v>
      </c>
      <c r="D9918" s="59">
        <v>12974.4</v>
      </c>
      <c r="E9918" s="59"/>
    </row>
    <row r="9919" spans="3:5" x14ac:dyDescent="0.15">
      <c r="C9919" s="255" t="s">
        <v>833</v>
      </c>
      <c r="D9919" s="59">
        <v>40</v>
      </c>
      <c r="E9919" s="59"/>
    </row>
    <row r="9920" spans="3:5" x14ac:dyDescent="0.15">
      <c r="C9920" s="255" t="s">
        <v>834</v>
      </c>
      <c r="D9920" s="59">
        <v>3949.2</v>
      </c>
      <c r="E9920" s="59"/>
    </row>
    <row r="9921" spans="3:5" x14ac:dyDescent="0.15">
      <c r="C9921" s="255" t="s">
        <v>835</v>
      </c>
      <c r="D9921" s="59">
        <v>4022.4</v>
      </c>
      <c r="E9921" s="59"/>
    </row>
    <row r="9922" spans="3:5" x14ac:dyDescent="0.15">
      <c r="C9922" s="255" t="s">
        <v>836</v>
      </c>
      <c r="D9922" s="59">
        <v>1185.5</v>
      </c>
      <c r="E9922" s="59"/>
    </row>
    <row r="9923" spans="3:5" x14ac:dyDescent="0.15">
      <c r="C9923" s="255" t="s">
        <v>837</v>
      </c>
      <c r="D9923" s="59">
        <v>456</v>
      </c>
      <c r="E9923" s="59"/>
    </row>
    <row r="9924" spans="3:5" x14ac:dyDescent="0.15">
      <c r="C9924" s="255" t="s">
        <v>838</v>
      </c>
      <c r="D9924" s="59">
        <v>125.7</v>
      </c>
      <c r="E9924" s="59"/>
    </row>
    <row r="9925" spans="3:5" x14ac:dyDescent="0.15">
      <c r="C9925" s="255" t="s">
        <v>839</v>
      </c>
      <c r="D9925" s="59">
        <v>87.4</v>
      </c>
      <c r="E9925" s="59"/>
    </row>
    <row r="9926" spans="3:5" x14ac:dyDescent="0.15">
      <c r="C9926" s="255" t="s">
        <v>840</v>
      </c>
      <c r="D9926" s="59">
        <v>29.8</v>
      </c>
      <c r="E9926" s="59"/>
    </row>
    <row r="9927" spans="3:5" x14ac:dyDescent="0.15">
      <c r="C9927" s="255" t="s">
        <v>841</v>
      </c>
      <c r="D9927" s="59">
        <v>1105.8</v>
      </c>
      <c r="E9927" s="59"/>
    </row>
    <row r="9928" spans="3:5" x14ac:dyDescent="0.15">
      <c r="C9928" s="255" t="s">
        <v>842</v>
      </c>
      <c r="D9928" s="59">
        <v>1803.5</v>
      </c>
      <c r="E9928" s="59"/>
    </row>
    <row r="9929" spans="3:5" x14ac:dyDescent="0.15">
      <c r="C9929" s="255" t="s">
        <v>843</v>
      </c>
      <c r="D9929" s="59">
        <v>164</v>
      </c>
      <c r="E9929" s="59"/>
    </row>
    <row r="9930" spans="3:5" x14ac:dyDescent="0.15">
      <c r="C9930" s="255" t="s">
        <v>844</v>
      </c>
      <c r="D9930" s="59">
        <v>5.0999999999999996</v>
      </c>
      <c r="E9930" s="59"/>
    </row>
    <row r="9931" spans="3:5" x14ac:dyDescent="0.15">
      <c r="C9931" s="255" t="s">
        <v>845</v>
      </c>
      <c r="D9931" s="59">
        <v>97637.5</v>
      </c>
      <c r="E9931" s="59"/>
    </row>
    <row r="9932" spans="3:5" x14ac:dyDescent="0.15">
      <c r="C9932" s="255" t="s">
        <v>846</v>
      </c>
      <c r="D9932" s="59">
        <v>22923.200000000001</v>
      </c>
      <c r="E9932" s="59"/>
    </row>
    <row r="9933" spans="3:5" x14ac:dyDescent="0.15">
      <c r="C9933" s="255" t="s">
        <v>847</v>
      </c>
      <c r="D9933" s="59">
        <v>73.099999999999994</v>
      </c>
      <c r="E9933" s="59"/>
    </row>
    <row r="9934" spans="3:5" x14ac:dyDescent="0.15">
      <c r="C9934" s="255" t="s">
        <v>848</v>
      </c>
      <c r="D9934" s="59">
        <v>36782.5</v>
      </c>
      <c r="E9934" s="59"/>
    </row>
    <row r="9935" spans="3:5" x14ac:dyDescent="0.15">
      <c r="C9935" s="255" t="s">
        <v>849</v>
      </c>
      <c r="D9935" s="59">
        <v>1808.3</v>
      </c>
      <c r="E9935" s="59"/>
    </row>
    <row r="9936" spans="3:5" x14ac:dyDescent="0.15">
      <c r="C9936" s="255" t="s">
        <v>850</v>
      </c>
      <c r="D9936" s="59">
        <v>1757.4</v>
      </c>
      <c r="E9936" s="59"/>
    </row>
    <row r="9937" spans="3:5" x14ac:dyDescent="0.15">
      <c r="C9937" s="255" t="s">
        <v>851</v>
      </c>
      <c r="D9937" s="59">
        <v>0</v>
      </c>
      <c r="E9937" s="59"/>
    </row>
    <row r="9938" spans="3:5" x14ac:dyDescent="0.15">
      <c r="C9938" s="255" t="s">
        <v>852</v>
      </c>
      <c r="D9938" s="59">
        <v>0</v>
      </c>
      <c r="E9938" s="59"/>
    </row>
    <row r="9939" spans="3:5" x14ac:dyDescent="0.15">
      <c r="C9939" s="255" t="s">
        <v>853</v>
      </c>
      <c r="D9939" s="59">
        <v>383.3</v>
      </c>
      <c r="E9939" s="59"/>
    </row>
    <row r="9940" spans="3:5" x14ac:dyDescent="0.15">
      <c r="C9940" s="255" t="s">
        <v>854</v>
      </c>
      <c r="D9940" s="59">
        <v>0</v>
      </c>
      <c r="E9940" s="59"/>
    </row>
    <row r="9941" spans="3:5" x14ac:dyDescent="0.15">
      <c r="C9941" s="255" t="s">
        <v>855</v>
      </c>
      <c r="D9941" s="59">
        <v>438.1</v>
      </c>
      <c r="E9941" s="59"/>
    </row>
    <row r="9942" spans="3:5" x14ac:dyDescent="0.15">
      <c r="C9942" s="255" t="s">
        <v>856</v>
      </c>
      <c r="D9942" s="59">
        <v>2581.4</v>
      </c>
      <c r="E9942" s="59"/>
    </row>
    <row r="9943" spans="3:5" x14ac:dyDescent="0.15">
      <c r="C9943" s="255" t="s">
        <v>857</v>
      </c>
      <c r="D9943" s="59">
        <v>2511.8000000000002</v>
      </c>
      <c r="E9943" s="59"/>
    </row>
    <row r="9944" spans="3:5" x14ac:dyDescent="0.15">
      <c r="C9944" s="255" t="s">
        <v>858</v>
      </c>
      <c r="D9944" s="59">
        <v>2537.1</v>
      </c>
      <c r="E9944" s="59"/>
    </row>
    <row r="9945" spans="3:5" x14ac:dyDescent="0.15">
      <c r="C9945" s="255" t="s">
        <v>859</v>
      </c>
      <c r="D9945" s="59">
        <v>3090.5</v>
      </c>
      <c r="E9945" s="59"/>
    </row>
    <row r="9946" spans="3:5" x14ac:dyDescent="0.15">
      <c r="C9946" s="255" t="s">
        <v>860</v>
      </c>
      <c r="D9946" s="59">
        <v>195.3</v>
      </c>
      <c r="E9946" s="59"/>
    </row>
    <row r="9947" spans="3:5" x14ac:dyDescent="0.15">
      <c r="C9947" s="255" t="s">
        <v>861</v>
      </c>
      <c r="D9947" s="59">
        <v>1266.8</v>
      </c>
      <c r="E9947" s="59"/>
    </row>
    <row r="9948" spans="3:5" x14ac:dyDescent="0.15">
      <c r="C9948" s="255" t="s">
        <v>862</v>
      </c>
      <c r="D9948" s="59">
        <v>9020.6</v>
      </c>
      <c r="E9948" s="59"/>
    </row>
    <row r="9949" spans="3:5" x14ac:dyDescent="0.15">
      <c r="C9949" s="255" t="s">
        <v>863</v>
      </c>
      <c r="D9949" s="59">
        <v>2700.8</v>
      </c>
      <c r="E9949" s="59"/>
    </row>
    <row r="9950" spans="3:5" x14ac:dyDescent="0.15">
      <c r="C9950" s="255" t="s">
        <v>864</v>
      </c>
      <c r="D9950" s="59">
        <v>290.10000000000002</v>
      </c>
      <c r="E9950" s="59"/>
    </row>
    <row r="9951" spans="3:5" x14ac:dyDescent="0.15">
      <c r="C9951" s="255" t="s">
        <v>865</v>
      </c>
      <c r="D9951" s="59">
        <v>1210.9000000000001</v>
      </c>
      <c r="E9951" s="59"/>
    </row>
    <row r="9952" spans="3:5" x14ac:dyDescent="0.15">
      <c r="C9952" s="255" t="s">
        <v>866</v>
      </c>
      <c r="D9952" s="59">
        <v>120.6</v>
      </c>
      <c r="E9952" s="59"/>
    </row>
    <row r="9953" spans="3:5" x14ac:dyDescent="0.15">
      <c r="C9953" s="255" t="s">
        <v>867</v>
      </c>
      <c r="D9953" s="59">
        <v>1859.4</v>
      </c>
      <c r="E9953" s="59"/>
    </row>
    <row r="9954" spans="3:5" x14ac:dyDescent="0.15">
      <c r="C9954" s="255" t="s">
        <v>868</v>
      </c>
      <c r="D9954" s="59">
        <v>6086.2</v>
      </c>
      <c r="E9954" s="59"/>
    </row>
    <row r="9955" spans="3:5" x14ac:dyDescent="0.15">
      <c r="C9955" s="255" t="s">
        <v>869</v>
      </c>
      <c r="D9955" s="59">
        <v>19374.400000000001</v>
      </c>
      <c r="E9955" s="59"/>
    </row>
    <row r="9956" spans="3:5" x14ac:dyDescent="0.15">
      <c r="C9956" s="255" t="s">
        <v>870</v>
      </c>
      <c r="D9956" s="59">
        <v>4556.1000000000004</v>
      </c>
      <c r="E9956" s="59"/>
    </row>
    <row r="9957" spans="3:5" x14ac:dyDescent="0.15">
      <c r="C9957" s="255" t="s">
        <v>871</v>
      </c>
      <c r="D9957" s="59">
        <v>821.7</v>
      </c>
      <c r="E9957" s="59"/>
    </row>
    <row r="9958" spans="3:5" x14ac:dyDescent="0.15">
      <c r="C9958" s="255" t="s">
        <v>872</v>
      </c>
      <c r="D9958" s="59">
        <v>1230.8</v>
      </c>
      <c r="E9958" s="59"/>
    </row>
    <row r="9959" spans="3:5" x14ac:dyDescent="0.15">
      <c r="C9959" s="255" t="s">
        <v>873</v>
      </c>
      <c r="D9959" s="59">
        <v>936.5</v>
      </c>
      <c r="E9959" s="59"/>
    </row>
    <row r="9960" spans="3:5" x14ac:dyDescent="0.15">
      <c r="C9960" s="255" t="s">
        <v>874</v>
      </c>
      <c r="D9960" s="59">
        <v>144.6</v>
      </c>
      <c r="E9960" s="59"/>
    </row>
    <row r="9961" spans="3:5" x14ac:dyDescent="0.15">
      <c r="C9961" s="255" t="s">
        <v>875</v>
      </c>
      <c r="D9961" s="59">
        <v>56.8</v>
      </c>
      <c r="E9961" s="59"/>
    </row>
    <row r="9962" spans="3:5" x14ac:dyDescent="0.15">
      <c r="C9962" s="255" t="s">
        <v>876</v>
      </c>
      <c r="D9962" s="59">
        <v>19.399999999999999</v>
      </c>
      <c r="E9962" s="59"/>
    </row>
    <row r="9963" spans="3:5" x14ac:dyDescent="0.15">
      <c r="C9963" s="255" t="s">
        <v>877</v>
      </c>
      <c r="D9963" s="59">
        <v>35.700000000000003</v>
      </c>
      <c r="E9963" s="59"/>
    </row>
    <row r="9964" spans="3:5" x14ac:dyDescent="0.15">
      <c r="C9964" s="255" t="s">
        <v>878</v>
      </c>
      <c r="D9964" s="59">
        <v>64.400000000000006</v>
      </c>
      <c r="E9964" s="59"/>
    </row>
    <row r="9965" spans="3:5" x14ac:dyDescent="0.15">
      <c r="C9965" s="255" t="s">
        <v>879</v>
      </c>
      <c r="D9965" s="59">
        <v>943.3</v>
      </c>
      <c r="E9965" s="59"/>
    </row>
    <row r="9966" spans="3:5" x14ac:dyDescent="0.15">
      <c r="C9966" s="255" t="s">
        <v>880</v>
      </c>
      <c r="D9966" s="59">
        <v>106.9</v>
      </c>
      <c r="E9966" s="59"/>
    </row>
    <row r="9967" spans="3:5" x14ac:dyDescent="0.15">
      <c r="C9967" s="255" t="s">
        <v>881</v>
      </c>
      <c r="D9967" s="59">
        <v>0</v>
      </c>
      <c r="E9967" s="59"/>
    </row>
    <row r="9968" spans="3:5" x14ac:dyDescent="0.15">
      <c r="C9968" s="255" t="s">
        <v>882</v>
      </c>
      <c r="D9968" s="59">
        <v>248.2</v>
      </c>
      <c r="E9968" s="59"/>
    </row>
    <row r="9969" spans="3:5" x14ac:dyDescent="0.15">
      <c r="C9969" s="255" t="s">
        <v>883</v>
      </c>
      <c r="D9969" s="59">
        <v>463.1</v>
      </c>
      <c r="E9969" s="59"/>
    </row>
    <row r="9970" spans="3:5" x14ac:dyDescent="0.15">
      <c r="C9970" s="255" t="s">
        <v>884</v>
      </c>
      <c r="D9970" s="59">
        <v>930.6</v>
      </c>
      <c r="E9970" s="59"/>
    </row>
    <row r="9971" spans="3:5" x14ac:dyDescent="0.15">
      <c r="C9971" s="255" t="s">
        <v>885</v>
      </c>
      <c r="D9971" s="59">
        <v>351.6</v>
      </c>
      <c r="E9971" s="59"/>
    </row>
    <row r="9972" spans="3:5" x14ac:dyDescent="0.15">
      <c r="C9972" s="255" t="s">
        <v>886</v>
      </c>
      <c r="D9972" s="59">
        <v>1.8</v>
      </c>
      <c r="E9972" s="59"/>
    </row>
    <row r="9973" spans="3:5" x14ac:dyDescent="0.15">
      <c r="C9973" s="255" t="s">
        <v>887</v>
      </c>
      <c r="D9973" s="59">
        <v>422.5</v>
      </c>
      <c r="E9973" s="59"/>
    </row>
    <row r="9974" spans="3:5" x14ac:dyDescent="0.15">
      <c r="C9974" s="255" t="s">
        <v>888</v>
      </c>
      <c r="D9974" s="59">
        <v>1.2</v>
      </c>
      <c r="E9974" s="59"/>
    </row>
    <row r="9975" spans="3:5" x14ac:dyDescent="0.15">
      <c r="C9975" s="255" t="s">
        <v>889</v>
      </c>
      <c r="D9975" s="59">
        <v>186.1</v>
      </c>
      <c r="E9975" s="59"/>
    </row>
    <row r="9976" spans="3:5" x14ac:dyDescent="0.15">
      <c r="C9976" s="255" t="s">
        <v>890</v>
      </c>
      <c r="D9976" s="59">
        <v>95</v>
      </c>
      <c r="E9976" s="59"/>
    </row>
    <row r="9977" spans="3:5" x14ac:dyDescent="0.15">
      <c r="C9977" s="255" t="s">
        <v>891</v>
      </c>
      <c r="D9977" s="59">
        <v>30.8</v>
      </c>
      <c r="E9977" s="59"/>
    </row>
    <row r="9978" spans="3:5" x14ac:dyDescent="0.15">
      <c r="C9978" s="255" t="s">
        <v>892</v>
      </c>
      <c r="D9978" s="59">
        <v>0.6</v>
      </c>
      <c r="E9978" s="59"/>
    </row>
    <row r="9979" spans="3:5" x14ac:dyDescent="0.15">
      <c r="C9979" s="255" t="s">
        <v>893</v>
      </c>
      <c r="D9979" s="59">
        <v>170.3</v>
      </c>
      <c r="E9979" s="59"/>
    </row>
    <row r="9980" spans="3:5" x14ac:dyDescent="0.15">
      <c r="C9980" s="255" t="s">
        <v>894</v>
      </c>
      <c r="D9980" s="59">
        <v>0</v>
      </c>
      <c r="E9980" s="59"/>
    </row>
    <row r="9981" spans="3:5" x14ac:dyDescent="0.15">
      <c r="C9981" s="255" t="s">
        <v>895</v>
      </c>
      <c r="D9981" s="59">
        <v>802.3</v>
      </c>
      <c r="E9981" s="59"/>
    </row>
    <row r="9982" spans="3:5" x14ac:dyDescent="0.15">
      <c r="C9982" s="255" t="s">
        <v>896</v>
      </c>
      <c r="D9982" s="59">
        <v>8.3000000000000007</v>
      </c>
      <c r="E9982" s="59"/>
    </row>
    <row r="9983" spans="3:5" x14ac:dyDescent="0.15">
      <c r="C9983" s="255" t="s">
        <v>897</v>
      </c>
      <c r="D9983" s="59">
        <v>1303.7</v>
      </c>
      <c r="E9983" s="59"/>
    </row>
    <row r="9984" spans="3:5" x14ac:dyDescent="0.15">
      <c r="C9984" s="255" t="s">
        <v>898</v>
      </c>
      <c r="D9984" s="59">
        <v>417.8</v>
      </c>
      <c r="E9984" s="59"/>
    </row>
    <row r="9985" spans="3:5" x14ac:dyDescent="0.15">
      <c r="C9985" s="255" t="s">
        <v>899</v>
      </c>
      <c r="D9985" s="59">
        <v>47</v>
      </c>
      <c r="E9985" s="59"/>
    </row>
    <row r="9986" spans="3:5" x14ac:dyDescent="0.15">
      <c r="C9986" s="255" t="s">
        <v>900</v>
      </c>
      <c r="D9986" s="59">
        <v>517.6</v>
      </c>
      <c r="E9986" s="59"/>
    </row>
    <row r="9987" spans="3:5" x14ac:dyDescent="0.15">
      <c r="C9987" s="255" t="s">
        <v>901</v>
      </c>
      <c r="D9987" s="59">
        <v>1051.5999999999999</v>
      </c>
      <c r="E9987" s="59"/>
    </row>
    <row r="9988" spans="3:5" x14ac:dyDescent="0.15">
      <c r="C9988" s="255" t="s">
        <v>902</v>
      </c>
      <c r="D9988" s="59">
        <v>47</v>
      </c>
      <c r="E9988" s="59"/>
    </row>
    <row r="9989" spans="3:5" x14ac:dyDescent="0.15">
      <c r="C9989" s="255" t="s">
        <v>903</v>
      </c>
      <c r="D9989" s="59">
        <v>1025.4000000000001</v>
      </c>
      <c r="E9989" s="59"/>
    </row>
    <row r="9990" spans="3:5" x14ac:dyDescent="0.15">
      <c r="C9990" s="255" t="s">
        <v>904</v>
      </c>
      <c r="D9990" s="59">
        <v>1351.1</v>
      </c>
      <c r="E9990" s="59"/>
    </row>
    <row r="9991" spans="3:5" x14ac:dyDescent="0.15">
      <c r="C9991" s="255" t="s">
        <v>905</v>
      </c>
      <c r="D9991" s="59">
        <v>222</v>
      </c>
      <c r="E9991" s="59"/>
    </row>
    <row r="9992" spans="3:5" x14ac:dyDescent="0.15">
      <c r="C9992" s="255" t="s">
        <v>906</v>
      </c>
      <c r="D9992" s="59">
        <v>108.3</v>
      </c>
      <c r="E9992" s="59"/>
    </row>
    <row r="9993" spans="3:5" x14ac:dyDescent="0.15">
      <c r="C9993" s="255" t="s">
        <v>907</v>
      </c>
      <c r="D9993" s="59">
        <v>654.29999999999995</v>
      </c>
      <c r="E9993" s="59"/>
    </row>
    <row r="9994" spans="3:5" x14ac:dyDescent="0.15">
      <c r="C9994" s="255" t="s">
        <v>908</v>
      </c>
      <c r="D9994" s="59">
        <v>9595</v>
      </c>
      <c r="E9994" s="59"/>
    </row>
    <row r="9995" spans="3:5" x14ac:dyDescent="0.15">
      <c r="C9995" s="255" t="s">
        <v>909</v>
      </c>
      <c r="D9995" s="59">
        <v>2790.5</v>
      </c>
      <c r="E9995" s="59"/>
    </row>
    <row r="9996" spans="3:5" x14ac:dyDescent="0.15">
      <c r="C9996" s="255" t="s">
        <v>910</v>
      </c>
      <c r="D9996" s="59">
        <v>4.3</v>
      </c>
      <c r="E9996" s="59"/>
    </row>
    <row r="9997" spans="3:5" x14ac:dyDescent="0.15">
      <c r="C9997" s="255" t="s">
        <v>911</v>
      </c>
      <c r="D9997" s="59">
        <v>590.1</v>
      </c>
      <c r="E9997" s="59"/>
    </row>
    <row r="9998" spans="3:5" x14ac:dyDescent="0.15">
      <c r="C9998" s="255" t="s">
        <v>912</v>
      </c>
      <c r="D9998" s="59">
        <v>2412.5</v>
      </c>
      <c r="E9998" s="59"/>
    </row>
    <row r="9999" spans="3:5" x14ac:dyDescent="0.15">
      <c r="C9999" s="255" t="s">
        <v>913</v>
      </c>
      <c r="D9999" s="59">
        <v>0</v>
      </c>
      <c r="E9999" s="59"/>
    </row>
    <row r="10000" spans="3:5" x14ac:dyDescent="0.15">
      <c r="C10000" s="255" t="s">
        <v>914</v>
      </c>
      <c r="D10000" s="59">
        <v>9.3000000000000007</v>
      </c>
      <c r="E10000" s="59"/>
    </row>
    <row r="10001" spans="3:5" x14ac:dyDescent="0.15">
      <c r="C10001" s="255" t="s">
        <v>915</v>
      </c>
      <c r="D10001" s="59">
        <v>13</v>
      </c>
      <c r="E10001" s="59"/>
    </row>
    <row r="10002" spans="3:5" x14ac:dyDescent="0.15">
      <c r="C10002" s="255" t="s">
        <v>916</v>
      </c>
      <c r="D10002" s="59">
        <v>157.9</v>
      </c>
      <c r="E10002" s="59"/>
    </row>
    <row r="10003" spans="3:5" x14ac:dyDescent="0.15">
      <c r="C10003" s="255" t="s">
        <v>917</v>
      </c>
      <c r="D10003" s="59">
        <v>1.7</v>
      </c>
      <c r="E10003" s="59"/>
    </row>
    <row r="10004" spans="3:5" x14ac:dyDescent="0.15">
      <c r="C10004" s="255" t="s">
        <v>918</v>
      </c>
      <c r="D10004" s="59">
        <v>2631.8</v>
      </c>
      <c r="E10004" s="59"/>
    </row>
    <row r="10005" spans="3:5" x14ac:dyDescent="0.15">
      <c r="C10005" s="255" t="s">
        <v>919</v>
      </c>
      <c r="D10005" s="59">
        <v>2.7</v>
      </c>
      <c r="E10005" s="59"/>
    </row>
    <row r="10006" spans="3:5" x14ac:dyDescent="0.15">
      <c r="C10006" s="255" t="s">
        <v>920</v>
      </c>
      <c r="D10006" s="59">
        <v>981.2</v>
      </c>
      <c r="E10006" s="59"/>
    </row>
    <row r="10007" spans="3:5" x14ac:dyDescent="0.15">
      <c r="C10007" s="255" t="s">
        <v>921</v>
      </c>
      <c r="D10007" s="59">
        <v>0</v>
      </c>
      <c r="E10007" s="59"/>
    </row>
    <row r="10008" spans="3:5" x14ac:dyDescent="0.15">
      <c r="C10008" s="255" t="s">
        <v>922</v>
      </c>
      <c r="D10008" s="59">
        <v>52740.1</v>
      </c>
      <c r="E10008" s="59"/>
    </row>
    <row r="10009" spans="3:5" x14ac:dyDescent="0.15">
      <c r="C10009" s="255" t="s">
        <v>923</v>
      </c>
      <c r="D10009" s="59">
        <v>17523.5</v>
      </c>
      <c r="E10009" s="59"/>
    </row>
    <row r="10010" spans="3:5" x14ac:dyDescent="0.15">
      <c r="C10010" s="255" t="s">
        <v>924</v>
      </c>
      <c r="D10010" s="59">
        <v>8122.2</v>
      </c>
      <c r="E10010" s="59"/>
    </row>
    <row r="10011" spans="3:5" x14ac:dyDescent="0.15">
      <c r="C10011" s="255" t="s">
        <v>925</v>
      </c>
      <c r="D10011" s="59">
        <v>48.6</v>
      </c>
      <c r="E10011" s="59"/>
    </row>
    <row r="10012" spans="3:5" x14ac:dyDescent="0.15">
      <c r="C10012" s="255" t="s">
        <v>926</v>
      </c>
      <c r="D10012" s="59">
        <v>756.3</v>
      </c>
      <c r="E10012" s="59"/>
    </row>
    <row r="10013" spans="3:5" x14ac:dyDescent="0.15">
      <c r="C10013" s="255" t="s">
        <v>927</v>
      </c>
      <c r="D10013" s="59">
        <v>370.7</v>
      </c>
      <c r="E10013" s="59"/>
    </row>
    <row r="10014" spans="3:5" x14ac:dyDescent="0.15">
      <c r="C10014" s="255" t="s">
        <v>928</v>
      </c>
      <c r="D10014" s="59">
        <v>831.5</v>
      </c>
      <c r="E10014" s="59"/>
    </row>
    <row r="10015" spans="3:5" x14ac:dyDescent="0.15">
      <c r="C10015" s="255" t="s">
        <v>929</v>
      </c>
      <c r="D10015" s="59">
        <v>387.6</v>
      </c>
      <c r="E10015" s="59"/>
    </row>
    <row r="10016" spans="3:5" x14ac:dyDescent="0.15">
      <c r="C10016" s="255" t="s">
        <v>930</v>
      </c>
      <c r="D10016" s="59">
        <v>2384.4</v>
      </c>
      <c r="E10016" s="59"/>
    </row>
    <row r="10017" spans="3:5" x14ac:dyDescent="0.15">
      <c r="C10017" s="255" t="s">
        <v>931</v>
      </c>
      <c r="D10017" s="59">
        <v>6632.1</v>
      </c>
      <c r="E10017" s="59"/>
    </row>
    <row r="10018" spans="3:5" x14ac:dyDescent="0.15">
      <c r="C10018" s="255" t="s">
        <v>932</v>
      </c>
      <c r="D10018" s="59">
        <v>0</v>
      </c>
      <c r="E10018" s="59"/>
    </row>
    <row r="10019" spans="3:5" x14ac:dyDescent="0.15">
      <c r="C10019" s="255" t="s">
        <v>933</v>
      </c>
      <c r="D10019" s="59">
        <v>28</v>
      </c>
      <c r="E10019" s="59"/>
    </row>
    <row r="10020" spans="3:5" x14ac:dyDescent="0.15">
      <c r="C10020" s="255" t="s">
        <v>934</v>
      </c>
      <c r="D10020" s="59">
        <v>5178.3999999999996</v>
      </c>
      <c r="E10020" s="59"/>
    </row>
    <row r="10021" spans="3:5" x14ac:dyDescent="0.15">
      <c r="C10021" s="255" t="s">
        <v>935</v>
      </c>
      <c r="D10021" s="59">
        <v>1711.5</v>
      </c>
      <c r="E10021" s="59"/>
    </row>
    <row r="10022" spans="3:5" x14ac:dyDescent="0.15">
      <c r="C10022" s="255" t="s">
        <v>936</v>
      </c>
      <c r="D10022" s="59">
        <v>4061.2</v>
      </c>
      <c r="E10022" s="59"/>
    </row>
    <row r="10023" spans="3:5" x14ac:dyDescent="0.15">
      <c r="C10023" s="255" t="s">
        <v>937</v>
      </c>
      <c r="D10023" s="59">
        <v>1095.5</v>
      </c>
      <c r="E10023" s="59"/>
    </row>
    <row r="10024" spans="3:5" x14ac:dyDescent="0.15">
      <c r="C10024" s="255" t="s">
        <v>938</v>
      </c>
      <c r="D10024" s="59">
        <v>280.10000000000002</v>
      </c>
      <c r="E10024" s="59"/>
    </row>
    <row r="10025" spans="3:5" x14ac:dyDescent="0.15">
      <c r="C10025" s="255" t="s">
        <v>939</v>
      </c>
      <c r="D10025" s="59">
        <v>0</v>
      </c>
      <c r="E10025" s="59"/>
    </row>
    <row r="10026" spans="3:5" x14ac:dyDescent="0.15">
      <c r="C10026" s="255" t="s">
        <v>940</v>
      </c>
      <c r="D10026" s="59">
        <v>91.5</v>
      </c>
      <c r="E10026" s="59"/>
    </row>
    <row r="10027" spans="3:5" x14ac:dyDescent="0.15">
      <c r="C10027" s="255" t="s">
        <v>941</v>
      </c>
      <c r="D10027" s="59">
        <v>78</v>
      </c>
      <c r="E10027" s="59"/>
    </row>
    <row r="10028" spans="3:5" x14ac:dyDescent="0.15">
      <c r="C10028" s="255" t="s">
        <v>942</v>
      </c>
      <c r="D10028" s="59">
        <v>0</v>
      </c>
      <c r="E10028" s="59"/>
    </row>
    <row r="10029" spans="3:5" x14ac:dyDescent="0.15">
      <c r="C10029" s="255" t="s">
        <v>943</v>
      </c>
      <c r="D10029" s="59">
        <v>1004.6</v>
      </c>
      <c r="E10029" s="59"/>
    </row>
    <row r="10030" spans="3:5" x14ac:dyDescent="0.15">
      <c r="C10030" s="255" t="s">
        <v>944</v>
      </c>
      <c r="D10030" s="59">
        <v>214.4</v>
      </c>
      <c r="E10030" s="59"/>
    </row>
    <row r="10031" spans="3:5" x14ac:dyDescent="0.15">
      <c r="C10031" s="255" t="s">
        <v>945</v>
      </c>
      <c r="D10031" s="59">
        <v>1840.5</v>
      </c>
      <c r="E10031" s="59"/>
    </row>
    <row r="10032" spans="3:5" x14ac:dyDescent="0.15">
      <c r="C10032" s="255" t="s">
        <v>946</v>
      </c>
      <c r="D10032" s="59">
        <v>85.7</v>
      </c>
      <c r="E10032" s="59"/>
    </row>
    <row r="10033" spans="3:5" x14ac:dyDescent="0.15">
      <c r="C10033" s="255" t="s">
        <v>947</v>
      </c>
      <c r="D10033" s="59">
        <v>14.1</v>
      </c>
      <c r="E10033" s="59"/>
    </row>
    <row r="10034" spans="3:5" x14ac:dyDescent="0.15">
      <c r="C10034" s="255" t="s">
        <v>948</v>
      </c>
      <c r="D10034" s="59">
        <v>9078.2000000000007</v>
      </c>
      <c r="E10034" s="59"/>
    </row>
    <row r="10035" spans="3:5" x14ac:dyDescent="0.15">
      <c r="C10035" s="255" t="s">
        <v>949</v>
      </c>
      <c r="D10035" s="59">
        <v>227.3</v>
      </c>
      <c r="E10035" s="59"/>
    </row>
    <row r="10036" spans="3:5" x14ac:dyDescent="0.15">
      <c r="C10036" s="255" t="s">
        <v>950</v>
      </c>
      <c r="D10036" s="59">
        <v>2.4</v>
      </c>
      <c r="E10036" s="59"/>
    </row>
    <row r="10037" spans="3:5" x14ac:dyDescent="0.15">
      <c r="C10037" s="255" t="s">
        <v>951</v>
      </c>
      <c r="D10037" s="59">
        <v>1388</v>
      </c>
      <c r="E10037" s="59"/>
    </row>
    <row r="10038" spans="3:5" x14ac:dyDescent="0.15">
      <c r="C10038" s="255" t="s">
        <v>952</v>
      </c>
      <c r="D10038" s="59">
        <v>196.4</v>
      </c>
      <c r="E10038" s="59"/>
    </row>
    <row r="10039" spans="3:5" x14ac:dyDescent="0.15">
      <c r="C10039" s="255" t="s">
        <v>953</v>
      </c>
      <c r="D10039" s="59">
        <v>301.7</v>
      </c>
      <c r="E10039" s="59"/>
    </row>
    <row r="10040" spans="3:5" x14ac:dyDescent="0.15">
      <c r="C10040" s="255" t="s">
        <v>954</v>
      </c>
      <c r="D10040" s="59">
        <v>2494.6</v>
      </c>
      <c r="E10040" s="59"/>
    </row>
    <row r="10041" spans="3:5" x14ac:dyDescent="0.15">
      <c r="C10041" s="255" t="s">
        <v>955</v>
      </c>
      <c r="D10041" s="59">
        <v>1672.4</v>
      </c>
      <c r="E10041" s="59"/>
    </row>
    <row r="10042" spans="3:5" x14ac:dyDescent="0.15">
      <c r="C10042" s="255" t="s">
        <v>956</v>
      </c>
      <c r="D10042" s="59">
        <v>2795.4</v>
      </c>
      <c r="E10042" s="59"/>
    </row>
    <row r="10043" spans="3:5" x14ac:dyDescent="0.15">
      <c r="C10043" s="255" t="s">
        <v>957</v>
      </c>
      <c r="D10043" s="59">
        <v>32504.1</v>
      </c>
      <c r="E10043" s="59"/>
    </row>
    <row r="10044" spans="3:5" x14ac:dyDescent="0.15">
      <c r="C10044" s="255" t="s">
        <v>958</v>
      </c>
      <c r="D10044" s="59">
        <v>440.7</v>
      </c>
      <c r="E10044" s="59"/>
    </row>
    <row r="10045" spans="3:5" x14ac:dyDescent="0.15">
      <c r="C10045" s="255" t="s">
        <v>959</v>
      </c>
      <c r="D10045" s="59">
        <v>765.9</v>
      </c>
      <c r="E10045" s="59"/>
    </row>
    <row r="10046" spans="3:5" x14ac:dyDescent="0.15">
      <c r="C10046" s="255" t="s">
        <v>960</v>
      </c>
      <c r="D10046" s="59">
        <v>359.8</v>
      </c>
      <c r="E10046" s="59"/>
    </row>
    <row r="10047" spans="3:5" x14ac:dyDescent="0.15">
      <c r="C10047" s="255" t="s">
        <v>961</v>
      </c>
      <c r="D10047" s="59">
        <v>2.4</v>
      </c>
      <c r="E10047" s="59"/>
    </row>
    <row r="10048" spans="3:5" x14ac:dyDescent="0.15">
      <c r="C10048" s="255" t="s">
        <v>962</v>
      </c>
      <c r="D10048" s="59">
        <v>0.1</v>
      </c>
      <c r="E10048" s="59"/>
    </row>
    <row r="10049" spans="3:5" x14ac:dyDescent="0.15">
      <c r="C10049" s="255" t="s">
        <v>963</v>
      </c>
      <c r="D10049" s="59">
        <v>914.5</v>
      </c>
      <c r="E10049" s="59"/>
    </row>
    <row r="10050" spans="3:5" x14ac:dyDescent="0.15">
      <c r="C10050" s="255" t="s">
        <v>964</v>
      </c>
      <c r="D10050" s="59">
        <v>546.5</v>
      </c>
      <c r="E10050" s="59"/>
    </row>
    <row r="10051" spans="3:5" x14ac:dyDescent="0.15">
      <c r="C10051" s="255" t="s">
        <v>965</v>
      </c>
      <c r="D10051" s="59">
        <v>140.9</v>
      </c>
      <c r="E10051" s="59"/>
    </row>
    <row r="10052" spans="3:5" x14ac:dyDescent="0.15">
      <c r="C10052" s="255" t="s">
        <v>966</v>
      </c>
      <c r="D10052" s="59">
        <v>52.5</v>
      </c>
      <c r="E10052" s="59"/>
    </row>
    <row r="10053" spans="3:5" x14ac:dyDescent="0.15">
      <c r="C10053" s="255" t="s">
        <v>967</v>
      </c>
      <c r="D10053" s="59">
        <v>210.8</v>
      </c>
      <c r="E10053" s="59"/>
    </row>
    <row r="10054" spans="3:5" x14ac:dyDescent="0.15">
      <c r="C10054" s="255" t="s">
        <v>968</v>
      </c>
      <c r="D10054" s="59">
        <v>0</v>
      </c>
      <c r="E10054" s="59"/>
    </row>
    <row r="10055" spans="3:5" x14ac:dyDescent="0.15">
      <c r="C10055" s="255" t="s">
        <v>969</v>
      </c>
      <c r="D10055" s="59">
        <v>4.7</v>
      </c>
      <c r="E10055" s="59"/>
    </row>
    <row r="10056" spans="3:5" x14ac:dyDescent="0.15">
      <c r="C10056" s="255" t="s">
        <v>970</v>
      </c>
      <c r="D10056" s="59">
        <v>6.8</v>
      </c>
      <c r="E10056" s="59"/>
    </row>
    <row r="10057" spans="3:5" x14ac:dyDescent="0.15">
      <c r="C10057" s="255" t="s">
        <v>971</v>
      </c>
      <c r="D10057" s="59">
        <v>47.6</v>
      </c>
      <c r="E10057" s="59"/>
    </row>
    <row r="10058" spans="3:5" x14ac:dyDescent="0.15">
      <c r="C10058" s="255" t="s">
        <v>972</v>
      </c>
      <c r="D10058" s="59">
        <v>1253.5999999999999</v>
      </c>
      <c r="E10058" s="59"/>
    </row>
    <row r="10059" spans="3:5" x14ac:dyDescent="0.15">
      <c r="C10059" s="255" t="s">
        <v>973</v>
      </c>
      <c r="D10059" s="59">
        <v>67.5</v>
      </c>
      <c r="E10059" s="59"/>
    </row>
    <row r="10060" spans="3:5" x14ac:dyDescent="0.15">
      <c r="C10060" s="255" t="s">
        <v>974</v>
      </c>
      <c r="D10060" s="59">
        <v>245.1</v>
      </c>
      <c r="E10060" s="59"/>
    </row>
    <row r="10061" spans="3:5" x14ac:dyDescent="0.15">
      <c r="C10061" s="255" t="s">
        <v>975</v>
      </c>
      <c r="D10061" s="59">
        <v>0</v>
      </c>
      <c r="E10061" s="59"/>
    </row>
    <row r="10062" spans="3:5" x14ac:dyDescent="0.15">
      <c r="C10062" s="255" t="s">
        <v>976</v>
      </c>
      <c r="D10062" s="59">
        <v>5.6</v>
      </c>
      <c r="E10062" s="59"/>
    </row>
    <row r="10063" spans="3:5" x14ac:dyDescent="0.15">
      <c r="C10063" s="255" t="s">
        <v>977</v>
      </c>
      <c r="D10063" s="59">
        <v>395.9</v>
      </c>
      <c r="E10063" s="59"/>
    </row>
    <row r="10064" spans="3:5" x14ac:dyDescent="0.15">
      <c r="C10064" s="255" t="s">
        <v>978</v>
      </c>
      <c r="D10064" s="59">
        <v>1417.4</v>
      </c>
      <c r="E10064" s="59"/>
    </row>
    <row r="10065" spans="3:5" x14ac:dyDescent="0.15">
      <c r="C10065" s="255" t="s">
        <v>979</v>
      </c>
      <c r="D10065" s="59">
        <v>518.20000000000005</v>
      </c>
      <c r="E10065" s="59"/>
    </row>
    <row r="10066" spans="3:5" x14ac:dyDescent="0.15">
      <c r="C10066" s="255" t="s">
        <v>980</v>
      </c>
      <c r="D10066" s="59">
        <v>355.1</v>
      </c>
      <c r="E10066" s="59"/>
    </row>
    <row r="10067" spans="3:5" x14ac:dyDescent="0.15">
      <c r="C10067" s="255" t="s">
        <v>981</v>
      </c>
      <c r="D10067" s="59">
        <v>0</v>
      </c>
      <c r="E10067" s="59"/>
    </row>
    <row r="10068" spans="3:5" x14ac:dyDescent="0.15">
      <c r="C10068" s="255" t="s">
        <v>982</v>
      </c>
      <c r="D10068" s="59">
        <v>736.3</v>
      </c>
      <c r="E10068" s="59"/>
    </row>
    <row r="10069" spans="3:5" x14ac:dyDescent="0.15">
      <c r="C10069" s="255" t="s">
        <v>983</v>
      </c>
      <c r="D10069" s="59">
        <v>1943.1</v>
      </c>
      <c r="E10069" s="59"/>
    </row>
    <row r="10070" spans="3:5" x14ac:dyDescent="0.15">
      <c r="C10070" s="255" t="s">
        <v>984</v>
      </c>
      <c r="D10070" s="59">
        <v>127.9</v>
      </c>
      <c r="E10070" s="59"/>
    </row>
    <row r="10071" spans="3:5" x14ac:dyDescent="0.15">
      <c r="C10071" s="255" t="s">
        <v>985</v>
      </c>
      <c r="D10071" s="59">
        <v>1667.8</v>
      </c>
      <c r="E10071" s="59"/>
    </row>
    <row r="10072" spans="3:5" x14ac:dyDescent="0.15">
      <c r="C10072" s="255" t="s">
        <v>986</v>
      </c>
      <c r="D10072" s="59">
        <v>1244.2</v>
      </c>
      <c r="E10072" s="59"/>
    </row>
    <row r="10073" spans="3:5" x14ac:dyDescent="0.15">
      <c r="C10073" s="255" t="s">
        <v>987</v>
      </c>
      <c r="D10073" s="59">
        <v>244.2</v>
      </c>
      <c r="E10073" s="59"/>
    </row>
    <row r="10074" spans="3:5" x14ac:dyDescent="0.15">
      <c r="C10074" s="255" t="s">
        <v>988</v>
      </c>
      <c r="D10074" s="59">
        <v>1571.8</v>
      </c>
      <c r="E10074" s="59"/>
    </row>
    <row r="10075" spans="3:5" x14ac:dyDescent="0.15">
      <c r="C10075" s="255" t="s">
        <v>989</v>
      </c>
      <c r="D10075" s="59">
        <v>1378.9</v>
      </c>
      <c r="E10075" s="59"/>
    </row>
    <row r="10076" spans="3:5" x14ac:dyDescent="0.15">
      <c r="C10076" s="255" t="s">
        <v>990</v>
      </c>
      <c r="D10076" s="59">
        <v>459.5</v>
      </c>
      <c r="E10076" s="59"/>
    </row>
    <row r="10077" spans="3:5" x14ac:dyDescent="0.15">
      <c r="C10077" s="255" t="s">
        <v>991</v>
      </c>
      <c r="D10077" s="59">
        <v>5177.5</v>
      </c>
      <c r="E10077" s="59"/>
    </row>
    <row r="10078" spans="3:5" x14ac:dyDescent="0.15">
      <c r="C10078" s="255" t="s">
        <v>992</v>
      </c>
      <c r="D10078" s="59">
        <v>23.7</v>
      </c>
      <c r="E10078" s="59"/>
    </row>
    <row r="10079" spans="3:5" x14ac:dyDescent="0.15">
      <c r="C10079" s="255" t="s">
        <v>993</v>
      </c>
      <c r="D10079" s="59">
        <v>141.19999999999999</v>
      </c>
      <c r="E10079" s="59"/>
    </row>
    <row r="10080" spans="3:5" x14ac:dyDescent="0.15">
      <c r="C10080" s="255" t="s">
        <v>994</v>
      </c>
      <c r="D10080" s="59">
        <v>0</v>
      </c>
      <c r="E10080" s="59"/>
    </row>
    <row r="10081" spans="3:5" x14ac:dyDescent="0.15">
      <c r="C10081" s="255" t="s">
        <v>995</v>
      </c>
      <c r="D10081" s="59">
        <v>869.1</v>
      </c>
      <c r="E10081" s="59"/>
    </row>
    <row r="10082" spans="3:5" x14ac:dyDescent="0.15">
      <c r="C10082" s="255" t="s">
        <v>996</v>
      </c>
      <c r="D10082" s="59">
        <v>375.1</v>
      </c>
      <c r="E10082" s="59"/>
    </row>
    <row r="10083" spans="3:5" x14ac:dyDescent="0.15">
      <c r="C10083" s="255" t="s">
        <v>997</v>
      </c>
      <c r="D10083" s="59">
        <v>214.1</v>
      </c>
      <c r="E10083" s="59"/>
    </row>
    <row r="10084" spans="3:5" x14ac:dyDescent="0.15">
      <c r="C10084" s="255" t="s">
        <v>998</v>
      </c>
      <c r="D10084" s="59">
        <v>96.6</v>
      </c>
      <c r="E10084" s="59"/>
    </row>
    <row r="10085" spans="3:5" x14ac:dyDescent="0.15">
      <c r="C10085" s="255" t="s">
        <v>999</v>
      </c>
      <c r="D10085" s="59">
        <v>26.8</v>
      </c>
      <c r="E10085" s="59"/>
    </row>
    <row r="10086" spans="3:5" x14ac:dyDescent="0.15">
      <c r="C10086" s="255" t="s">
        <v>1000</v>
      </c>
      <c r="D10086" s="59">
        <v>1060</v>
      </c>
      <c r="E10086" s="59"/>
    </row>
    <row r="10087" spans="3:5" x14ac:dyDescent="0.15">
      <c r="C10087" s="255" t="s">
        <v>1001</v>
      </c>
      <c r="D10087" s="59">
        <v>528.79999999999995</v>
      </c>
      <c r="E10087" s="59"/>
    </row>
    <row r="10088" spans="3:5" x14ac:dyDescent="0.15">
      <c r="C10088" s="255" t="s">
        <v>1002</v>
      </c>
      <c r="D10088" s="59">
        <v>209.1</v>
      </c>
      <c r="E10088" s="59"/>
    </row>
    <row r="10089" spans="3:5" x14ac:dyDescent="0.15">
      <c r="C10089" s="255" t="s">
        <v>1003</v>
      </c>
      <c r="D10089" s="59">
        <v>81.400000000000006</v>
      </c>
      <c r="E10089" s="59"/>
    </row>
    <row r="10090" spans="3:5" x14ac:dyDescent="0.15">
      <c r="C10090" s="255" t="s">
        <v>1004</v>
      </c>
      <c r="D10090" s="59">
        <v>108.4</v>
      </c>
      <c r="E10090" s="59"/>
    </row>
    <row r="10091" spans="3:5" x14ac:dyDescent="0.15">
      <c r="C10091" s="255" t="s">
        <v>1005</v>
      </c>
      <c r="D10091" s="59">
        <v>23.4</v>
      </c>
      <c r="E10091" s="59"/>
    </row>
    <row r="10092" spans="3:5" x14ac:dyDescent="0.15">
      <c r="C10092" s="255" t="s">
        <v>1006</v>
      </c>
      <c r="D10092" s="59">
        <v>6443.7</v>
      </c>
      <c r="E10092" s="59"/>
    </row>
    <row r="10093" spans="3:5" x14ac:dyDescent="0.15">
      <c r="C10093" s="255" t="s">
        <v>1007</v>
      </c>
      <c r="D10093" s="59">
        <v>823.2</v>
      </c>
      <c r="E10093" s="59"/>
    </row>
    <row r="10094" spans="3:5" x14ac:dyDescent="0.15">
      <c r="C10094" s="255" t="s">
        <v>1008</v>
      </c>
      <c r="D10094" s="59">
        <v>511.3</v>
      </c>
      <c r="E10094" s="59"/>
    </row>
    <row r="10095" spans="3:5" x14ac:dyDescent="0.15">
      <c r="C10095" s="255" t="s">
        <v>1009</v>
      </c>
      <c r="D10095" s="59">
        <v>25.4</v>
      </c>
      <c r="E10095" s="59"/>
    </row>
    <row r="10096" spans="3:5" x14ac:dyDescent="0.15">
      <c r="C10096" s="255" t="s">
        <v>1010</v>
      </c>
      <c r="D10096" s="59">
        <v>24.2</v>
      </c>
      <c r="E10096" s="59"/>
    </row>
    <row r="10097" spans="3:5" x14ac:dyDescent="0.15">
      <c r="C10097" s="255" t="s">
        <v>1011</v>
      </c>
      <c r="D10097" s="59">
        <v>262.39999999999998</v>
      </c>
      <c r="E10097" s="59"/>
    </row>
    <row r="10098" spans="3:5" x14ac:dyDescent="0.15">
      <c r="C10098" s="255" t="s">
        <v>1012</v>
      </c>
      <c r="D10098" s="59">
        <v>16038.8</v>
      </c>
      <c r="E10098" s="59"/>
    </row>
    <row r="10099" spans="3:5" x14ac:dyDescent="0.15">
      <c r="C10099" s="255" t="s">
        <v>1013</v>
      </c>
      <c r="D10099" s="59">
        <v>8394.7000000000007</v>
      </c>
      <c r="E10099" s="59"/>
    </row>
    <row r="10100" spans="3:5" x14ac:dyDescent="0.15">
      <c r="C10100" s="255" t="s">
        <v>1014</v>
      </c>
      <c r="D10100" s="59">
        <v>2925.8</v>
      </c>
      <c r="E10100" s="59"/>
    </row>
    <row r="10101" spans="3:5" x14ac:dyDescent="0.15">
      <c r="C10101" s="255" t="s">
        <v>1015</v>
      </c>
      <c r="D10101" s="59">
        <v>699.3</v>
      </c>
      <c r="E10101" s="59"/>
    </row>
    <row r="10102" spans="3:5" x14ac:dyDescent="0.15">
      <c r="C10102" s="255" t="s">
        <v>1016</v>
      </c>
      <c r="D10102" s="59">
        <v>2677</v>
      </c>
      <c r="E10102" s="59"/>
    </row>
    <row r="10103" spans="3:5" x14ac:dyDescent="0.15">
      <c r="C10103" s="255" t="s">
        <v>1017</v>
      </c>
      <c r="D10103" s="59">
        <v>1342.1</v>
      </c>
      <c r="E10103" s="59"/>
    </row>
    <row r="10104" spans="3:5" x14ac:dyDescent="0.15">
      <c r="C10104" s="255" t="s">
        <v>1018</v>
      </c>
      <c r="D10104" s="59">
        <v>0</v>
      </c>
      <c r="E10104" s="59"/>
    </row>
    <row r="10105" spans="3:5" x14ac:dyDescent="0.15">
      <c r="C10105" s="255" t="s">
        <v>1019</v>
      </c>
      <c r="D10105" s="59">
        <v>30573.1</v>
      </c>
      <c r="E10105" s="59"/>
    </row>
    <row r="10106" spans="3:5" x14ac:dyDescent="0.15">
      <c r="C10106" s="255" t="s">
        <v>1020</v>
      </c>
      <c r="D10106" s="59">
        <v>408.1</v>
      </c>
      <c r="E10106" s="59"/>
    </row>
    <row r="10107" spans="3:5" x14ac:dyDescent="0.15">
      <c r="C10107" s="255" t="s">
        <v>1021</v>
      </c>
      <c r="D10107" s="59">
        <v>1504.2</v>
      </c>
      <c r="E10107" s="59"/>
    </row>
    <row r="10108" spans="3:5" x14ac:dyDescent="0.15">
      <c r="C10108" s="255" t="s">
        <v>1022</v>
      </c>
      <c r="D10108" s="59">
        <v>745.5</v>
      </c>
      <c r="E10108" s="59"/>
    </row>
    <row r="10109" spans="3:5" x14ac:dyDescent="0.15">
      <c r="C10109" s="255" t="s">
        <v>1023</v>
      </c>
      <c r="D10109" s="59">
        <v>390.4</v>
      </c>
      <c r="E10109" s="59"/>
    </row>
    <row r="10110" spans="3:5" x14ac:dyDescent="0.15">
      <c r="C10110" s="255" t="s">
        <v>1024</v>
      </c>
      <c r="D10110" s="59">
        <v>26.7</v>
      </c>
      <c r="E10110" s="59"/>
    </row>
    <row r="10111" spans="3:5" x14ac:dyDescent="0.15">
      <c r="C10111" s="255" t="s">
        <v>1025</v>
      </c>
      <c r="D10111" s="59">
        <v>285.2</v>
      </c>
      <c r="E10111" s="59"/>
    </row>
    <row r="10112" spans="3:5" x14ac:dyDescent="0.15">
      <c r="C10112" s="255" t="s">
        <v>1026</v>
      </c>
      <c r="D10112" s="59">
        <v>4319.8999999999996</v>
      </c>
      <c r="E10112" s="59"/>
    </row>
    <row r="10113" spans="3:5" x14ac:dyDescent="0.15">
      <c r="C10113" s="255" t="s">
        <v>1027</v>
      </c>
      <c r="D10113" s="59">
        <v>0</v>
      </c>
      <c r="E10113" s="59"/>
    </row>
    <row r="10114" spans="3:5" x14ac:dyDescent="0.15">
      <c r="C10114" s="255" t="s">
        <v>1028</v>
      </c>
      <c r="D10114" s="59">
        <v>524.5</v>
      </c>
      <c r="E10114" s="59"/>
    </row>
    <row r="10115" spans="3:5" x14ac:dyDescent="0.15">
      <c r="C10115" s="255" t="s">
        <v>1029</v>
      </c>
      <c r="D10115" s="59">
        <v>323.10000000000002</v>
      </c>
      <c r="E10115" s="59"/>
    </row>
    <row r="10116" spans="3:5" x14ac:dyDescent="0.15">
      <c r="C10116" s="255" t="s">
        <v>1030</v>
      </c>
      <c r="D10116" s="59">
        <v>3</v>
      </c>
      <c r="E10116" s="59"/>
    </row>
    <row r="10117" spans="3:5" x14ac:dyDescent="0.15">
      <c r="C10117" s="255" t="s">
        <v>1031</v>
      </c>
      <c r="D10117" s="59">
        <v>741.6</v>
      </c>
      <c r="E10117" s="59"/>
    </row>
    <row r="10118" spans="3:5" x14ac:dyDescent="0.15">
      <c r="C10118" s="255" t="s">
        <v>1032</v>
      </c>
      <c r="D10118" s="59">
        <v>2.5</v>
      </c>
      <c r="E10118" s="59"/>
    </row>
    <row r="10119" spans="3:5" x14ac:dyDescent="0.15">
      <c r="C10119" s="255" t="s">
        <v>1033</v>
      </c>
      <c r="D10119" s="59">
        <v>4.9000000000000004</v>
      </c>
      <c r="E10119" s="59"/>
    </row>
    <row r="10120" spans="3:5" x14ac:dyDescent="0.15">
      <c r="C10120" s="255" t="s">
        <v>1034</v>
      </c>
      <c r="D10120" s="59">
        <v>173.1</v>
      </c>
      <c r="E10120" s="59"/>
    </row>
    <row r="10121" spans="3:5" x14ac:dyDescent="0.15">
      <c r="C10121" s="255" t="s">
        <v>1035</v>
      </c>
      <c r="D10121" s="59">
        <v>2928.7</v>
      </c>
      <c r="E10121" s="59"/>
    </row>
    <row r="10122" spans="3:5" x14ac:dyDescent="0.15">
      <c r="C10122" s="255" t="s">
        <v>1036</v>
      </c>
      <c r="D10122" s="59">
        <v>126.4</v>
      </c>
      <c r="E10122" s="59"/>
    </row>
    <row r="10123" spans="3:5" x14ac:dyDescent="0.15">
      <c r="C10123" s="255" t="s">
        <v>1037</v>
      </c>
      <c r="D10123" s="59">
        <v>783.2</v>
      </c>
      <c r="E10123" s="59"/>
    </row>
    <row r="10124" spans="3:5" x14ac:dyDescent="0.15">
      <c r="C10124" s="255" t="s">
        <v>1038</v>
      </c>
      <c r="D10124" s="59">
        <v>5592.5</v>
      </c>
      <c r="E10124" s="59"/>
    </row>
    <row r="10125" spans="3:5" x14ac:dyDescent="0.15">
      <c r="C10125" s="255" t="s">
        <v>1039</v>
      </c>
      <c r="D10125" s="59">
        <v>1161.5999999999999</v>
      </c>
      <c r="E10125" s="59"/>
    </row>
    <row r="10126" spans="3:5" x14ac:dyDescent="0.15">
      <c r="C10126" s="255" t="s">
        <v>1040</v>
      </c>
      <c r="D10126" s="59">
        <v>6134.6</v>
      </c>
      <c r="E10126" s="59"/>
    </row>
    <row r="10127" spans="3:5" x14ac:dyDescent="0.15">
      <c r="C10127" s="255" t="s">
        <v>1041</v>
      </c>
      <c r="D10127" s="59">
        <v>477</v>
      </c>
      <c r="E10127" s="59"/>
    </row>
    <row r="10128" spans="3:5" x14ac:dyDescent="0.15">
      <c r="C10128" s="255" t="s">
        <v>1042</v>
      </c>
      <c r="D10128" s="59">
        <v>2436.3000000000002</v>
      </c>
      <c r="E10128" s="59"/>
    </row>
    <row r="10129" spans="2:5" x14ac:dyDescent="0.15">
      <c r="C10129" s="255" t="s">
        <v>1043</v>
      </c>
      <c r="D10129" s="59">
        <v>472.2</v>
      </c>
      <c r="E10129" s="59"/>
    </row>
    <row r="10130" spans="2:5" x14ac:dyDescent="0.15">
      <c r="C10130" s="255" t="s">
        <v>1044</v>
      </c>
      <c r="D10130" s="59">
        <v>229.5</v>
      </c>
      <c r="E10130" s="59"/>
    </row>
    <row r="10131" spans="2:5" x14ac:dyDescent="0.15">
      <c r="C10131" s="255" t="s">
        <v>1045</v>
      </c>
      <c r="D10131" s="59">
        <v>77.7</v>
      </c>
      <c r="E10131" s="59"/>
    </row>
    <row r="10132" spans="2:5" x14ac:dyDescent="0.15">
      <c r="C10132" s="255" t="s">
        <v>1046</v>
      </c>
      <c r="D10132" s="59">
        <v>399.9</v>
      </c>
      <c r="E10132" s="59"/>
    </row>
    <row r="10133" spans="2:5" x14ac:dyDescent="0.15">
      <c r="C10133" s="255" t="s">
        <v>1047</v>
      </c>
      <c r="D10133" s="59">
        <v>269.39999999999998</v>
      </c>
      <c r="E10133" s="59"/>
    </row>
    <row r="10134" spans="2:5" x14ac:dyDescent="0.15">
      <c r="C10134" s="255" t="s">
        <v>1048</v>
      </c>
      <c r="D10134" s="59">
        <v>31.4</v>
      </c>
      <c r="E10134" s="59"/>
    </row>
    <row r="10135" spans="2:5" x14ac:dyDescent="0.15">
      <c r="B10135" s="255" t="s">
        <v>1071</v>
      </c>
      <c r="C10135" s="255" t="s">
        <v>743</v>
      </c>
      <c r="D10135" s="59">
        <v>567</v>
      </c>
      <c r="E10135" s="59"/>
    </row>
    <row r="10136" spans="2:5" x14ac:dyDescent="0.15">
      <c r="C10136" s="255" t="s">
        <v>744</v>
      </c>
      <c r="D10136" s="59">
        <v>569.29999999999995</v>
      </c>
      <c r="E10136" s="59"/>
    </row>
    <row r="10137" spans="2:5" x14ac:dyDescent="0.15">
      <c r="C10137" s="255" t="s">
        <v>745</v>
      </c>
      <c r="D10137" s="59">
        <v>1206.9000000000001</v>
      </c>
      <c r="E10137" s="59"/>
    </row>
    <row r="10138" spans="2:5" x14ac:dyDescent="0.15">
      <c r="C10138" s="255" t="s">
        <v>746</v>
      </c>
      <c r="D10138" s="59">
        <v>2.1</v>
      </c>
      <c r="E10138" s="59"/>
    </row>
    <row r="10139" spans="2:5" x14ac:dyDescent="0.15">
      <c r="C10139" s="255" t="s">
        <v>747</v>
      </c>
      <c r="D10139" s="59">
        <v>1.7</v>
      </c>
      <c r="E10139" s="59"/>
    </row>
    <row r="10140" spans="2:5" x14ac:dyDescent="0.15">
      <c r="C10140" s="255" t="s">
        <v>748</v>
      </c>
      <c r="D10140" s="59">
        <v>0.4</v>
      </c>
      <c r="E10140" s="59"/>
    </row>
    <row r="10141" spans="2:5" x14ac:dyDescent="0.15">
      <c r="C10141" s="255" t="s">
        <v>749</v>
      </c>
      <c r="D10141" s="59">
        <v>0.5</v>
      </c>
      <c r="E10141" s="59"/>
    </row>
    <row r="10142" spans="2:5" x14ac:dyDescent="0.15">
      <c r="C10142" s="255" t="s">
        <v>750</v>
      </c>
      <c r="D10142" s="59">
        <v>0.4</v>
      </c>
      <c r="E10142" s="59"/>
    </row>
    <row r="10143" spans="2:5" x14ac:dyDescent="0.15">
      <c r="C10143" s="255" t="s">
        <v>751</v>
      </c>
      <c r="D10143" s="59">
        <v>53.3</v>
      </c>
      <c r="E10143" s="59"/>
    </row>
    <row r="10144" spans="2:5" x14ac:dyDescent="0.15">
      <c r="C10144" s="255" t="s">
        <v>752</v>
      </c>
      <c r="D10144" s="59">
        <v>1.5</v>
      </c>
      <c r="E10144" s="59"/>
    </row>
    <row r="10145" spans="3:5" x14ac:dyDescent="0.15">
      <c r="C10145" s="255" t="s">
        <v>753</v>
      </c>
      <c r="D10145" s="59">
        <v>116.8</v>
      </c>
      <c r="E10145" s="59"/>
    </row>
    <row r="10146" spans="3:5" x14ac:dyDescent="0.15">
      <c r="C10146" s="255" t="s">
        <v>754</v>
      </c>
      <c r="D10146" s="59">
        <v>1956.2</v>
      </c>
      <c r="E10146" s="59"/>
    </row>
    <row r="10147" spans="3:5" x14ac:dyDescent="0.15">
      <c r="C10147" s="255" t="s">
        <v>192</v>
      </c>
      <c r="D10147" s="59">
        <v>280596.8</v>
      </c>
      <c r="E10147" s="59"/>
    </row>
    <row r="10148" spans="3:5" x14ac:dyDescent="0.15">
      <c r="C10148" s="255" t="s">
        <v>755</v>
      </c>
      <c r="D10148" s="59">
        <v>34785.300000000003</v>
      </c>
      <c r="E10148" s="59"/>
    </row>
    <row r="10149" spans="3:5" x14ac:dyDescent="0.15">
      <c r="C10149" s="255" t="s">
        <v>756</v>
      </c>
      <c r="D10149" s="59">
        <v>133.6</v>
      </c>
      <c r="E10149" s="59"/>
    </row>
    <row r="10150" spans="3:5" x14ac:dyDescent="0.15">
      <c r="C10150" s="255" t="s">
        <v>757</v>
      </c>
      <c r="D10150" s="59">
        <v>126.6</v>
      </c>
      <c r="E10150" s="59"/>
    </row>
    <row r="10151" spans="3:5" x14ac:dyDescent="0.15">
      <c r="C10151" s="255" t="s">
        <v>758</v>
      </c>
      <c r="D10151" s="59">
        <v>2307</v>
      </c>
      <c r="E10151" s="59"/>
    </row>
    <row r="10152" spans="3:5" x14ac:dyDescent="0.15">
      <c r="C10152" s="255" t="s">
        <v>759</v>
      </c>
      <c r="D10152" s="59">
        <v>1373.7</v>
      </c>
      <c r="E10152" s="59"/>
    </row>
    <row r="10153" spans="3:5" x14ac:dyDescent="0.15">
      <c r="C10153" s="255" t="s">
        <v>760</v>
      </c>
      <c r="D10153" s="59">
        <v>239.3</v>
      </c>
      <c r="E10153" s="59"/>
    </row>
    <row r="10154" spans="3:5" x14ac:dyDescent="0.15">
      <c r="C10154" s="255" t="s">
        <v>761</v>
      </c>
      <c r="D10154" s="59">
        <v>350.3</v>
      </c>
      <c r="E10154" s="59"/>
    </row>
    <row r="10155" spans="3:5" x14ac:dyDescent="0.15">
      <c r="C10155" s="255" t="s">
        <v>762</v>
      </c>
      <c r="D10155" s="59">
        <v>436.9</v>
      </c>
      <c r="E10155" s="59"/>
    </row>
    <row r="10156" spans="3:5" x14ac:dyDescent="0.15">
      <c r="C10156" s="255" t="s">
        <v>763</v>
      </c>
      <c r="D10156" s="59">
        <v>160.69999999999999</v>
      </c>
      <c r="E10156" s="59"/>
    </row>
    <row r="10157" spans="3:5" x14ac:dyDescent="0.15">
      <c r="C10157" s="255" t="s">
        <v>764</v>
      </c>
      <c r="D10157" s="59">
        <v>1754.2</v>
      </c>
      <c r="E10157" s="59"/>
    </row>
    <row r="10158" spans="3:5" x14ac:dyDescent="0.15">
      <c r="C10158" s="255" t="s">
        <v>765</v>
      </c>
      <c r="D10158" s="59">
        <v>1044.5999999999999</v>
      </c>
      <c r="E10158" s="59"/>
    </row>
    <row r="10159" spans="3:5" x14ac:dyDescent="0.15">
      <c r="C10159" s="255" t="s">
        <v>766</v>
      </c>
      <c r="D10159" s="59">
        <v>149</v>
      </c>
      <c r="E10159" s="59"/>
    </row>
    <row r="10160" spans="3:5" x14ac:dyDescent="0.15">
      <c r="C10160" s="255" t="s">
        <v>767</v>
      </c>
      <c r="D10160" s="59">
        <v>1274.2</v>
      </c>
      <c r="E10160" s="59"/>
    </row>
    <row r="10161" spans="3:5" x14ac:dyDescent="0.15">
      <c r="C10161" s="255" t="s">
        <v>768</v>
      </c>
      <c r="D10161" s="59">
        <v>17.5</v>
      </c>
      <c r="E10161" s="59"/>
    </row>
    <row r="10162" spans="3:5" x14ac:dyDescent="0.15">
      <c r="C10162" s="255" t="s">
        <v>769</v>
      </c>
      <c r="D10162" s="59">
        <v>32.5</v>
      </c>
      <c r="E10162" s="59"/>
    </row>
    <row r="10163" spans="3:5" x14ac:dyDescent="0.15">
      <c r="C10163" s="255" t="s">
        <v>770</v>
      </c>
      <c r="D10163" s="59">
        <v>1509.4</v>
      </c>
      <c r="E10163" s="59"/>
    </row>
    <row r="10164" spans="3:5" x14ac:dyDescent="0.15">
      <c r="C10164" s="255" t="s">
        <v>771</v>
      </c>
      <c r="D10164" s="59">
        <v>1758.1</v>
      </c>
      <c r="E10164" s="59"/>
    </row>
    <row r="10165" spans="3:5" x14ac:dyDescent="0.15">
      <c r="C10165" s="255" t="s">
        <v>772</v>
      </c>
      <c r="D10165" s="59">
        <v>453</v>
      </c>
      <c r="E10165" s="59"/>
    </row>
    <row r="10166" spans="3:5" x14ac:dyDescent="0.15">
      <c r="C10166" s="255" t="s">
        <v>773</v>
      </c>
      <c r="D10166" s="59">
        <v>111.1</v>
      </c>
      <c r="E10166" s="59"/>
    </row>
    <row r="10167" spans="3:5" x14ac:dyDescent="0.15">
      <c r="C10167" s="255" t="s">
        <v>774</v>
      </c>
      <c r="D10167" s="59">
        <v>84</v>
      </c>
      <c r="E10167" s="59"/>
    </row>
    <row r="10168" spans="3:5" x14ac:dyDescent="0.15">
      <c r="C10168" s="255" t="s">
        <v>775</v>
      </c>
      <c r="D10168" s="59">
        <v>73.7</v>
      </c>
      <c r="E10168" s="59"/>
    </row>
    <row r="10169" spans="3:5" x14ac:dyDescent="0.15">
      <c r="C10169" s="255" t="s">
        <v>776</v>
      </c>
      <c r="D10169" s="59">
        <v>229.7</v>
      </c>
      <c r="E10169" s="59"/>
    </row>
    <row r="10170" spans="3:5" x14ac:dyDescent="0.15">
      <c r="C10170" s="255" t="s">
        <v>777</v>
      </c>
      <c r="D10170" s="59">
        <v>704.6</v>
      </c>
      <c r="E10170" s="59"/>
    </row>
    <row r="10171" spans="3:5" x14ac:dyDescent="0.15">
      <c r="C10171" s="255" t="s">
        <v>778</v>
      </c>
      <c r="D10171" s="59">
        <v>430.2</v>
      </c>
      <c r="E10171" s="59"/>
    </row>
    <row r="10172" spans="3:5" x14ac:dyDescent="0.15">
      <c r="C10172" s="255" t="s">
        <v>779</v>
      </c>
      <c r="D10172" s="59">
        <v>540.1</v>
      </c>
      <c r="E10172" s="59"/>
    </row>
    <row r="10173" spans="3:5" x14ac:dyDescent="0.15">
      <c r="C10173" s="255" t="s">
        <v>780</v>
      </c>
      <c r="D10173" s="59">
        <v>8.6999999999999993</v>
      </c>
      <c r="E10173" s="59"/>
    </row>
    <row r="10174" spans="3:5" x14ac:dyDescent="0.15">
      <c r="C10174" s="255" t="s">
        <v>781</v>
      </c>
      <c r="D10174" s="59">
        <v>728.5</v>
      </c>
      <c r="E10174" s="59"/>
    </row>
    <row r="10175" spans="3:5" x14ac:dyDescent="0.15">
      <c r="C10175" s="255" t="s">
        <v>782</v>
      </c>
      <c r="D10175" s="59">
        <v>1902.4</v>
      </c>
      <c r="E10175" s="59"/>
    </row>
    <row r="10176" spans="3:5" x14ac:dyDescent="0.15">
      <c r="C10176" s="255" t="s">
        <v>783</v>
      </c>
      <c r="D10176" s="59">
        <v>713</v>
      </c>
      <c r="E10176" s="59"/>
    </row>
    <row r="10177" spans="3:5" x14ac:dyDescent="0.15">
      <c r="C10177" s="255" t="s">
        <v>784</v>
      </c>
      <c r="D10177" s="59">
        <v>586.79999999999995</v>
      </c>
      <c r="E10177" s="59"/>
    </row>
    <row r="10178" spans="3:5" x14ac:dyDescent="0.15">
      <c r="C10178" s="255" t="s">
        <v>785</v>
      </c>
      <c r="D10178" s="59">
        <v>515.20000000000005</v>
      </c>
      <c r="E10178" s="59"/>
    </row>
    <row r="10179" spans="3:5" x14ac:dyDescent="0.15">
      <c r="C10179" s="255" t="s">
        <v>786</v>
      </c>
      <c r="D10179" s="59">
        <v>180.6</v>
      </c>
      <c r="E10179" s="59"/>
    </row>
    <row r="10180" spans="3:5" x14ac:dyDescent="0.15">
      <c r="C10180" s="255" t="s">
        <v>787</v>
      </c>
      <c r="D10180" s="59">
        <v>61</v>
      </c>
      <c r="E10180" s="59"/>
    </row>
    <row r="10181" spans="3:5" x14ac:dyDescent="0.15">
      <c r="C10181" s="255" t="s">
        <v>788</v>
      </c>
      <c r="D10181" s="59">
        <v>87.7</v>
      </c>
      <c r="E10181" s="59"/>
    </row>
    <row r="10182" spans="3:5" x14ac:dyDescent="0.15">
      <c r="C10182" s="255" t="s">
        <v>789</v>
      </c>
      <c r="D10182" s="59">
        <v>6.4</v>
      </c>
      <c r="E10182" s="59"/>
    </row>
    <row r="10183" spans="3:5" x14ac:dyDescent="0.15">
      <c r="C10183" s="255" t="s">
        <v>790</v>
      </c>
      <c r="D10183" s="59">
        <v>1867.5</v>
      </c>
      <c r="E10183" s="59"/>
    </row>
    <row r="10184" spans="3:5" x14ac:dyDescent="0.15">
      <c r="C10184" s="255" t="s">
        <v>791</v>
      </c>
      <c r="D10184" s="59">
        <v>45.7</v>
      </c>
      <c r="E10184" s="59"/>
    </row>
    <row r="10185" spans="3:5" x14ac:dyDescent="0.15">
      <c r="C10185" s="255" t="s">
        <v>792</v>
      </c>
      <c r="D10185" s="59">
        <v>681</v>
      </c>
      <c r="E10185" s="59"/>
    </row>
    <row r="10186" spans="3:5" x14ac:dyDescent="0.15">
      <c r="C10186" s="255" t="s">
        <v>793</v>
      </c>
      <c r="D10186" s="59">
        <v>165.4</v>
      </c>
      <c r="E10186" s="59"/>
    </row>
    <row r="10187" spans="3:5" x14ac:dyDescent="0.15">
      <c r="C10187" s="255" t="s">
        <v>794</v>
      </c>
      <c r="D10187" s="59">
        <v>2120.3000000000002</v>
      </c>
      <c r="E10187" s="59"/>
    </row>
    <row r="10188" spans="3:5" x14ac:dyDescent="0.15">
      <c r="C10188" s="255" t="s">
        <v>795</v>
      </c>
      <c r="D10188" s="59">
        <v>229.9</v>
      </c>
      <c r="E10188" s="59"/>
    </row>
    <row r="10189" spans="3:5" x14ac:dyDescent="0.15">
      <c r="C10189" s="255" t="s">
        <v>796</v>
      </c>
      <c r="D10189" s="59">
        <v>554.1</v>
      </c>
      <c r="E10189" s="59"/>
    </row>
    <row r="10190" spans="3:5" x14ac:dyDescent="0.15">
      <c r="C10190" s="255" t="s">
        <v>797</v>
      </c>
      <c r="D10190" s="59">
        <v>655.9</v>
      </c>
      <c r="E10190" s="59"/>
    </row>
    <row r="10191" spans="3:5" x14ac:dyDescent="0.15">
      <c r="C10191" s="255" t="s">
        <v>798</v>
      </c>
      <c r="D10191" s="59">
        <v>260.8</v>
      </c>
      <c r="E10191" s="59"/>
    </row>
    <row r="10192" spans="3:5" x14ac:dyDescent="0.15">
      <c r="C10192" s="255" t="s">
        <v>799</v>
      </c>
      <c r="D10192" s="59">
        <v>90.1</v>
      </c>
      <c r="E10192" s="59"/>
    </row>
    <row r="10193" spans="3:5" x14ac:dyDescent="0.15">
      <c r="C10193" s="255" t="s">
        <v>800</v>
      </c>
      <c r="D10193" s="59">
        <v>118.6</v>
      </c>
      <c r="E10193" s="59"/>
    </row>
    <row r="10194" spans="3:5" x14ac:dyDescent="0.15">
      <c r="C10194" s="255" t="s">
        <v>801</v>
      </c>
      <c r="D10194" s="59">
        <v>279.60000000000002</v>
      </c>
      <c r="E10194" s="59"/>
    </row>
    <row r="10195" spans="3:5" x14ac:dyDescent="0.15">
      <c r="C10195" s="255" t="s">
        <v>802</v>
      </c>
      <c r="D10195" s="59">
        <v>912.7</v>
      </c>
      <c r="E10195" s="59"/>
    </row>
    <row r="10196" spans="3:5" x14ac:dyDescent="0.15">
      <c r="C10196" s="255" t="s">
        <v>803</v>
      </c>
      <c r="D10196" s="59">
        <v>1244.7</v>
      </c>
      <c r="E10196" s="59"/>
    </row>
    <row r="10197" spans="3:5" x14ac:dyDescent="0.15">
      <c r="C10197" s="255" t="s">
        <v>804</v>
      </c>
      <c r="D10197" s="59">
        <v>789.7</v>
      </c>
      <c r="E10197" s="59"/>
    </row>
    <row r="10198" spans="3:5" x14ac:dyDescent="0.15">
      <c r="C10198" s="255" t="s">
        <v>805</v>
      </c>
      <c r="D10198" s="59">
        <v>16.3</v>
      </c>
      <c r="E10198" s="59"/>
    </row>
    <row r="10199" spans="3:5" x14ac:dyDescent="0.15">
      <c r="C10199" s="255" t="s">
        <v>806</v>
      </c>
      <c r="D10199" s="59">
        <v>729.7</v>
      </c>
      <c r="E10199" s="59"/>
    </row>
    <row r="10200" spans="3:5" x14ac:dyDescent="0.15">
      <c r="C10200" s="255" t="s">
        <v>807</v>
      </c>
      <c r="D10200" s="59">
        <v>333</v>
      </c>
      <c r="E10200" s="59"/>
    </row>
    <row r="10201" spans="3:5" x14ac:dyDescent="0.15">
      <c r="C10201" s="255" t="s">
        <v>808</v>
      </c>
      <c r="D10201" s="59">
        <v>65.5</v>
      </c>
      <c r="E10201" s="59"/>
    </row>
    <row r="10202" spans="3:5" x14ac:dyDescent="0.15">
      <c r="C10202" s="255" t="s">
        <v>809</v>
      </c>
      <c r="D10202" s="59">
        <v>257.60000000000002</v>
      </c>
      <c r="E10202" s="59"/>
    </row>
    <row r="10203" spans="3:5" x14ac:dyDescent="0.15">
      <c r="C10203" s="255" t="s">
        <v>810</v>
      </c>
      <c r="D10203" s="59">
        <v>237.4</v>
      </c>
      <c r="E10203" s="59"/>
    </row>
    <row r="10204" spans="3:5" x14ac:dyDescent="0.15">
      <c r="C10204" s="255" t="s">
        <v>811</v>
      </c>
      <c r="D10204" s="59">
        <v>984.7</v>
      </c>
      <c r="E10204" s="59"/>
    </row>
    <row r="10205" spans="3:5" x14ac:dyDescent="0.15">
      <c r="C10205" s="255" t="s">
        <v>812</v>
      </c>
      <c r="D10205" s="59">
        <v>147.30000000000001</v>
      </c>
      <c r="E10205" s="59"/>
    </row>
    <row r="10206" spans="3:5" x14ac:dyDescent="0.15">
      <c r="C10206" s="255" t="s">
        <v>813</v>
      </c>
      <c r="D10206" s="59">
        <v>40</v>
      </c>
      <c r="E10206" s="59"/>
    </row>
    <row r="10207" spans="3:5" x14ac:dyDescent="0.15">
      <c r="C10207" s="255" t="s">
        <v>814</v>
      </c>
      <c r="D10207" s="59">
        <v>147.5</v>
      </c>
      <c r="E10207" s="59"/>
    </row>
    <row r="10208" spans="3:5" x14ac:dyDescent="0.15">
      <c r="C10208" s="255" t="s">
        <v>815</v>
      </c>
      <c r="D10208" s="59">
        <v>1150.0999999999999</v>
      </c>
      <c r="E10208" s="59"/>
    </row>
    <row r="10209" spans="3:5" x14ac:dyDescent="0.15">
      <c r="C10209" s="255" t="s">
        <v>816</v>
      </c>
      <c r="D10209" s="59">
        <v>575.79999999999995</v>
      </c>
      <c r="E10209" s="59"/>
    </row>
    <row r="10210" spans="3:5" x14ac:dyDescent="0.15">
      <c r="C10210" s="255" t="s">
        <v>817</v>
      </c>
      <c r="D10210" s="59">
        <v>6349.2</v>
      </c>
      <c r="E10210" s="59"/>
    </row>
    <row r="10211" spans="3:5" x14ac:dyDescent="0.15">
      <c r="C10211" s="255" t="s">
        <v>818</v>
      </c>
      <c r="D10211" s="59">
        <v>502.1</v>
      </c>
      <c r="E10211" s="59"/>
    </row>
    <row r="10212" spans="3:5" x14ac:dyDescent="0.15">
      <c r="C10212" s="255" t="s">
        <v>819</v>
      </c>
      <c r="D10212" s="59">
        <v>14.1</v>
      </c>
      <c r="E10212" s="59"/>
    </row>
    <row r="10213" spans="3:5" x14ac:dyDescent="0.15">
      <c r="C10213" s="255" t="s">
        <v>820</v>
      </c>
      <c r="D10213" s="59">
        <v>1876</v>
      </c>
      <c r="E10213" s="59"/>
    </row>
    <row r="10214" spans="3:5" x14ac:dyDescent="0.15">
      <c r="C10214" s="255" t="s">
        <v>821</v>
      </c>
      <c r="D10214" s="59">
        <v>33</v>
      </c>
      <c r="E10214" s="59"/>
    </row>
    <row r="10215" spans="3:5" x14ac:dyDescent="0.15">
      <c r="C10215" s="255" t="s">
        <v>822</v>
      </c>
      <c r="D10215" s="59">
        <v>113</v>
      </c>
      <c r="E10215" s="59"/>
    </row>
    <row r="10216" spans="3:5" x14ac:dyDescent="0.15">
      <c r="C10216" s="255" t="s">
        <v>823</v>
      </c>
      <c r="D10216" s="59">
        <v>1.8</v>
      </c>
      <c r="E10216" s="59"/>
    </row>
    <row r="10217" spans="3:5" x14ac:dyDescent="0.15">
      <c r="C10217" s="255" t="s">
        <v>824</v>
      </c>
      <c r="D10217" s="59">
        <v>642.1</v>
      </c>
      <c r="E10217" s="59"/>
    </row>
    <row r="10218" spans="3:5" x14ac:dyDescent="0.15">
      <c r="C10218" s="255" t="s">
        <v>825</v>
      </c>
      <c r="D10218" s="59">
        <v>364.3</v>
      </c>
      <c r="E10218" s="59"/>
    </row>
    <row r="10219" spans="3:5" x14ac:dyDescent="0.15">
      <c r="C10219" s="255" t="s">
        <v>826</v>
      </c>
      <c r="D10219" s="59">
        <v>1.3</v>
      </c>
      <c r="E10219" s="59"/>
    </row>
    <row r="10220" spans="3:5" x14ac:dyDescent="0.15">
      <c r="C10220" s="255" t="s">
        <v>827</v>
      </c>
      <c r="D10220" s="59">
        <v>0</v>
      </c>
      <c r="E10220" s="59"/>
    </row>
    <row r="10221" spans="3:5" x14ac:dyDescent="0.15">
      <c r="C10221" s="255" t="s">
        <v>828</v>
      </c>
      <c r="D10221" s="59">
        <v>2305.6</v>
      </c>
      <c r="E10221" s="59"/>
    </row>
    <row r="10222" spans="3:5" x14ac:dyDescent="0.15">
      <c r="C10222" s="255" t="s">
        <v>829</v>
      </c>
      <c r="D10222" s="59">
        <v>23.7</v>
      </c>
      <c r="E10222" s="59"/>
    </row>
    <row r="10223" spans="3:5" x14ac:dyDescent="0.15">
      <c r="C10223" s="255" t="s">
        <v>830</v>
      </c>
      <c r="D10223" s="59">
        <v>472.2</v>
      </c>
      <c r="E10223" s="59"/>
    </row>
    <row r="10224" spans="3:5" x14ac:dyDescent="0.15">
      <c r="C10224" s="255" t="s">
        <v>831</v>
      </c>
      <c r="D10224" s="59">
        <v>0</v>
      </c>
      <c r="E10224" s="59"/>
    </row>
    <row r="10225" spans="3:5" x14ac:dyDescent="0.15">
      <c r="C10225" s="255" t="s">
        <v>832</v>
      </c>
      <c r="D10225" s="59">
        <v>10693.7</v>
      </c>
      <c r="E10225" s="59"/>
    </row>
    <row r="10226" spans="3:5" x14ac:dyDescent="0.15">
      <c r="C10226" s="255" t="s">
        <v>833</v>
      </c>
      <c r="D10226" s="59">
        <v>112.2</v>
      </c>
      <c r="E10226" s="59"/>
    </row>
    <row r="10227" spans="3:5" x14ac:dyDescent="0.15">
      <c r="C10227" s="255" t="s">
        <v>834</v>
      </c>
      <c r="D10227" s="59">
        <v>2361.1</v>
      </c>
      <c r="E10227" s="59"/>
    </row>
    <row r="10228" spans="3:5" x14ac:dyDescent="0.15">
      <c r="C10228" s="255" t="s">
        <v>835</v>
      </c>
      <c r="D10228" s="59">
        <v>4376.6000000000004</v>
      </c>
      <c r="E10228" s="59"/>
    </row>
    <row r="10229" spans="3:5" x14ac:dyDescent="0.15">
      <c r="C10229" s="255" t="s">
        <v>836</v>
      </c>
      <c r="D10229" s="59">
        <v>1030.8</v>
      </c>
      <c r="E10229" s="59"/>
    </row>
    <row r="10230" spans="3:5" x14ac:dyDescent="0.15">
      <c r="C10230" s="255" t="s">
        <v>837</v>
      </c>
      <c r="D10230" s="59">
        <v>298.89999999999998</v>
      </c>
      <c r="E10230" s="59"/>
    </row>
    <row r="10231" spans="3:5" x14ac:dyDescent="0.15">
      <c r="C10231" s="255" t="s">
        <v>838</v>
      </c>
      <c r="D10231" s="59">
        <v>235.2</v>
      </c>
      <c r="E10231" s="59"/>
    </row>
    <row r="10232" spans="3:5" x14ac:dyDescent="0.15">
      <c r="C10232" s="255" t="s">
        <v>839</v>
      </c>
      <c r="D10232" s="59">
        <v>37</v>
      </c>
      <c r="E10232" s="59"/>
    </row>
    <row r="10233" spans="3:5" x14ac:dyDescent="0.15">
      <c r="C10233" s="255" t="s">
        <v>840</v>
      </c>
      <c r="D10233" s="59">
        <v>14.2</v>
      </c>
      <c r="E10233" s="59"/>
    </row>
    <row r="10234" spans="3:5" x14ac:dyDescent="0.15">
      <c r="C10234" s="255" t="s">
        <v>841</v>
      </c>
      <c r="D10234" s="59">
        <v>797.1</v>
      </c>
      <c r="E10234" s="59"/>
    </row>
    <row r="10235" spans="3:5" x14ac:dyDescent="0.15">
      <c r="C10235" s="255" t="s">
        <v>842</v>
      </c>
      <c r="D10235" s="59">
        <v>1122</v>
      </c>
      <c r="E10235" s="59"/>
    </row>
    <row r="10236" spans="3:5" x14ac:dyDescent="0.15">
      <c r="C10236" s="255" t="s">
        <v>843</v>
      </c>
      <c r="D10236" s="59">
        <v>306.89999999999998</v>
      </c>
      <c r="E10236" s="59"/>
    </row>
    <row r="10237" spans="3:5" x14ac:dyDescent="0.15">
      <c r="C10237" s="255" t="s">
        <v>844</v>
      </c>
      <c r="D10237" s="59">
        <v>1.6</v>
      </c>
      <c r="E10237" s="59"/>
    </row>
    <row r="10238" spans="3:5" x14ac:dyDescent="0.15">
      <c r="C10238" s="255" t="s">
        <v>845</v>
      </c>
      <c r="D10238" s="59">
        <v>83745.899999999994</v>
      </c>
      <c r="E10238" s="59"/>
    </row>
    <row r="10239" spans="3:5" x14ac:dyDescent="0.15">
      <c r="C10239" s="255" t="s">
        <v>846</v>
      </c>
      <c r="D10239" s="59">
        <v>23836.5</v>
      </c>
      <c r="E10239" s="59"/>
    </row>
    <row r="10240" spans="3:5" x14ac:dyDescent="0.15">
      <c r="C10240" s="255" t="s">
        <v>847</v>
      </c>
      <c r="D10240" s="59">
        <v>65.2</v>
      </c>
      <c r="E10240" s="59"/>
    </row>
    <row r="10241" spans="3:5" x14ac:dyDescent="0.15">
      <c r="C10241" s="255" t="s">
        <v>848</v>
      </c>
      <c r="D10241" s="59">
        <v>25924.799999999999</v>
      </c>
      <c r="E10241" s="59"/>
    </row>
    <row r="10242" spans="3:5" x14ac:dyDescent="0.15">
      <c r="C10242" s="255" t="s">
        <v>849</v>
      </c>
      <c r="D10242" s="59">
        <v>1581.6</v>
      </c>
      <c r="E10242" s="59"/>
    </row>
    <row r="10243" spans="3:5" x14ac:dyDescent="0.15">
      <c r="C10243" s="255" t="s">
        <v>850</v>
      </c>
      <c r="D10243" s="59">
        <v>1892</v>
      </c>
      <c r="E10243" s="59"/>
    </row>
    <row r="10244" spans="3:5" x14ac:dyDescent="0.15">
      <c r="C10244" s="255" t="s">
        <v>851</v>
      </c>
      <c r="D10244" s="59">
        <v>0</v>
      </c>
      <c r="E10244" s="59"/>
    </row>
    <row r="10245" spans="3:5" x14ac:dyDescent="0.15">
      <c r="C10245" s="255" t="s">
        <v>852</v>
      </c>
      <c r="D10245" s="59">
        <v>0</v>
      </c>
      <c r="E10245" s="59"/>
    </row>
    <row r="10246" spans="3:5" x14ac:dyDescent="0.15">
      <c r="C10246" s="255" t="s">
        <v>853</v>
      </c>
      <c r="D10246" s="59">
        <v>147</v>
      </c>
      <c r="E10246" s="59"/>
    </row>
    <row r="10247" spans="3:5" x14ac:dyDescent="0.15">
      <c r="C10247" s="255" t="s">
        <v>854</v>
      </c>
      <c r="D10247" s="59">
        <v>0</v>
      </c>
      <c r="E10247" s="59"/>
    </row>
    <row r="10248" spans="3:5" x14ac:dyDescent="0.15">
      <c r="C10248" s="255" t="s">
        <v>855</v>
      </c>
      <c r="D10248" s="59">
        <v>299.39999999999998</v>
      </c>
      <c r="E10248" s="59"/>
    </row>
    <row r="10249" spans="3:5" x14ac:dyDescent="0.15">
      <c r="C10249" s="255" t="s">
        <v>856</v>
      </c>
      <c r="D10249" s="59">
        <v>2064.1999999999998</v>
      </c>
      <c r="E10249" s="59"/>
    </row>
    <row r="10250" spans="3:5" x14ac:dyDescent="0.15">
      <c r="C10250" s="255" t="s">
        <v>857</v>
      </c>
      <c r="D10250" s="59">
        <v>2072.6</v>
      </c>
      <c r="E10250" s="59"/>
    </row>
    <row r="10251" spans="3:5" x14ac:dyDescent="0.15">
      <c r="C10251" s="255" t="s">
        <v>858</v>
      </c>
      <c r="D10251" s="59">
        <v>2363.8000000000002</v>
      </c>
      <c r="E10251" s="59"/>
    </row>
    <row r="10252" spans="3:5" x14ac:dyDescent="0.15">
      <c r="C10252" s="255" t="s">
        <v>859</v>
      </c>
      <c r="D10252" s="59">
        <v>2355.1999999999998</v>
      </c>
      <c r="E10252" s="59"/>
    </row>
    <row r="10253" spans="3:5" x14ac:dyDescent="0.15">
      <c r="C10253" s="255" t="s">
        <v>860</v>
      </c>
      <c r="D10253" s="59">
        <v>189.1</v>
      </c>
      <c r="E10253" s="59"/>
    </row>
    <row r="10254" spans="3:5" x14ac:dyDescent="0.15">
      <c r="C10254" s="255" t="s">
        <v>861</v>
      </c>
      <c r="D10254" s="59">
        <v>1184</v>
      </c>
      <c r="E10254" s="59"/>
    </row>
    <row r="10255" spans="3:5" x14ac:dyDescent="0.15">
      <c r="C10255" s="255" t="s">
        <v>862</v>
      </c>
      <c r="D10255" s="59">
        <v>7062.2</v>
      </c>
      <c r="E10255" s="59"/>
    </row>
    <row r="10256" spans="3:5" x14ac:dyDescent="0.15">
      <c r="C10256" s="255" t="s">
        <v>863</v>
      </c>
      <c r="D10256" s="59">
        <v>1510.9</v>
      </c>
      <c r="E10256" s="59"/>
    </row>
    <row r="10257" spans="3:5" x14ac:dyDescent="0.15">
      <c r="C10257" s="255" t="s">
        <v>864</v>
      </c>
      <c r="D10257" s="59">
        <v>29</v>
      </c>
      <c r="E10257" s="59"/>
    </row>
    <row r="10258" spans="3:5" x14ac:dyDescent="0.15">
      <c r="C10258" s="255" t="s">
        <v>865</v>
      </c>
      <c r="D10258" s="59">
        <v>559.6</v>
      </c>
      <c r="E10258" s="59"/>
    </row>
    <row r="10259" spans="3:5" x14ac:dyDescent="0.15">
      <c r="C10259" s="255" t="s">
        <v>866</v>
      </c>
      <c r="D10259" s="59">
        <v>14.9</v>
      </c>
      <c r="E10259" s="59"/>
    </row>
    <row r="10260" spans="3:5" x14ac:dyDescent="0.15">
      <c r="C10260" s="255" t="s">
        <v>867</v>
      </c>
      <c r="D10260" s="59">
        <v>1102.8</v>
      </c>
      <c r="E10260" s="59"/>
    </row>
    <row r="10261" spans="3:5" x14ac:dyDescent="0.15">
      <c r="C10261" s="255" t="s">
        <v>868</v>
      </c>
      <c r="D10261" s="59">
        <v>9491.4</v>
      </c>
      <c r="E10261" s="59"/>
    </row>
    <row r="10262" spans="3:5" x14ac:dyDescent="0.15">
      <c r="C10262" s="255" t="s">
        <v>869</v>
      </c>
      <c r="D10262" s="59">
        <v>16181.8</v>
      </c>
      <c r="E10262" s="59"/>
    </row>
    <row r="10263" spans="3:5" x14ac:dyDescent="0.15">
      <c r="C10263" s="255" t="s">
        <v>870</v>
      </c>
      <c r="D10263" s="59">
        <v>2578.1</v>
      </c>
      <c r="E10263" s="59"/>
    </row>
    <row r="10264" spans="3:5" x14ac:dyDescent="0.15">
      <c r="C10264" s="255" t="s">
        <v>871</v>
      </c>
      <c r="D10264" s="59">
        <v>1146.3</v>
      </c>
      <c r="E10264" s="59"/>
    </row>
    <row r="10265" spans="3:5" x14ac:dyDescent="0.15">
      <c r="C10265" s="255" t="s">
        <v>872</v>
      </c>
      <c r="D10265" s="59">
        <v>405.7</v>
      </c>
      <c r="E10265" s="59"/>
    </row>
    <row r="10266" spans="3:5" x14ac:dyDescent="0.15">
      <c r="C10266" s="255" t="s">
        <v>873</v>
      </c>
      <c r="D10266" s="59">
        <v>666.1</v>
      </c>
      <c r="E10266" s="59"/>
    </row>
    <row r="10267" spans="3:5" x14ac:dyDescent="0.15">
      <c r="C10267" s="255" t="s">
        <v>874</v>
      </c>
      <c r="D10267" s="59">
        <v>195.3</v>
      </c>
      <c r="E10267" s="59"/>
    </row>
    <row r="10268" spans="3:5" x14ac:dyDescent="0.15">
      <c r="C10268" s="255" t="s">
        <v>875</v>
      </c>
      <c r="D10268" s="59">
        <v>45.9</v>
      </c>
      <c r="E10268" s="59"/>
    </row>
    <row r="10269" spans="3:5" x14ac:dyDescent="0.15">
      <c r="C10269" s="255" t="s">
        <v>876</v>
      </c>
      <c r="D10269" s="59">
        <v>8.3000000000000007</v>
      </c>
      <c r="E10269" s="59"/>
    </row>
    <row r="10270" spans="3:5" x14ac:dyDescent="0.15">
      <c r="C10270" s="255" t="s">
        <v>877</v>
      </c>
      <c r="D10270" s="59">
        <v>54</v>
      </c>
      <c r="E10270" s="59"/>
    </row>
    <row r="10271" spans="3:5" x14ac:dyDescent="0.15">
      <c r="C10271" s="255" t="s">
        <v>878</v>
      </c>
      <c r="D10271" s="59">
        <v>523.1</v>
      </c>
      <c r="E10271" s="59"/>
    </row>
    <row r="10272" spans="3:5" x14ac:dyDescent="0.15">
      <c r="C10272" s="255" t="s">
        <v>879</v>
      </c>
      <c r="D10272" s="59">
        <v>595.5</v>
      </c>
      <c r="E10272" s="59"/>
    </row>
    <row r="10273" spans="3:5" x14ac:dyDescent="0.15">
      <c r="C10273" s="255" t="s">
        <v>880</v>
      </c>
      <c r="D10273" s="59">
        <v>85.2</v>
      </c>
      <c r="E10273" s="59"/>
    </row>
    <row r="10274" spans="3:5" x14ac:dyDescent="0.15">
      <c r="C10274" s="255" t="s">
        <v>881</v>
      </c>
      <c r="D10274" s="59">
        <v>0</v>
      </c>
      <c r="E10274" s="59"/>
    </row>
    <row r="10275" spans="3:5" x14ac:dyDescent="0.15">
      <c r="C10275" s="255" t="s">
        <v>882</v>
      </c>
      <c r="D10275" s="59">
        <v>202.4</v>
      </c>
      <c r="E10275" s="59"/>
    </row>
    <row r="10276" spans="3:5" x14ac:dyDescent="0.15">
      <c r="C10276" s="255" t="s">
        <v>883</v>
      </c>
      <c r="D10276" s="59">
        <v>397.2</v>
      </c>
      <c r="E10276" s="59"/>
    </row>
    <row r="10277" spans="3:5" x14ac:dyDescent="0.15">
      <c r="C10277" s="255" t="s">
        <v>884</v>
      </c>
      <c r="D10277" s="59">
        <v>705</v>
      </c>
      <c r="E10277" s="59"/>
    </row>
    <row r="10278" spans="3:5" x14ac:dyDescent="0.15">
      <c r="C10278" s="255" t="s">
        <v>885</v>
      </c>
      <c r="D10278" s="59">
        <v>236.9</v>
      </c>
      <c r="E10278" s="59"/>
    </row>
    <row r="10279" spans="3:5" x14ac:dyDescent="0.15">
      <c r="C10279" s="255" t="s">
        <v>886</v>
      </c>
      <c r="D10279" s="59">
        <v>512</v>
      </c>
      <c r="E10279" s="59"/>
    </row>
    <row r="10280" spans="3:5" x14ac:dyDescent="0.15">
      <c r="C10280" s="255" t="s">
        <v>887</v>
      </c>
      <c r="D10280" s="59">
        <v>245.8</v>
      </c>
      <c r="E10280" s="59"/>
    </row>
    <row r="10281" spans="3:5" x14ac:dyDescent="0.15">
      <c r="C10281" s="255" t="s">
        <v>888</v>
      </c>
      <c r="D10281" s="59">
        <v>1.1000000000000001</v>
      </c>
      <c r="E10281" s="59"/>
    </row>
    <row r="10282" spans="3:5" x14ac:dyDescent="0.15">
      <c r="C10282" s="255" t="s">
        <v>889</v>
      </c>
      <c r="D10282" s="59">
        <v>250</v>
      </c>
      <c r="E10282" s="59"/>
    </row>
    <row r="10283" spans="3:5" x14ac:dyDescent="0.15">
      <c r="C10283" s="255" t="s">
        <v>890</v>
      </c>
      <c r="D10283" s="59">
        <v>55.1</v>
      </c>
      <c r="E10283" s="59"/>
    </row>
    <row r="10284" spans="3:5" x14ac:dyDescent="0.15">
      <c r="C10284" s="255" t="s">
        <v>891</v>
      </c>
      <c r="D10284" s="59">
        <v>9.8000000000000007</v>
      </c>
      <c r="E10284" s="59"/>
    </row>
    <row r="10285" spans="3:5" x14ac:dyDescent="0.15">
      <c r="C10285" s="255" t="s">
        <v>892</v>
      </c>
      <c r="D10285" s="59">
        <v>0.2</v>
      </c>
      <c r="E10285" s="59"/>
    </row>
    <row r="10286" spans="3:5" x14ac:dyDescent="0.15">
      <c r="C10286" s="255" t="s">
        <v>893</v>
      </c>
      <c r="D10286" s="59">
        <v>208.8</v>
      </c>
      <c r="E10286" s="59"/>
    </row>
    <row r="10287" spans="3:5" x14ac:dyDescent="0.15">
      <c r="C10287" s="255" t="s">
        <v>894</v>
      </c>
      <c r="D10287" s="59">
        <v>62.4</v>
      </c>
      <c r="E10287" s="59"/>
    </row>
    <row r="10288" spans="3:5" x14ac:dyDescent="0.15">
      <c r="C10288" s="255" t="s">
        <v>895</v>
      </c>
      <c r="D10288" s="59">
        <v>541.29999999999995</v>
      </c>
      <c r="E10288" s="59"/>
    </row>
    <row r="10289" spans="3:5" x14ac:dyDescent="0.15">
      <c r="C10289" s="255" t="s">
        <v>896</v>
      </c>
      <c r="D10289" s="59">
        <v>24</v>
      </c>
      <c r="E10289" s="59"/>
    </row>
    <row r="10290" spans="3:5" x14ac:dyDescent="0.15">
      <c r="C10290" s="255" t="s">
        <v>897</v>
      </c>
      <c r="D10290" s="59">
        <v>1088.3</v>
      </c>
      <c r="E10290" s="59"/>
    </row>
    <row r="10291" spans="3:5" x14ac:dyDescent="0.15">
      <c r="C10291" s="255" t="s">
        <v>898</v>
      </c>
      <c r="D10291" s="59">
        <v>719.9</v>
      </c>
      <c r="E10291" s="59"/>
    </row>
    <row r="10292" spans="3:5" x14ac:dyDescent="0.15">
      <c r="C10292" s="255" t="s">
        <v>899</v>
      </c>
      <c r="D10292" s="59">
        <v>55.4</v>
      </c>
      <c r="E10292" s="59"/>
    </row>
    <row r="10293" spans="3:5" x14ac:dyDescent="0.15">
      <c r="C10293" s="255" t="s">
        <v>900</v>
      </c>
      <c r="D10293" s="59">
        <v>359.7</v>
      </c>
      <c r="E10293" s="59"/>
    </row>
    <row r="10294" spans="3:5" x14ac:dyDescent="0.15">
      <c r="C10294" s="255" t="s">
        <v>901</v>
      </c>
      <c r="D10294" s="59">
        <v>1007.4</v>
      </c>
      <c r="E10294" s="59"/>
    </row>
    <row r="10295" spans="3:5" x14ac:dyDescent="0.15">
      <c r="C10295" s="255" t="s">
        <v>902</v>
      </c>
      <c r="D10295" s="59">
        <v>6</v>
      </c>
      <c r="E10295" s="59"/>
    </row>
    <row r="10296" spans="3:5" x14ac:dyDescent="0.15">
      <c r="C10296" s="255" t="s">
        <v>903</v>
      </c>
      <c r="D10296" s="59">
        <v>918.5</v>
      </c>
      <c r="E10296" s="59"/>
    </row>
    <row r="10297" spans="3:5" x14ac:dyDescent="0.15">
      <c r="C10297" s="255" t="s">
        <v>904</v>
      </c>
      <c r="D10297" s="59">
        <v>1139</v>
      </c>
      <c r="E10297" s="59"/>
    </row>
    <row r="10298" spans="3:5" x14ac:dyDescent="0.15">
      <c r="C10298" s="255" t="s">
        <v>905</v>
      </c>
      <c r="D10298" s="59">
        <v>331.6</v>
      </c>
      <c r="E10298" s="59"/>
    </row>
    <row r="10299" spans="3:5" x14ac:dyDescent="0.15">
      <c r="C10299" s="255" t="s">
        <v>906</v>
      </c>
      <c r="D10299" s="59">
        <v>96.8</v>
      </c>
      <c r="E10299" s="59"/>
    </row>
    <row r="10300" spans="3:5" x14ac:dyDescent="0.15">
      <c r="C10300" s="255" t="s">
        <v>907</v>
      </c>
      <c r="D10300" s="59">
        <v>703.7</v>
      </c>
      <c r="E10300" s="59"/>
    </row>
    <row r="10301" spans="3:5" x14ac:dyDescent="0.15">
      <c r="C10301" s="255" t="s">
        <v>908</v>
      </c>
      <c r="D10301" s="59">
        <v>7718.2</v>
      </c>
      <c r="E10301" s="59"/>
    </row>
    <row r="10302" spans="3:5" x14ac:dyDescent="0.15">
      <c r="C10302" s="255" t="s">
        <v>909</v>
      </c>
      <c r="D10302" s="59">
        <v>2160.4</v>
      </c>
      <c r="E10302" s="59"/>
    </row>
    <row r="10303" spans="3:5" x14ac:dyDescent="0.15">
      <c r="C10303" s="255" t="s">
        <v>910</v>
      </c>
      <c r="D10303" s="59">
        <v>7.3</v>
      </c>
      <c r="E10303" s="59"/>
    </row>
    <row r="10304" spans="3:5" x14ac:dyDescent="0.15">
      <c r="C10304" s="255" t="s">
        <v>911</v>
      </c>
      <c r="D10304" s="59">
        <v>144.4</v>
      </c>
      <c r="E10304" s="59"/>
    </row>
    <row r="10305" spans="3:5" x14ac:dyDescent="0.15">
      <c r="C10305" s="255" t="s">
        <v>912</v>
      </c>
      <c r="D10305" s="59">
        <v>1387.2</v>
      </c>
      <c r="E10305" s="59"/>
    </row>
    <row r="10306" spans="3:5" x14ac:dyDescent="0.15">
      <c r="C10306" s="255" t="s">
        <v>913</v>
      </c>
      <c r="D10306" s="59">
        <v>0</v>
      </c>
      <c r="E10306" s="59"/>
    </row>
    <row r="10307" spans="3:5" x14ac:dyDescent="0.15">
      <c r="C10307" s="255" t="s">
        <v>914</v>
      </c>
      <c r="D10307" s="59">
        <v>0.6</v>
      </c>
      <c r="E10307" s="59"/>
    </row>
    <row r="10308" spans="3:5" x14ac:dyDescent="0.15">
      <c r="C10308" s="255" t="s">
        <v>915</v>
      </c>
      <c r="D10308" s="59">
        <v>8.6999999999999993</v>
      </c>
      <c r="E10308" s="59"/>
    </row>
    <row r="10309" spans="3:5" x14ac:dyDescent="0.15">
      <c r="C10309" s="255" t="s">
        <v>916</v>
      </c>
      <c r="D10309" s="59">
        <v>198.5</v>
      </c>
      <c r="E10309" s="59"/>
    </row>
    <row r="10310" spans="3:5" x14ac:dyDescent="0.15">
      <c r="C10310" s="255" t="s">
        <v>917</v>
      </c>
      <c r="D10310" s="59">
        <v>19.2</v>
      </c>
      <c r="E10310" s="59"/>
    </row>
    <row r="10311" spans="3:5" x14ac:dyDescent="0.15">
      <c r="C10311" s="255" t="s">
        <v>918</v>
      </c>
      <c r="D10311" s="59">
        <v>2663.9</v>
      </c>
      <c r="E10311" s="59"/>
    </row>
    <row r="10312" spans="3:5" x14ac:dyDescent="0.15">
      <c r="C10312" s="255" t="s">
        <v>919</v>
      </c>
      <c r="D10312" s="59">
        <v>3.3</v>
      </c>
      <c r="E10312" s="59"/>
    </row>
    <row r="10313" spans="3:5" x14ac:dyDescent="0.15">
      <c r="C10313" s="255" t="s">
        <v>920</v>
      </c>
      <c r="D10313" s="59">
        <v>1124.5999999999999</v>
      </c>
      <c r="E10313" s="59"/>
    </row>
    <row r="10314" spans="3:5" x14ac:dyDescent="0.15">
      <c r="C10314" s="255" t="s">
        <v>921</v>
      </c>
      <c r="D10314" s="59">
        <v>0</v>
      </c>
      <c r="E10314" s="59"/>
    </row>
    <row r="10315" spans="3:5" x14ac:dyDescent="0.15">
      <c r="C10315" s="255" t="s">
        <v>922</v>
      </c>
      <c r="D10315" s="59">
        <v>42443.8</v>
      </c>
      <c r="E10315" s="59"/>
    </row>
    <row r="10316" spans="3:5" x14ac:dyDescent="0.15">
      <c r="C10316" s="255" t="s">
        <v>923</v>
      </c>
      <c r="D10316" s="59">
        <v>12799.2</v>
      </c>
      <c r="E10316" s="59"/>
    </row>
    <row r="10317" spans="3:5" x14ac:dyDescent="0.15">
      <c r="C10317" s="255" t="s">
        <v>924</v>
      </c>
      <c r="D10317" s="59">
        <v>1725.3</v>
      </c>
      <c r="E10317" s="59"/>
    </row>
    <row r="10318" spans="3:5" x14ac:dyDescent="0.15">
      <c r="C10318" s="255" t="s">
        <v>925</v>
      </c>
      <c r="D10318" s="59">
        <v>817.3</v>
      </c>
      <c r="E10318" s="59"/>
    </row>
    <row r="10319" spans="3:5" x14ac:dyDescent="0.15">
      <c r="C10319" s="255" t="s">
        <v>926</v>
      </c>
      <c r="D10319" s="59">
        <v>1056.2</v>
      </c>
      <c r="E10319" s="59"/>
    </row>
    <row r="10320" spans="3:5" x14ac:dyDescent="0.15">
      <c r="C10320" s="255" t="s">
        <v>927</v>
      </c>
      <c r="D10320" s="59">
        <v>1103</v>
      </c>
      <c r="E10320" s="59"/>
    </row>
    <row r="10321" spans="3:5" x14ac:dyDescent="0.15">
      <c r="C10321" s="255" t="s">
        <v>928</v>
      </c>
      <c r="D10321" s="59">
        <v>841</v>
      </c>
      <c r="E10321" s="59"/>
    </row>
    <row r="10322" spans="3:5" x14ac:dyDescent="0.15">
      <c r="C10322" s="255" t="s">
        <v>929</v>
      </c>
      <c r="D10322" s="59">
        <v>280.8</v>
      </c>
      <c r="E10322" s="59"/>
    </row>
    <row r="10323" spans="3:5" x14ac:dyDescent="0.15">
      <c r="C10323" s="255" t="s">
        <v>930</v>
      </c>
      <c r="D10323" s="59">
        <v>2378.3000000000002</v>
      </c>
      <c r="E10323" s="59"/>
    </row>
    <row r="10324" spans="3:5" x14ac:dyDescent="0.15">
      <c r="C10324" s="255" t="s">
        <v>931</v>
      </c>
      <c r="D10324" s="59">
        <v>6377.5</v>
      </c>
      <c r="E10324" s="59"/>
    </row>
    <row r="10325" spans="3:5" x14ac:dyDescent="0.15">
      <c r="C10325" s="255" t="s">
        <v>932</v>
      </c>
      <c r="D10325" s="59">
        <v>0</v>
      </c>
      <c r="E10325" s="59"/>
    </row>
    <row r="10326" spans="3:5" x14ac:dyDescent="0.15">
      <c r="C10326" s="255" t="s">
        <v>933</v>
      </c>
      <c r="D10326" s="59">
        <v>23.7</v>
      </c>
      <c r="E10326" s="59"/>
    </row>
    <row r="10327" spans="3:5" x14ac:dyDescent="0.15">
      <c r="C10327" s="255" t="s">
        <v>934</v>
      </c>
      <c r="D10327" s="59">
        <v>5372.1</v>
      </c>
      <c r="E10327" s="59"/>
    </row>
    <row r="10328" spans="3:5" x14ac:dyDescent="0.15">
      <c r="C10328" s="255" t="s">
        <v>935</v>
      </c>
      <c r="D10328" s="59">
        <v>1837.1</v>
      </c>
      <c r="E10328" s="59"/>
    </row>
    <row r="10329" spans="3:5" x14ac:dyDescent="0.15">
      <c r="C10329" s="255" t="s">
        <v>936</v>
      </c>
      <c r="D10329" s="59">
        <v>3957.8</v>
      </c>
      <c r="E10329" s="59"/>
    </row>
    <row r="10330" spans="3:5" x14ac:dyDescent="0.15">
      <c r="C10330" s="255" t="s">
        <v>937</v>
      </c>
      <c r="D10330" s="59">
        <v>723.2</v>
      </c>
      <c r="E10330" s="59"/>
    </row>
    <row r="10331" spans="3:5" x14ac:dyDescent="0.15">
      <c r="C10331" s="255" t="s">
        <v>938</v>
      </c>
      <c r="D10331" s="59">
        <v>571.79999999999995</v>
      </c>
      <c r="E10331" s="59"/>
    </row>
    <row r="10332" spans="3:5" x14ac:dyDescent="0.15">
      <c r="C10332" s="255" t="s">
        <v>939</v>
      </c>
      <c r="D10332" s="59">
        <v>1.6</v>
      </c>
      <c r="E10332" s="59"/>
    </row>
    <row r="10333" spans="3:5" x14ac:dyDescent="0.15">
      <c r="C10333" s="255" t="s">
        <v>940</v>
      </c>
      <c r="D10333" s="59">
        <v>61.7</v>
      </c>
      <c r="E10333" s="59"/>
    </row>
    <row r="10334" spans="3:5" x14ac:dyDescent="0.15">
      <c r="C10334" s="255" t="s">
        <v>941</v>
      </c>
      <c r="D10334" s="59">
        <v>178.4</v>
      </c>
      <c r="E10334" s="59"/>
    </row>
    <row r="10335" spans="3:5" x14ac:dyDescent="0.15">
      <c r="C10335" s="255" t="s">
        <v>942</v>
      </c>
      <c r="D10335" s="59">
        <v>0</v>
      </c>
      <c r="E10335" s="59"/>
    </row>
    <row r="10336" spans="3:5" x14ac:dyDescent="0.15">
      <c r="C10336" s="255" t="s">
        <v>943</v>
      </c>
      <c r="D10336" s="59">
        <v>1153.5999999999999</v>
      </c>
      <c r="E10336" s="59"/>
    </row>
    <row r="10337" spans="3:5" x14ac:dyDescent="0.15">
      <c r="C10337" s="255" t="s">
        <v>944</v>
      </c>
      <c r="D10337" s="59">
        <v>259.3</v>
      </c>
      <c r="E10337" s="59"/>
    </row>
    <row r="10338" spans="3:5" x14ac:dyDescent="0.15">
      <c r="C10338" s="255" t="s">
        <v>945</v>
      </c>
      <c r="D10338" s="59">
        <v>856.7</v>
      </c>
      <c r="E10338" s="59"/>
    </row>
    <row r="10339" spans="3:5" x14ac:dyDescent="0.15">
      <c r="C10339" s="255" t="s">
        <v>946</v>
      </c>
      <c r="D10339" s="59">
        <v>63.4</v>
      </c>
      <c r="E10339" s="59"/>
    </row>
    <row r="10340" spans="3:5" x14ac:dyDescent="0.15">
      <c r="C10340" s="255" t="s">
        <v>947</v>
      </c>
      <c r="D10340" s="59">
        <v>5</v>
      </c>
      <c r="E10340" s="59"/>
    </row>
    <row r="10341" spans="3:5" x14ac:dyDescent="0.15">
      <c r="C10341" s="255" t="s">
        <v>948</v>
      </c>
      <c r="D10341" s="59">
        <v>8068.6</v>
      </c>
      <c r="E10341" s="59"/>
    </row>
    <row r="10342" spans="3:5" x14ac:dyDescent="0.15">
      <c r="C10342" s="255" t="s">
        <v>949</v>
      </c>
      <c r="D10342" s="59">
        <v>106.3</v>
      </c>
      <c r="E10342" s="59"/>
    </row>
    <row r="10343" spans="3:5" x14ac:dyDescent="0.15">
      <c r="C10343" s="255" t="s">
        <v>950</v>
      </c>
      <c r="D10343" s="59">
        <v>0.1</v>
      </c>
      <c r="E10343" s="59"/>
    </row>
    <row r="10344" spans="3:5" x14ac:dyDescent="0.15">
      <c r="C10344" s="255" t="s">
        <v>951</v>
      </c>
      <c r="D10344" s="59">
        <v>1364.4</v>
      </c>
      <c r="E10344" s="59"/>
    </row>
    <row r="10345" spans="3:5" x14ac:dyDescent="0.15">
      <c r="C10345" s="255" t="s">
        <v>952</v>
      </c>
      <c r="D10345" s="59">
        <v>79.7</v>
      </c>
      <c r="E10345" s="59"/>
    </row>
    <row r="10346" spans="3:5" x14ac:dyDescent="0.15">
      <c r="C10346" s="255" t="s">
        <v>953</v>
      </c>
      <c r="D10346" s="59">
        <v>296.10000000000002</v>
      </c>
      <c r="E10346" s="59"/>
    </row>
    <row r="10347" spans="3:5" x14ac:dyDescent="0.15">
      <c r="C10347" s="255" t="s">
        <v>954</v>
      </c>
      <c r="D10347" s="59">
        <v>2452</v>
      </c>
      <c r="E10347" s="59"/>
    </row>
    <row r="10348" spans="3:5" x14ac:dyDescent="0.15">
      <c r="C10348" s="255" t="s">
        <v>955</v>
      </c>
      <c r="D10348" s="59">
        <v>1754.2</v>
      </c>
      <c r="E10348" s="59"/>
    </row>
    <row r="10349" spans="3:5" x14ac:dyDescent="0.15">
      <c r="C10349" s="255" t="s">
        <v>956</v>
      </c>
      <c r="D10349" s="59">
        <v>2015.8</v>
      </c>
      <c r="E10349" s="59"/>
    </row>
    <row r="10350" spans="3:5" x14ac:dyDescent="0.15">
      <c r="C10350" s="255" t="s">
        <v>957</v>
      </c>
      <c r="D10350" s="59">
        <v>27268.9</v>
      </c>
      <c r="E10350" s="59"/>
    </row>
    <row r="10351" spans="3:5" x14ac:dyDescent="0.15">
      <c r="C10351" s="255" t="s">
        <v>958</v>
      </c>
      <c r="D10351" s="59">
        <v>208.1</v>
      </c>
      <c r="E10351" s="59"/>
    </row>
    <row r="10352" spans="3:5" x14ac:dyDescent="0.15">
      <c r="C10352" s="255" t="s">
        <v>959</v>
      </c>
      <c r="D10352" s="59">
        <v>701.6</v>
      </c>
      <c r="E10352" s="59"/>
    </row>
    <row r="10353" spans="3:5" x14ac:dyDescent="0.15">
      <c r="C10353" s="255" t="s">
        <v>960</v>
      </c>
      <c r="D10353" s="59">
        <v>16.600000000000001</v>
      </c>
      <c r="E10353" s="59"/>
    </row>
    <row r="10354" spans="3:5" x14ac:dyDescent="0.15">
      <c r="C10354" s="255" t="s">
        <v>961</v>
      </c>
      <c r="D10354" s="59">
        <v>80.2</v>
      </c>
      <c r="E10354" s="59"/>
    </row>
    <row r="10355" spans="3:5" x14ac:dyDescent="0.15">
      <c r="C10355" s="255" t="s">
        <v>962</v>
      </c>
      <c r="D10355" s="59">
        <v>0</v>
      </c>
      <c r="E10355" s="59"/>
    </row>
    <row r="10356" spans="3:5" x14ac:dyDescent="0.15">
      <c r="C10356" s="255" t="s">
        <v>963</v>
      </c>
      <c r="D10356" s="59">
        <v>968.3</v>
      </c>
      <c r="E10356" s="59"/>
    </row>
    <row r="10357" spans="3:5" x14ac:dyDescent="0.15">
      <c r="C10357" s="255" t="s">
        <v>964</v>
      </c>
      <c r="D10357" s="59">
        <v>485.2</v>
      </c>
      <c r="E10357" s="59"/>
    </row>
    <row r="10358" spans="3:5" x14ac:dyDescent="0.15">
      <c r="C10358" s="255" t="s">
        <v>965</v>
      </c>
      <c r="D10358" s="59">
        <v>32</v>
      </c>
      <c r="E10358" s="59"/>
    </row>
    <row r="10359" spans="3:5" x14ac:dyDescent="0.15">
      <c r="C10359" s="255" t="s">
        <v>966</v>
      </c>
      <c r="D10359" s="59">
        <v>4.5999999999999996</v>
      </c>
      <c r="E10359" s="59"/>
    </row>
    <row r="10360" spans="3:5" x14ac:dyDescent="0.15">
      <c r="C10360" s="255" t="s">
        <v>967</v>
      </c>
      <c r="D10360" s="59">
        <v>104.7</v>
      </c>
      <c r="E10360" s="59"/>
    </row>
    <row r="10361" spans="3:5" x14ac:dyDescent="0.15">
      <c r="C10361" s="255" t="s">
        <v>968</v>
      </c>
      <c r="D10361" s="59">
        <v>0</v>
      </c>
      <c r="E10361" s="59"/>
    </row>
    <row r="10362" spans="3:5" x14ac:dyDescent="0.15">
      <c r="C10362" s="255" t="s">
        <v>969</v>
      </c>
      <c r="D10362" s="59">
        <v>60.8</v>
      </c>
      <c r="E10362" s="59"/>
    </row>
    <row r="10363" spans="3:5" x14ac:dyDescent="0.15">
      <c r="C10363" s="255" t="s">
        <v>970</v>
      </c>
      <c r="D10363" s="59">
        <v>30.7</v>
      </c>
      <c r="E10363" s="59"/>
    </row>
    <row r="10364" spans="3:5" x14ac:dyDescent="0.15">
      <c r="C10364" s="255" t="s">
        <v>971</v>
      </c>
      <c r="D10364" s="59">
        <v>1087.9000000000001</v>
      </c>
      <c r="E10364" s="59"/>
    </row>
    <row r="10365" spans="3:5" x14ac:dyDescent="0.15">
      <c r="C10365" s="255" t="s">
        <v>972</v>
      </c>
      <c r="D10365" s="59">
        <v>-22.1</v>
      </c>
      <c r="E10365" s="59"/>
    </row>
    <row r="10366" spans="3:5" x14ac:dyDescent="0.15">
      <c r="C10366" s="255" t="s">
        <v>973</v>
      </c>
      <c r="D10366" s="59">
        <v>27</v>
      </c>
      <c r="E10366" s="59"/>
    </row>
    <row r="10367" spans="3:5" x14ac:dyDescent="0.15">
      <c r="C10367" s="255" t="s">
        <v>974</v>
      </c>
      <c r="D10367" s="59">
        <v>96.1</v>
      </c>
      <c r="E10367" s="59"/>
    </row>
    <row r="10368" spans="3:5" x14ac:dyDescent="0.15">
      <c r="C10368" s="255" t="s">
        <v>975</v>
      </c>
      <c r="D10368" s="59">
        <v>184</v>
      </c>
      <c r="E10368" s="59"/>
    </row>
    <row r="10369" spans="3:5" x14ac:dyDescent="0.15">
      <c r="C10369" s="255" t="s">
        <v>976</v>
      </c>
      <c r="D10369" s="59">
        <v>26.9</v>
      </c>
      <c r="E10369" s="59"/>
    </row>
    <row r="10370" spans="3:5" x14ac:dyDescent="0.15">
      <c r="C10370" s="255" t="s">
        <v>977</v>
      </c>
      <c r="D10370" s="59">
        <v>579.1</v>
      </c>
      <c r="E10370" s="59"/>
    </row>
    <row r="10371" spans="3:5" x14ac:dyDescent="0.15">
      <c r="C10371" s="255" t="s">
        <v>978</v>
      </c>
      <c r="D10371" s="59">
        <v>1407.4</v>
      </c>
      <c r="E10371" s="59"/>
    </row>
    <row r="10372" spans="3:5" x14ac:dyDescent="0.15">
      <c r="C10372" s="255" t="s">
        <v>979</v>
      </c>
      <c r="D10372" s="59">
        <v>159.1</v>
      </c>
      <c r="E10372" s="59"/>
    </row>
    <row r="10373" spans="3:5" x14ac:dyDescent="0.15">
      <c r="C10373" s="255" t="s">
        <v>980</v>
      </c>
      <c r="D10373" s="59">
        <v>320.8</v>
      </c>
      <c r="E10373" s="59"/>
    </row>
    <row r="10374" spans="3:5" x14ac:dyDescent="0.15">
      <c r="C10374" s="255" t="s">
        <v>981</v>
      </c>
      <c r="D10374" s="59">
        <v>0</v>
      </c>
      <c r="E10374" s="59"/>
    </row>
    <row r="10375" spans="3:5" x14ac:dyDescent="0.15">
      <c r="C10375" s="255" t="s">
        <v>982</v>
      </c>
      <c r="D10375" s="59">
        <v>449.2</v>
      </c>
      <c r="E10375" s="59"/>
    </row>
    <row r="10376" spans="3:5" x14ac:dyDescent="0.15">
      <c r="C10376" s="255" t="s">
        <v>983</v>
      </c>
      <c r="D10376" s="59">
        <v>1932.1</v>
      </c>
      <c r="E10376" s="59"/>
    </row>
    <row r="10377" spans="3:5" x14ac:dyDescent="0.15">
      <c r="C10377" s="255" t="s">
        <v>984</v>
      </c>
      <c r="D10377" s="59">
        <v>1.2</v>
      </c>
      <c r="E10377" s="59"/>
    </row>
    <row r="10378" spans="3:5" x14ac:dyDescent="0.15">
      <c r="C10378" s="255" t="s">
        <v>985</v>
      </c>
      <c r="D10378" s="59">
        <v>1100.0999999999999</v>
      </c>
      <c r="E10378" s="59"/>
    </row>
    <row r="10379" spans="3:5" x14ac:dyDescent="0.15">
      <c r="C10379" s="255" t="s">
        <v>986</v>
      </c>
      <c r="D10379" s="59">
        <v>540.4</v>
      </c>
      <c r="E10379" s="59"/>
    </row>
    <row r="10380" spans="3:5" x14ac:dyDescent="0.15">
      <c r="C10380" s="255" t="s">
        <v>987</v>
      </c>
      <c r="D10380" s="59">
        <v>562.70000000000005</v>
      </c>
      <c r="E10380" s="59"/>
    </row>
    <row r="10381" spans="3:5" x14ac:dyDescent="0.15">
      <c r="C10381" s="255" t="s">
        <v>988</v>
      </c>
      <c r="D10381" s="59">
        <v>1191</v>
      </c>
      <c r="E10381" s="59"/>
    </row>
    <row r="10382" spans="3:5" x14ac:dyDescent="0.15">
      <c r="C10382" s="255" t="s">
        <v>989</v>
      </c>
      <c r="D10382" s="59">
        <v>972.2</v>
      </c>
      <c r="E10382" s="59"/>
    </row>
    <row r="10383" spans="3:5" x14ac:dyDescent="0.15">
      <c r="C10383" s="255" t="s">
        <v>990</v>
      </c>
      <c r="D10383" s="59">
        <v>321.8</v>
      </c>
      <c r="E10383" s="59"/>
    </row>
    <row r="10384" spans="3:5" x14ac:dyDescent="0.15">
      <c r="C10384" s="255" t="s">
        <v>991</v>
      </c>
      <c r="D10384" s="59">
        <v>5195</v>
      </c>
      <c r="E10384" s="59"/>
    </row>
    <row r="10385" spans="3:5" x14ac:dyDescent="0.15">
      <c r="C10385" s="255" t="s">
        <v>992</v>
      </c>
      <c r="D10385" s="59">
        <v>8.6</v>
      </c>
      <c r="E10385" s="59"/>
    </row>
    <row r="10386" spans="3:5" x14ac:dyDescent="0.15">
      <c r="C10386" s="255" t="s">
        <v>993</v>
      </c>
      <c r="D10386" s="59">
        <v>214.8</v>
      </c>
      <c r="E10386" s="59"/>
    </row>
    <row r="10387" spans="3:5" x14ac:dyDescent="0.15">
      <c r="C10387" s="255" t="s">
        <v>994</v>
      </c>
      <c r="D10387" s="59">
        <v>0</v>
      </c>
      <c r="E10387" s="59"/>
    </row>
    <row r="10388" spans="3:5" x14ac:dyDescent="0.15">
      <c r="C10388" s="255" t="s">
        <v>995</v>
      </c>
      <c r="D10388" s="59">
        <v>1140.4000000000001</v>
      </c>
      <c r="E10388" s="59"/>
    </row>
    <row r="10389" spans="3:5" x14ac:dyDescent="0.15">
      <c r="C10389" s="255" t="s">
        <v>996</v>
      </c>
      <c r="D10389" s="59">
        <v>371.6</v>
      </c>
      <c r="E10389" s="59"/>
    </row>
    <row r="10390" spans="3:5" x14ac:dyDescent="0.15">
      <c r="C10390" s="255" t="s">
        <v>997</v>
      </c>
      <c r="D10390" s="59">
        <v>209</v>
      </c>
      <c r="E10390" s="59"/>
    </row>
    <row r="10391" spans="3:5" x14ac:dyDescent="0.15">
      <c r="C10391" s="255" t="s">
        <v>998</v>
      </c>
      <c r="D10391" s="59">
        <v>144.9</v>
      </c>
      <c r="E10391" s="59"/>
    </row>
    <row r="10392" spans="3:5" x14ac:dyDescent="0.15">
      <c r="C10392" s="255" t="s">
        <v>999</v>
      </c>
      <c r="D10392" s="59">
        <v>1.2</v>
      </c>
      <c r="E10392" s="59"/>
    </row>
    <row r="10393" spans="3:5" x14ac:dyDescent="0.15">
      <c r="C10393" s="255" t="s">
        <v>1000</v>
      </c>
      <c r="D10393" s="59">
        <v>1095.2</v>
      </c>
      <c r="E10393" s="59"/>
    </row>
    <row r="10394" spans="3:5" x14ac:dyDescent="0.15">
      <c r="C10394" s="255" t="s">
        <v>1001</v>
      </c>
      <c r="D10394" s="59">
        <v>594.1</v>
      </c>
      <c r="E10394" s="59"/>
    </row>
    <row r="10395" spans="3:5" x14ac:dyDescent="0.15">
      <c r="C10395" s="255" t="s">
        <v>1002</v>
      </c>
      <c r="D10395" s="59">
        <v>134.19999999999999</v>
      </c>
      <c r="E10395" s="59"/>
    </row>
    <row r="10396" spans="3:5" x14ac:dyDescent="0.15">
      <c r="C10396" s="255" t="s">
        <v>1003</v>
      </c>
      <c r="D10396" s="59">
        <v>68.099999999999994</v>
      </c>
      <c r="E10396" s="59"/>
    </row>
    <row r="10397" spans="3:5" x14ac:dyDescent="0.15">
      <c r="C10397" s="255" t="s">
        <v>1004</v>
      </c>
      <c r="D10397" s="59">
        <v>118.6</v>
      </c>
      <c r="E10397" s="59"/>
    </row>
    <row r="10398" spans="3:5" x14ac:dyDescent="0.15">
      <c r="C10398" s="255" t="s">
        <v>1005</v>
      </c>
      <c r="D10398" s="59">
        <v>295.7</v>
      </c>
      <c r="E10398" s="59"/>
    </row>
    <row r="10399" spans="3:5" x14ac:dyDescent="0.15">
      <c r="C10399" s="255" t="s">
        <v>1006</v>
      </c>
      <c r="D10399" s="59">
        <v>4047.6</v>
      </c>
      <c r="E10399" s="59"/>
    </row>
    <row r="10400" spans="3:5" x14ac:dyDescent="0.15">
      <c r="C10400" s="255" t="s">
        <v>1007</v>
      </c>
      <c r="D10400" s="59">
        <v>1452.1</v>
      </c>
      <c r="E10400" s="59"/>
    </row>
    <row r="10401" spans="3:5" x14ac:dyDescent="0.15">
      <c r="C10401" s="255" t="s">
        <v>1008</v>
      </c>
      <c r="D10401" s="59">
        <v>334.5</v>
      </c>
      <c r="E10401" s="59"/>
    </row>
    <row r="10402" spans="3:5" x14ac:dyDescent="0.15">
      <c r="C10402" s="255" t="s">
        <v>1009</v>
      </c>
      <c r="D10402" s="59">
        <v>857.7</v>
      </c>
      <c r="E10402" s="59"/>
    </row>
    <row r="10403" spans="3:5" x14ac:dyDescent="0.15">
      <c r="C10403" s="255" t="s">
        <v>1010</v>
      </c>
      <c r="D10403" s="59">
        <v>222.2</v>
      </c>
      <c r="E10403" s="59"/>
    </row>
    <row r="10404" spans="3:5" x14ac:dyDescent="0.15">
      <c r="C10404" s="255" t="s">
        <v>1011</v>
      </c>
      <c r="D10404" s="59">
        <v>37.799999999999997</v>
      </c>
      <c r="E10404" s="59"/>
    </row>
    <row r="10405" spans="3:5" x14ac:dyDescent="0.15">
      <c r="C10405" s="255" t="s">
        <v>1012</v>
      </c>
      <c r="D10405" s="59">
        <v>14061.7</v>
      </c>
      <c r="E10405" s="59"/>
    </row>
    <row r="10406" spans="3:5" x14ac:dyDescent="0.15">
      <c r="C10406" s="255" t="s">
        <v>1013</v>
      </c>
      <c r="D10406" s="59">
        <v>7002.8</v>
      </c>
      <c r="E10406" s="59"/>
    </row>
    <row r="10407" spans="3:5" x14ac:dyDescent="0.15">
      <c r="C10407" s="255" t="s">
        <v>1014</v>
      </c>
      <c r="D10407" s="59">
        <v>2781.6</v>
      </c>
      <c r="E10407" s="59"/>
    </row>
    <row r="10408" spans="3:5" x14ac:dyDescent="0.15">
      <c r="C10408" s="255" t="s">
        <v>1015</v>
      </c>
      <c r="D10408" s="59">
        <v>787.7</v>
      </c>
      <c r="E10408" s="59"/>
    </row>
    <row r="10409" spans="3:5" x14ac:dyDescent="0.15">
      <c r="C10409" s="255" t="s">
        <v>1016</v>
      </c>
      <c r="D10409" s="59">
        <v>1649.1</v>
      </c>
      <c r="E10409" s="59"/>
    </row>
    <row r="10410" spans="3:5" x14ac:dyDescent="0.15">
      <c r="C10410" s="255" t="s">
        <v>1017</v>
      </c>
      <c r="D10410" s="59">
        <v>1816.7</v>
      </c>
      <c r="E10410" s="59"/>
    </row>
    <row r="10411" spans="3:5" x14ac:dyDescent="0.15">
      <c r="C10411" s="255" t="s">
        <v>1018</v>
      </c>
      <c r="D10411" s="59">
        <v>23.7</v>
      </c>
      <c r="E10411" s="59"/>
    </row>
    <row r="10412" spans="3:5" x14ac:dyDescent="0.15">
      <c r="C10412" s="255" t="s">
        <v>1019</v>
      </c>
      <c r="D10412" s="59">
        <v>27827.7</v>
      </c>
      <c r="E10412" s="59"/>
    </row>
    <row r="10413" spans="3:5" x14ac:dyDescent="0.15">
      <c r="C10413" s="255" t="s">
        <v>1020</v>
      </c>
      <c r="D10413" s="59">
        <v>474.7</v>
      </c>
      <c r="E10413" s="59"/>
    </row>
    <row r="10414" spans="3:5" x14ac:dyDescent="0.15">
      <c r="C10414" s="255" t="s">
        <v>1021</v>
      </c>
      <c r="D10414" s="59">
        <v>1177.2</v>
      </c>
      <c r="E10414" s="59"/>
    </row>
    <row r="10415" spans="3:5" x14ac:dyDescent="0.15">
      <c r="C10415" s="255" t="s">
        <v>1022</v>
      </c>
      <c r="D10415" s="59">
        <v>443.1</v>
      </c>
      <c r="E10415" s="59"/>
    </row>
    <row r="10416" spans="3:5" x14ac:dyDescent="0.15">
      <c r="C10416" s="255" t="s">
        <v>1023</v>
      </c>
      <c r="D10416" s="59">
        <v>127.6</v>
      </c>
      <c r="E10416" s="59"/>
    </row>
    <row r="10417" spans="3:5" x14ac:dyDescent="0.15">
      <c r="C10417" s="255" t="s">
        <v>1024</v>
      </c>
      <c r="D10417" s="59">
        <v>12.8</v>
      </c>
      <c r="E10417" s="59"/>
    </row>
    <row r="10418" spans="3:5" x14ac:dyDescent="0.15">
      <c r="C10418" s="255" t="s">
        <v>1025</v>
      </c>
      <c r="D10418" s="59">
        <v>230.9</v>
      </c>
      <c r="E10418" s="59"/>
    </row>
    <row r="10419" spans="3:5" x14ac:dyDescent="0.15">
      <c r="C10419" s="255" t="s">
        <v>1026</v>
      </c>
      <c r="D10419" s="59">
        <v>3468.8</v>
      </c>
      <c r="E10419" s="59"/>
    </row>
    <row r="10420" spans="3:5" x14ac:dyDescent="0.15">
      <c r="C10420" s="255" t="s">
        <v>1027</v>
      </c>
      <c r="D10420" s="59">
        <v>0</v>
      </c>
      <c r="E10420" s="59"/>
    </row>
    <row r="10421" spans="3:5" x14ac:dyDescent="0.15">
      <c r="C10421" s="255" t="s">
        <v>1028</v>
      </c>
      <c r="D10421" s="59">
        <v>556.1</v>
      </c>
      <c r="E10421" s="59"/>
    </row>
    <row r="10422" spans="3:5" x14ac:dyDescent="0.15">
      <c r="C10422" s="255" t="s">
        <v>1029</v>
      </c>
      <c r="D10422" s="59">
        <v>425</v>
      </c>
      <c r="E10422" s="59"/>
    </row>
    <row r="10423" spans="3:5" x14ac:dyDescent="0.15">
      <c r="C10423" s="255" t="s">
        <v>1030</v>
      </c>
      <c r="D10423" s="59">
        <v>9.6</v>
      </c>
      <c r="E10423" s="59"/>
    </row>
    <row r="10424" spans="3:5" x14ac:dyDescent="0.15">
      <c r="C10424" s="255" t="s">
        <v>1031</v>
      </c>
      <c r="D10424" s="59">
        <v>699.3</v>
      </c>
      <c r="E10424" s="59"/>
    </row>
    <row r="10425" spans="3:5" x14ac:dyDescent="0.15">
      <c r="C10425" s="255" t="s">
        <v>1032</v>
      </c>
      <c r="D10425" s="59">
        <v>127.8</v>
      </c>
      <c r="E10425" s="59"/>
    </row>
    <row r="10426" spans="3:5" x14ac:dyDescent="0.15">
      <c r="C10426" s="255" t="s">
        <v>1033</v>
      </c>
      <c r="D10426" s="59">
        <v>0</v>
      </c>
      <c r="E10426" s="59"/>
    </row>
    <row r="10427" spans="3:5" x14ac:dyDescent="0.15">
      <c r="C10427" s="255" t="s">
        <v>1034</v>
      </c>
      <c r="D10427" s="59">
        <v>127.2</v>
      </c>
      <c r="E10427" s="59"/>
    </row>
    <row r="10428" spans="3:5" x14ac:dyDescent="0.15">
      <c r="C10428" s="255" t="s">
        <v>1035</v>
      </c>
      <c r="D10428" s="59">
        <v>2206</v>
      </c>
      <c r="E10428" s="59"/>
    </row>
    <row r="10429" spans="3:5" x14ac:dyDescent="0.15">
      <c r="C10429" s="255" t="s">
        <v>1036</v>
      </c>
      <c r="D10429" s="59">
        <v>858.4</v>
      </c>
      <c r="E10429" s="59"/>
    </row>
    <row r="10430" spans="3:5" x14ac:dyDescent="0.15">
      <c r="C10430" s="255" t="s">
        <v>1037</v>
      </c>
      <c r="D10430" s="59">
        <v>1009.2</v>
      </c>
      <c r="E10430" s="59"/>
    </row>
    <row r="10431" spans="3:5" x14ac:dyDescent="0.15">
      <c r="C10431" s="255" t="s">
        <v>1038</v>
      </c>
      <c r="D10431" s="59">
        <v>4966.8</v>
      </c>
      <c r="E10431" s="59"/>
    </row>
    <row r="10432" spans="3:5" x14ac:dyDescent="0.15">
      <c r="C10432" s="255" t="s">
        <v>1039</v>
      </c>
      <c r="D10432" s="59">
        <v>1410.4</v>
      </c>
      <c r="E10432" s="59"/>
    </row>
    <row r="10433" spans="2:5" x14ac:dyDescent="0.15">
      <c r="C10433" s="255" t="s">
        <v>1040</v>
      </c>
      <c r="D10433" s="59">
        <v>5339.9</v>
      </c>
      <c r="E10433" s="59"/>
    </row>
    <row r="10434" spans="2:5" x14ac:dyDescent="0.15">
      <c r="C10434" s="255" t="s">
        <v>1041</v>
      </c>
      <c r="D10434" s="59">
        <v>375.1</v>
      </c>
      <c r="E10434" s="59"/>
    </row>
    <row r="10435" spans="2:5" x14ac:dyDescent="0.15">
      <c r="C10435" s="255" t="s">
        <v>1042</v>
      </c>
      <c r="D10435" s="59">
        <v>2570.4</v>
      </c>
      <c r="E10435" s="59"/>
    </row>
    <row r="10436" spans="2:5" x14ac:dyDescent="0.15">
      <c r="C10436" s="255" t="s">
        <v>1043</v>
      </c>
      <c r="D10436" s="59">
        <v>572.79999999999995</v>
      </c>
      <c r="E10436" s="59"/>
    </row>
    <row r="10437" spans="2:5" x14ac:dyDescent="0.15">
      <c r="C10437" s="255" t="s">
        <v>1044</v>
      </c>
      <c r="D10437" s="59">
        <v>115.8</v>
      </c>
      <c r="E10437" s="59"/>
    </row>
    <row r="10438" spans="2:5" x14ac:dyDescent="0.15">
      <c r="C10438" s="255" t="s">
        <v>1045</v>
      </c>
      <c r="D10438" s="59">
        <v>66.8</v>
      </c>
      <c r="E10438" s="59"/>
    </row>
    <row r="10439" spans="2:5" x14ac:dyDescent="0.15">
      <c r="C10439" s="255" t="s">
        <v>1046</v>
      </c>
      <c r="D10439" s="59">
        <v>103</v>
      </c>
      <c r="E10439" s="59"/>
    </row>
    <row r="10440" spans="2:5" x14ac:dyDescent="0.15">
      <c r="C10440" s="255" t="s">
        <v>1047</v>
      </c>
      <c r="D10440" s="59">
        <v>317.39999999999998</v>
      </c>
      <c r="E10440" s="59"/>
    </row>
    <row r="10441" spans="2:5" x14ac:dyDescent="0.15">
      <c r="C10441" s="255" t="s">
        <v>1048</v>
      </c>
      <c r="D10441" s="59">
        <v>35.4</v>
      </c>
      <c r="E10441" s="59"/>
    </row>
    <row r="10442" spans="2:5" x14ac:dyDescent="0.15">
      <c r="B10442" s="255" t="s">
        <v>1072</v>
      </c>
      <c r="C10442" s="255" t="s">
        <v>743</v>
      </c>
      <c r="D10442" s="59">
        <v>617</v>
      </c>
      <c r="E10442" s="59"/>
    </row>
    <row r="10443" spans="2:5" x14ac:dyDescent="0.15">
      <c r="C10443" s="255" t="s">
        <v>744</v>
      </c>
      <c r="D10443" s="59">
        <v>600.20000000000005</v>
      </c>
      <c r="E10443" s="59"/>
    </row>
    <row r="10444" spans="2:5" x14ac:dyDescent="0.15">
      <c r="C10444" s="255" t="s">
        <v>745</v>
      </c>
      <c r="D10444" s="59">
        <v>1291.5999999999999</v>
      </c>
      <c r="E10444" s="59"/>
    </row>
    <row r="10445" spans="2:5" x14ac:dyDescent="0.15">
      <c r="C10445" s="255" t="s">
        <v>746</v>
      </c>
      <c r="D10445" s="59">
        <v>2.2000000000000002</v>
      </c>
      <c r="E10445" s="59"/>
    </row>
    <row r="10446" spans="2:5" x14ac:dyDescent="0.15">
      <c r="C10446" s="255" t="s">
        <v>747</v>
      </c>
      <c r="D10446" s="59">
        <v>1.7</v>
      </c>
      <c r="E10446" s="59"/>
    </row>
    <row r="10447" spans="2:5" x14ac:dyDescent="0.15">
      <c r="C10447" s="255" t="s">
        <v>748</v>
      </c>
      <c r="D10447" s="59">
        <v>0.5</v>
      </c>
      <c r="E10447" s="59"/>
    </row>
    <row r="10448" spans="2:5" x14ac:dyDescent="0.15">
      <c r="C10448" s="255" t="s">
        <v>749</v>
      </c>
      <c r="D10448" s="59">
        <v>0.5</v>
      </c>
      <c r="E10448" s="59"/>
    </row>
    <row r="10449" spans="3:5" x14ac:dyDescent="0.15">
      <c r="C10449" s="255" t="s">
        <v>750</v>
      </c>
      <c r="D10449" s="59">
        <v>0.4</v>
      </c>
      <c r="E10449" s="59"/>
    </row>
    <row r="10450" spans="3:5" x14ac:dyDescent="0.15">
      <c r="C10450" s="255" t="s">
        <v>751</v>
      </c>
      <c r="D10450" s="59">
        <v>54.6</v>
      </c>
      <c r="E10450" s="59"/>
    </row>
    <row r="10451" spans="3:5" x14ac:dyDescent="0.15">
      <c r="C10451" s="255" t="s">
        <v>752</v>
      </c>
      <c r="D10451" s="59">
        <v>1.5</v>
      </c>
      <c r="E10451" s="59"/>
    </row>
    <row r="10452" spans="3:5" x14ac:dyDescent="0.15">
      <c r="C10452" s="255" t="s">
        <v>753</v>
      </c>
      <c r="D10452" s="59">
        <v>120.4</v>
      </c>
      <c r="E10452" s="59"/>
    </row>
    <row r="10453" spans="3:5" x14ac:dyDescent="0.15">
      <c r="C10453" s="255" t="s">
        <v>754</v>
      </c>
      <c r="D10453" s="59">
        <v>1960.1</v>
      </c>
      <c r="E10453" s="59"/>
    </row>
    <row r="10454" spans="3:5" x14ac:dyDescent="0.15">
      <c r="C10454" s="255" t="s">
        <v>192</v>
      </c>
      <c r="D10454" s="59">
        <v>256634.9</v>
      </c>
      <c r="E10454" s="59"/>
    </row>
    <row r="10455" spans="3:5" x14ac:dyDescent="0.15">
      <c r="C10455" s="255" t="s">
        <v>755</v>
      </c>
      <c r="D10455" s="59">
        <v>33194.300000000003</v>
      </c>
      <c r="E10455" s="59"/>
    </row>
    <row r="10456" spans="3:5" x14ac:dyDescent="0.15">
      <c r="C10456" s="255" t="s">
        <v>756</v>
      </c>
      <c r="D10456" s="59">
        <v>84.8</v>
      </c>
      <c r="E10456" s="59"/>
    </row>
    <row r="10457" spans="3:5" x14ac:dyDescent="0.15">
      <c r="C10457" s="255" t="s">
        <v>757</v>
      </c>
      <c r="D10457" s="59">
        <v>113.6</v>
      </c>
      <c r="E10457" s="59"/>
    </row>
    <row r="10458" spans="3:5" x14ac:dyDescent="0.15">
      <c r="C10458" s="255" t="s">
        <v>758</v>
      </c>
      <c r="D10458" s="59">
        <v>1845.2</v>
      </c>
      <c r="E10458" s="59"/>
    </row>
    <row r="10459" spans="3:5" x14ac:dyDescent="0.15">
      <c r="C10459" s="255" t="s">
        <v>759</v>
      </c>
      <c r="D10459" s="59">
        <v>1206.9000000000001</v>
      </c>
      <c r="E10459" s="59"/>
    </row>
    <row r="10460" spans="3:5" x14ac:dyDescent="0.15">
      <c r="C10460" s="255" t="s">
        <v>760</v>
      </c>
      <c r="D10460" s="59">
        <v>158.9</v>
      </c>
      <c r="E10460" s="59"/>
    </row>
    <row r="10461" spans="3:5" x14ac:dyDescent="0.15">
      <c r="C10461" s="255" t="s">
        <v>761</v>
      </c>
      <c r="D10461" s="59">
        <v>265.10000000000002</v>
      </c>
      <c r="E10461" s="59"/>
    </row>
    <row r="10462" spans="3:5" x14ac:dyDescent="0.15">
      <c r="C10462" s="255" t="s">
        <v>762</v>
      </c>
      <c r="D10462" s="59">
        <v>314.5</v>
      </c>
      <c r="E10462" s="59"/>
    </row>
    <row r="10463" spans="3:5" x14ac:dyDescent="0.15">
      <c r="C10463" s="255" t="s">
        <v>763</v>
      </c>
      <c r="D10463" s="59">
        <v>158.30000000000001</v>
      </c>
      <c r="E10463" s="59"/>
    </row>
    <row r="10464" spans="3:5" x14ac:dyDescent="0.15">
      <c r="C10464" s="255" t="s">
        <v>764</v>
      </c>
      <c r="D10464" s="59">
        <v>2839.9</v>
      </c>
      <c r="E10464" s="59"/>
    </row>
    <row r="10465" spans="3:5" x14ac:dyDescent="0.15">
      <c r="C10465" s="255" t="s">
        <v>765</v>
      </c>
      <c r="D10465" s="59">
        <v>1326.2</v>
      </c>
      <c r="E10465" s="59"/>
    </row>
    <row r="10466" spans="3:5" x14ac:dyDescent="0.15">
      <c r="C10466" s="255" t="s">
        <v>766</v>
      </c>
      <c r="D10466" s="59">
        <v>186.3</v>
      </c>
      <c r="E10466" s="59"/>
    </row>
    <row r="10467" spans="3:5" x14ac:dyDescent="0.15">
      <c r="C10467" s="255" t="s">
        <v>767</v>
      </c>
      <c r="D10467" s="59">
        <v>986.9</v>
      </c>
      <c r="E10467" s="59"/>
    </row>
    <row r="10468" spans="3:5" x14ac:dyDescent="0.15">
      <c r="C10468" s="255" t="s">
        <v>768</v>
      </c>
      <c r="D10468" s="59">
        <v>24.9</v>
      </c>
      <c r="E10468" s="59"/>
    </row>
    <row r="10469" spans="3:5" x14ac:dyDescent="0.15">
      <c r="C10469" s="255" t="s">
        <v>769</v>
      </c>
      <c r="D10469" s="59">
        <v>32.9</v>
      </c>
      <c r="E10469" s="59"/>
    </row>
    <row r="10470" spans="3:5" x14ac:dyDescent="0.15">
      <c r="C10470" s="255" t="s">
        <v>770</v>
      </c>
      <c r="D10470" s="59">
        <v>1534.7</v>
      </c>
      <c r="E10470" s="59"/>
    </row>
    <row r="10471" spans="3:5" x14ac:dyDescent="0.15">
      <c r="C10471" s="255" t="s">
        <v>771</v>
      </c>
      <c r="D10471" s="59">
        <v>1587.2</v>
      </c>
      <c r="E10471" s="59"/>
    </row>
    <row r="10472" spans="3:5" x14ac:dyDescent="0.15">
      <c r="C10472" s="255" t="s">
        <v>772</v>
      </c>
      <c r="D10472" s="59">
        <v>437.1</v>
      </c>
      <c r="E10472" s="59"/>
    </row>
    <row r="10473" spans="3:5" x14ac:dyDescent="0.15">
      <c r="C10473" s="255" t="s">
        <v>773</v>
      </c>
      <c r="D10473" s="59">
        <v>64.599999999999994</v>
      </c>
      <c r="E10473" s="59"/>
    </row>
    <row r="10474" spans="3:5" x14ac:dyDescent="0.15">
      <c r="C10474" s="255" t="s">
        <v>774</v>
      </c>
      <c r="D10474" s="59">
        <v>88.8</v>
      </c>
      <c r="E10474" s="59"/>
    </row>
    <row r="10475" spans="3:5" x14ac:dyDescent="0.15">
      <c r="C10475" s="255" t="s">
        <v>775</v>
      </c>
      <c r="D10475" s="59">
        <v>76.099999999999994</v>
      </c>
      <c r="E10475" s="59"/>
    </row>
    <row r="10476" spans="3:5" x14ac:dyDescent="0.15">
      <c r="C10476" s="255" t="s">
        <v>776</v>
      </c>
      <c r="D10476" s="59">
        <v>329.8</v>
      </c>
      <c r="E10476" s="59"/>
    </row>
    <row r="10477" spans="3:5" x14ac:dyDescent="0.15">
      <c r="C10477" s="255" t="s">
        <v>777</v>
      </c>
      <c r="D10477" s="59">
        <v>689.3</v>
      </c>
      <c r="E10477" s="59"/>
    </row>
    <row r="10478" spans="3:5" x14ac:dyDescent="0.15">
      <c r="C10478" s="255" t="s">
        <v>778</v>
      </c>
      <c r="D10478" s="59">
        <v>400.8</v>
      </c>
      <c r="E10478" s="59"/>
    </row>
    <row r="10479" spans="3:5" x14ac:dyDescent="0.15">
      <c r="C10479" s="255" t="s">
        <v>779</v>
      </c>
      <c r="D10479" s="59">
        <v>401.3</v>
      </c>
      <c r="E10479" s="59"/>
    </row>
    <row r="10480" spans="3:5" x14ac:dyDescent="0.15">
      <c r="C10480" s="255" t="s">
        <v>780</v>
      </c>
      <c r="D10480" s="59">
        <v>6.2</v>
      </c>
      <c r="E10480" s="59"/>
    </row>
    <row r="10481" spans="3:5" x14ac:dyDescent="0.15">
      <c r="C10481" s="255" t="s">
        <v>781</v>
      </c>
      <c r="D10481" s="59">
        <v>637.4</v>
      </c>
      <c r="E10481" s="59"/>
    </row>
    <row r="10482" spans="3:5" x14ac:dyDescent="0.15">
      <c r="C10482" s="255" t="s">
        <v>782</v>
      </c>
      <c r="D10482" s="59">
        <v>1599.4</v>
      </c>
      <c r="E10482" s="59"/>
    </row>
    <row r="10483" spans="3:5" x14ac:dyDescent="0.15">
      <c r="C10483" s="255" t="s">
        <v>783</v>
      </c>
      <c r="D10483" s="59">
        <v>698.5</v>
      </c>
      <c r="E10483" s="59"/>
    </row>
    <row r="10484" spans="3:5" x14ac:dyDescent="0.15">
      <c r="C10484" s="255" t="s">
        <v>784</v>
      </c>
      <c r="D10484" s="59">
        <v>471.9</v>
      </c>
      <c r="E10484" s="59"/>
    </row>
    <row r="10485" spans="3:5" x14ac:dyDescent="0.15">
      <c r="C10485" s="255" t="s">
        <v>785</v>
      </c>
      <c r="D10485" s="59">
        <v>608.5</v>
      </c>
      <c r="E10485" s="59"/>
    </row>
    <row r="10486" spans="3:5" x14ac:dyDescent="0.15">
      <c r="C10486" s="255" t="s">
        <v>786</v>
      </c>
      <c r="D10486" s="59">
        <v>143.19999999999999</v>
      </c>
      <c r="E10486" s="59"/>
    </row>
    <row r="10487" spans="3:5" x14ac:dyDescent="0.15">
      <c r="C10487" s="255" t="s">
        <v>787</v>
      </c>
      <c r="D10487" s="59">
        <v>114.8</v>
      </c>
      <c r="E10487" s="59"/>
    </row>
    <row r="10488" spans="3:5" x14ac:dyDescent="0.15">
      <c r="C10488" s="255" t="s">
        <v>788</v>
      </c>
      <c r="D10488" s="59">
        <v>102</v>
      </c>
      <c r="E10488" s="59"/>
    </row>
    <row r="10489" spans="3:5" x14ac:dyDescent="0.15">
      <c r="C10489" s="255" t="s">
        <v>789</v>
      </c>
      <c r="D10489" s="59">
        <v>5</v>
      </c>
      <c r="E10489" s="59"/>
    </row>
    <row r="10490" spans="3:5" x14ac:dyDescent="0.15">
      <c r="C10490" s="255" t="s">
        <v>790</v>
      </c>
      <c r="D10490" s="59">
        <v>2158.5</v>
      </c>
      <c r="E10490" s="59"/>
    </row>
    <row r="10491" spans="3:5" x14ac:dyDescent="0.15">
      <c r="C10491" s="255" t="s">
        <v>791</v>
      </c>
      <c r="D10491" s="59">
        <v>42.4</v>
      </c>
      <c r="E10491" s="59"/>
    </row>
    <row r="10492" spans="3:5" x14ac:dyDescent="0.15">
      <c r="C10492" s="255" t="s">
        <v>792</v>
      </c>
      <c r="D10492" s="59">
        <v>643.1</v>
      </c>
      <c r="E10492" s="59"/>
    </row>
    <row r="10493" spans="3:5" x14ac:dyDescent="0.15">
      <c r="C10493" s="255" t="s">
        <v>793</v>
      </c>
      <c r="D10493" s="59">
        <v>118.5</v>
      </c>
      <c r="E10493" s="59"/>
    </row>
    <row r="10494" spans="3:5" x14ac:dyDescent="0.15">
      <c r="C10494" s="255" t="s">
        <v>794</v>
      </c>
      <c r="D10494" s="59">
        <v>1953.6</v>
      </c>
      <c r="E10494" s="59"/>
    </row>
    <row r="10495" spans="3:5" x14ac:dyDescent="0.15">
      <c r="C10495" s="255" t="s">
        <v>795</v>
      </c>
      <c r="D10495" s="59">
        <v>208.5</v>
      </c>
      <c r="E10495" s="59"/>
    </row>
    <row r="10496" spans="3:5" x14ac:dyDescent="0.15">
      <c r="C10496" s="255" t="s">
        <v>796</v>
      </c>
      <c r="D10496" s="59">
        <v>457.8</v>
      </c>
      <c r="E10496" s="59"/>
    </row>
    <row r="10497" spans="3:5" x14ac:dyDescent="0.15">
      <c r="C10497" s="255" t="s">
        <v>797</v>
      </c>
      <c r="D10497" s="59">
        <v>583.70000000000005</v>
      </c>
      <c r="E10497" s="59"/>
    </row>
    <row r="10498" spans="3:5" x14ac:dyDescent="0.15">
      <c r="C10498" s="255" t="s">
        <v>798</v>
      </c>
      <c r="D10498" s="59">
        <v>235.4</v>
      </c>
      <c r="E10498" s="59"/>
    </row>
    <row r="10499" spans="3:5" x14ac:dyDescent="0.15">
      <c r="C10499" s="255" t="s">
        <v>799</v>
      </c>
      <c r="D10499" s="59">
        <v>67.8</v>
      </c>
      <c r="E10499" s="59"/>
    </row>
    <row r="10500" spans="3:5" x14ac:dyDescent="0.15">
      <c r="C10500" s="255" t="s">
        <v>800</v>
      </c>
      <c r="D10500" s="59">
        <v>112.4</v>
      </c>
      <c r="E10500" s="59"/>
    </row>
    <row r="10501" spans="3:5" x14ac:dyDescent="0.15">
      <c r="C10501" s="255" t="s">
        <v>801</v>
      </c>
      <c r="D10501" s="59">
        <v>239.1</v>
      </c>
      <c r="E10501" s="59"/>
    </row>
    <row r="10502" spans="3:5" x14ac:dyDescent="0.15">
      <c r="C10502" s="255" t="s">
        <v>802</v>
      </c>
      <c r="D10502" s="59">
        <v>860.2</v>
      </c>
      <c r="E10502" s="59"/>
    </row>
    <row r="10503" spans="3:5" x14ac:dyDescent="0.15">
      <c r="C10503" s="255" t="s">
        <v>803</v>
      </c>
      <c r="D10503" s="59">
        <v>1117.4000000000001</v>
      </c>
      <c r="E10503" s="59"/>
    </row>
    <row r="10504" spans="3:5" x14ac:dyDescent="0.15">
      <c r="C10504" s="255" t="s">
        <v>804</v>
      </c>
      <c r="D10504" s="59">
        <v>654</v>
      </c>
      <c r="E10504" s="59"/>
    </row>
    <row r="10505" spans="3:5" x14ac:dyDescent="0.15">
      <c r="C10505" s="255" t="s">
        <v>805</v>
      </c>
      <c r="D10505" s="59">
        <v>5.9</v>
      </c>
      <c r="E10505" s="59"/>
    </row>
    <row r="10506" spans="3:5" x14ac:dyDescent="0.15">
      <c r="C10506" s="255" t="s">
        <v>806</v>
      </c>
      <c r="D10506" s="59">
        <v>614.29999999999995</v>
      </c>
      <c r="E10506" s="59"/>
    </row>
    <row r="10507" spans="3:5" x14ac:dyDescent="0.15">
      <c r="C10507" s="255" t="s">
        <v>807</v>
      </c>
      <c r="D10507" s="59">
        <v>237</v>
      </c>
      <c r="E10507" s="59"/>
    </row>
    <row r="10508" spans="3:5" x14ac:dyDescent="0.15">
      <c r="C10508" s="255" t="s">
        <v>808</v>
      </c>
      <c r="D10508" s="59">
        <v>18.100000000000001</v>
      </c>
      <c r="E10508" s="59"/>
    </row>
    <row r="10509" spans="3:5" x14ac:dyDescent="0.15">
      <c r="C10509" s="255" t="s">
        <v>809</v>
      </c>
      <c r="D10509" s="59">
        <v>470.5</v>
      </c>
      <c r="E10509" s="59"/>
    </row>
    <row r="10510" spans="3:5" x14ac:dyDescent="0.15">
      <c r="C10510" s="255" t="s">
        <v>810</v>
      </c>
      <c r="D10510" s="59">
        <v>202.9</v>
      </c>
      <c r="E10510" s="59"/>
    </row>
    <row r="10511" spans="3:5" x14ac:dyDescent="0.15">
      <c r="C10511" s="255" t="s">
        <v>811</v>
      </c>
      <c r="D10511" s="59">
        <v>879.2</v>
      </c>
      <c r="E10511" s="59"/>
    </row>
    <row r="10512" spans="3:5" x14ac:dyDescent="0.15">
      <c r="C10512" s="255" t="s">
        <v>812</v>
      </c>
      <c r="D10512" s="59">
        <v>122.8</v>
      </c>
      <c r="E10512" s="59"/>
    </row>
    <row r="10513" spans="3:5" x14ac:dyDescent="0.15">
      <c r="C10513" s="255" t="s">
        <v>813</v>
      </c>
      <c r="D10513" s="59">
        <v>37.299999999999997</v>
      </c>
      <c r="E10513" s="59"/>
    </row>
    <row r="10514" spans="3:5" x14ac:dyDescent="0.15">
      <c r="C10514" s="255" t="s">
        <v>814</v>
      </c>
      <c r="D10514" s="59">
        <v>150.1</v>
      </c>
      <c r="E10514" s="59"/>
    </row>
    <row r="10515" spans="3:5" x14ac:dyDescent="0.15">
      <c r="C10515" s="255" t="s">
        <v>815</v>
      </c>
      <c r="D10515" s="59">
        <v>959.7</v>
      </c>
      <c r="E10515" s="59"/>
    </row>
    <row r="10516" spans="3:5" x14ac:dyDescent="0.15">
      <c r="C10516" s="255" t="s">
        <v>816</v>
      </c>
      <c r="D10516" s="59">
        <v>503.4</v>
      </c>
      <c r="E10516" s="59"/>
    </row>
    <row r="10517" spans="3:5" x14ac:dyDescent="0.15">
      <c r="C10517" s="255" t="s">
        <v>817</v>
      </c>
      <c r="D10517" s="59">
        <v>5745.7</v>
      </c>
      <c r="E10517" s="59"/>
    </row>
    <row r="10518" spans="3:5" x14ac:dyDescent="0.15">
      <c r="C10518" s="255" t="s">
        <v>818</v>
      </c>
      <c r="D10518" s="59">
        <v>517.6</v>
      </c>
      <c r="E10518" s="59"/>
    </row>
    <row r="10519" spans="3:5" x14ac:dyDescent="0.15">
      <c r="C10519" s="255" t="s">
        <v>819</v>
      </c>
      <c r="D10519" s="59">
        <v>2.2000000000000002</v>
      </c>
      <c r="E10519" s="59"/>
    </row>
    <row r="10520" spans="3:5" x14ac:dyDescent="0.15">
      <c r="C10520" s="255" t="s">
        <v>820</v>
      </c>
      <c r="D10520" s="59">
        <v>2141.6</v>
      </c>
      <c r="E10520" s="59"/>
    </row>
    <row r="10521" spans="3:5" x14ac:dyDescent="0.15">
      <c r="C10521" s="255" t="s">
        <v>821</v>
      </c>
      <c r="D10521" s="59">
        <v>24.3</v>
      </c>
      <c r="E10521" s="59"/>
    </row>
    <row r="10522" spans="3:5" x14ac:dyDescent="0.15">
      <c r="C10522" s="255" t="s">
        <v>822</v>
      </c>
      <c r="D10522" s="59">
        <v>43.2</v>
      </c>
      <c r="E10522" s="59"/>
    </row>
    <row r="10523" spans="3:5" x14ac:dyDescent="0.15">
      <c r="C10523" s="255" t="s">
        <v>823</v>
      </c>
      <c r="D10523" s="59">
        <v>2.2000000000000002</v>
      </c>
      <c r="E10523" s="59"/>
    </row>
    <row r="10524" spans="3:5" x14ac:dyDescent="0.15">
      <c r="C10524" s="255" t="s">
        <v>824</v>
      </c>
      <c r="D10524" s="59">
        <v>543.70000000000005</v>
      </c>
      <c r="E10524" s="59"/>
    </row>
    <row r="10525" spans="3:5" x14ac:dyDescent="0.15">
      <c r="C10525" s="255" t="s">
        <v>825</v>
      </c>
      <c r="D10525" s="59">
        <v>385.6</v>
      </c>
      <c r="E10525" s="59"/>
    </row>
    <row r="10526" spans="3:5" x14ac:dyDescent="0.15">
      <c r="C10526" s="255" t="s">
        <v>826</v>
      </c>
      <c r="D10526" s="59">
        <v>9.3000000000000007</v>
      </c>
      <c r="E10526" s="59"/>
    </row>
    <row r="10527" spans="3:5" x14ac:dyDescent="0.15">
      <c r="C10527" s="255" t="s">
        <v>827</v>
      </c>
      <c r="D10527" s="59">
        <v>0.4</v>
      </c>
      <c r="E10527" s="59"/>
    </row>
    <row r="10528" spans="3:5" x14ac:dyDescent="0.15">
      <c r="C10528" s="255" t="s">
        <v>828</v>
      </c>
      <c r="D10528" s="59">
        <v>1841.4</v>
      </c>
      <c r="E10528" s="59"/>
    </row>
    <row r="10529" spans="3:5" x14ac:dyDescent="0.15">
      <c r="C10529" s="255" t="s">
        <v>829</v>
      </c>
      <c r="D10529" s="59">
        <v>9.8000000000000007</v>
      </c>
      <c r="E10529" s="59"/>
    </row>
    <row r="10530" spans="3:5" x14ac:dyDescent="0.15">
      <c r="C10530" s="255" t="s">
        <v>830</v>
      </c>
      <c r="D10530" s="59">
        <v>224.4</v>
      </c>
      <c r="E10530" s="59"/>
    </row>
    <row r="10531" spans="3:5" x14ac:dyDescent="0.15">
      <c r="C10531" s="255" t="s">
        <v>831</v>
      </c>
      <c r="D10531" s="59">
        <v>0</v>
      </c>
      <c r="E10531" s="59"/>
    </row>
    <row r="10532" spans="3:5" x14ac:dyDescent="0.15">
      <c r="C10532" s="255" t="s">
        <v>832</v>
      </c>
      <c r="D10532" s="59">
        <v>8071.7</v>
      </c>
      <c r="E10532" s="59"/>
    </row>
    <row r="10533" spans="3:5" x14ac:dyDescent="0.15">
      <c r="C10533" s="255" t="s">
        <v>833</v>
      </c>
      <c r="D10533" s="59">
        <v>55.5</v>
      </c>
      <c r="E10533" s="59"/>
    </row>
    <row r="10534" spans="3:5" x14ac:dyDescent="0.15">
      <c r="C10534" s="255" t="s">
        <v>834</v>
      </c>
      <c r="D10534" s="59">
        <v>2031.3</v>
      </c>
      <c r="E10534" s="59"/>
    </row>
    <row r="10535" spans="3:5" x14ac:dyDescent="0.15">
      <c r="C10535" s="255" t="s">
        <v>835</v>
      </c>
      <c r="D10535" s="59">
        <v>2982.1</v>
      </c>
      <c r="E10535" s="59"/>
    </row>
    <row r="10536" spans="3:5" x14ac:dyDescent="0.15">
      <c r="C10536" s="255" t="s">
        <v>836</v>
      </c>
      <c r="D10536" s="59">
        <v>876.4</v>
      </c>
      <c r="E10536" s="59"/>
    </row>
    <row r="10537" spans="3:5" x14ac:dyDescent="0.15">
      <c r="C10537" s="255" t="s">
        <v>837</v>
      </c>
      <c r="D10537" s="59">
        <v>177.5</v>
      </c>
      <c r="E10537" s="59"/>
    </row>
    <row r="10538" spans="3:5" x14ac:dyDescent="0.15">
      <c r="C10538" s="255" t="s">
        <v>838</v>
      </c>
      <c r="D10538" s="59">
        <v>83.1</v>
      </c>
      <c r="E10538" s="59"/>
    </row>
    <row r="10539" spans="3:5" x14ac:dyDescent="0.15">
      <c r="C10539" s="255" t="s">
        <v>839</v>
      </c>
      <c r="D10539" s="59">
        <v>78.7</v>
      </c>
      <c r="E10539" s="59"/>
    </row>
    <row r="10540" spans="3:5" x14ac:dyDescent="0.15">
      <c r="C10540" s="255" t="s">
        <v>840</v>
      </c>
      <c r="D10540" s="59">
        <v>21.8</v>
      </c>
      <c r="E10540" s="59"/>
    </row>
    <row r="10541" spans="3:5" x14ac:dyDescent="0.15">
      <c r="C10541" s="255" t="s">
        <v>841</v>
      </c>
      <c r="D10541" s="59">
        <v>572.1</v>
      </c>
      <c r="E10541" s="59"/>
    </row>
    <row r="10542" spans="3:5" x14ac:dyDescent="0.15">
      <c r="C10542" s="255" t="s">
        <v>842</v>
      </c>
      <c r="D10542" s="59">
        <v>842.5</v>
      </c>
      <c r="E10542" s="59"/>
    </row>
    <row r="10543" spans="3:5" x14ac:dyDescent="0.15">
      <c r="C10543" s="255" t="s">
        <v>843</v>
      </c>
      <c r="D10543" s="59">
        <v>341.3</v>
      </c>
      <c r="E10543" s="59"/>
    </row>
    <row r="10544" spans="3:5" x14ac:dyDescent="0.15">
      <c r="C10544" s="255" t="s">
        <v>844</v>
      </c>
      <c r="D10544" s="59">
        <v>9.4</v>
      </c>
      <c r="E10544" s="59"/>
    </row>
    <row r="10545" spans="3:5" x14ac:dyDescent="0.15">
      <c r="C10545" s="255" t="s">
        <v>845</v>
      </c>
      <c r="D10545" s="59">
        <v>92892.5</v>
      </c>
      <c r="E10545" s="59"/>
    </row>
    <row r="10546" spans="3:5" x14ac:dyDescent="0.15">
      <c r="C10546" s="255" t="s">
        <v>846</v>
      </c>
      <c r="D10546" s="59">
        <v>25936.2</v>
      </c>
      <c r="E10546" s="59"/>
    </row>
    <row r="10547" spans="3:5" x14ac:dyDescent="0.15">
      <c r="C10547" s="255" t="s">
        <v>847</v>
      </c>
      <c r="D10547" s="59">
        <v>13.1</v>
      </c>
      <c r="E10547" s="59"/>
    </row>
    <row r="10548" spans="3:5" x14ac:dyDescent="0.15">
      <c r="C10548" s="255" t="s">
        <v>848</v>
      </c>
      <c r="D10548" s="59">
        <v>32421.9</v>
      </c>
      <c r="E10548" s="59"/>
    </row>
    <row r="10549" spans="3:5" x14ac:dyDescent="0.15">
      <c r="C10549" s="255" t="s">
        <v>849</v>
      </c>
      <c r="D10549" s="59">
        <v>1069.9000000000001</v>
      </c>
      <c r="E10549" s="59"/>
    </row>
    <row r="10550" spans="3:5" x14ac:dyDescent="0.15">
      <c r="C10550" s="255" t="s">
        <v>850</v>
      </c>
      <c r="D10550" s="59">
        <v>1340.3</v>
      </c>
      <c r="E10550" s="59"/>
    </row>
    <row r="10551" spans="3:5" x14ac:dyDescent="0.15">
      <c r="C10551" s="255" t="s">
        <v>851</v>
      </c>
      <c r="D10551" s="59">
        <v>0</v>
      </c>
      <c r="E10551" s="59"/>
    </row>
    <row r="10552" spans="3:5" x14ac:dyDescent="0.15">
      <c r="C10552" s="255" t="s">
        <v>852</v>
      </c>
      <c r="D10552" s="59">
        <v>0</v>
      </c>
      <c r="E10552" s="59"/>
    </row>
    <row r="10553" spans="3:5" x14ac:dyDescent="0.15">
      <c r="C10553" s="255" t="s">
        <v>853</v>
      </c>
      <c r="D10553" s="59">
        <v>83.2</v>
      </c>
      <c r="E10553" s="59"/>
    </row>
    <row r="10554" spans="3:5" x14ac:dyDescent="0.15">
      <c r="C10554" s="255" t="s">
        <v>854</v>
      </c>
      <c r="D10554" s="59">
        <v>0</v>
      </c>
      <c r="E10554" s="59"/>
    </row>
    <row r="10555" spans="3:5" x14ac:dyDescent="0.15">
      <c r="C10555" s="255" t="s">
        <v>855</v>
      </c>
      <c r="D10555" s="59">
        <v>275.3</v>
      </c>
      <c r="E10555" s="59"/>
    </row>
    <row r="10556" spans="3:5" x14ac:dyDescent="0.15">
      <c r="C10556" s="255" t="s">
        <v>856</v>
      </c>
      <c r="D10556" s="59">
        <v>1628.5</v>
      </c>
      <c r="E10556" s="59"/>
    </row>
    <row r="10557" spans="3:5" x14ac:dyDescent="0.15">
      <c r="C10557" s="255" t="s">
        <v>857</v>
      </c>
      <c r="D10557" s="59">
        <v>2149.4</v>
      </c>
      <c r="E10557" s="59"/>
    </row>
    <row r="10558" spans="3:5" x14ac:dyDescent="0.15">
      <c r="C10558" s="255" t="s">
        <v>858</v>
      </c>
      <c r="D10558" s="59">
        <v>2350.8000000000002</v>
      </c>
      <c r="E10558" s="59"/>
    </row>
    <row r="10559" spans="3:5" x14ac:dyDescent="0.15">
      <c r="C10559" s="255" t="s">
        <v>859</v>
      </c>
      <c r="D10559" s="59">
        <v>2611.1999999999998</v>
      </c>
      <c r="E10559" s="59"/>
    </row>
    <row r="10560" spans="3:5" x14ac:dyDescent="0.15">
      <c r="C10560" s="255" t="s">
        <v>860</v>
      </c>
      <c r="D10560" s="59">
        <v>107.5</v>
      </c>
      <c r="E10560" s="59"/>
    </row>
    <row r="10561" spans="3:5" x14ac:dyDescent="0.15">
      <c r="C10561" s="255" t="s">
        <v>861</v>
      </c>
      <c r="D10561" s="59">
        <v>1140.3</v>
      </c>
      <c r="E10561" s="59"/>
    </row>
    <row r="10562" spans="3:5" x14ac:dyDescent="0.15">
      <c r="C10562" s="255" t="s">
        <v>862</v>
      </c>
      <c r="D10562" s="59">
        <v>7350</v>
      </c>
      <c r="E10562" s="59"/>
    </row>
    <row r="10563" spans="3:5" x14ac:dyDescent="0.15">
      <c r="C10563" s="255" t="s">
        <v>863</v>
      </c>
      <c r="D10563" s="59">
        <v>759</v>
      </c>
      <c r="E10563" s="59"/>
    </row>
    <row r="10564" spans="3:5" x14ac:dyDescent="0.15">
      <c r="C10564" s="255" t="s">
        <v>864</v>
      </c>
      <c r="D10564" s="59">
        <v>54.6</v>
      </c>
      <c r="E10564" s="59"/>
    </row>
    <row r="10565" spans="3:5" x14ac:dyDescent="0.15">
      <c r="C10565" s="255" t="s">
        <v>865</v>
      </c>
      <c r="D10565" s="59">
        <v>1335.5</v>
      </c>
      <c r="E10565" s="59"/>
    </row>
    <row r="10566" spans="3:5" x14ac:dyDescent="0.15">
      <c r="C10566" s="255" t="s">
        <v>866</v>
      </c>
      <c r="D10566" s="59">
        <v>23.7</v>
      </c>
      <c r="E10566" s="59"/>
    </row>
    <row r="10567" spans="3:5" x14ac:dyDescent="0.15">
      <c r="C10567" s="255" t="s">
        <v>867</v>
      </c>
      <c r="D10567" s="59">
        <v>897.2</v>
      </c>
      <c r="E10567" s="59"/>
    </row>
    <row r="10568" spans="3:5" x14ac:dyDescent="0.15">
      <c r="C10568" s="255" t="s">
        <v>868</v>
      </c>
      <c r="D10568" s="59">
        <v>11344.7</v>
      </c>
      <c r="E10568" s="59"/>
    </row>
    <row r="10569" spans="3:5" x14ac:dyDescent="0.15">
      <c r="C10569" s="255" t="s">
        <v>869</v>
      </c>
      <c r="D10569" s="59">
        <v>11341.3</v>
      </c>
      <c r="E10569" s="59"/>
    </row>
    <row r="10570" spans="3:5" x14ac:dyDescent="0.15">
      <c r="C10570" s="255" t="s">
        <v>870</v>
      </c>
      <c r="D10570" s="59">
        <v>2049.1</v>
      </c>
      <c r="E10570" s="59"/>
    </row>
    <row r="10571" spans="3:5" x14ac:dyDescent="0.15">
      <c r="C10571" s="255" t="s">
        <v>871</v>
      </c>
      <c r="D10571" s="59">
        <v>283</v>
      </c>
      <c r="E10571" s="59"/>
    </row>
    <row r="10572" spans="3:5" x14ac:dyDescent="0.15">
      <c r="C10572" s="255" t="s">
        <v>872</v>
      </c>
      <c r="D10572" s="59">
        <v>422</v>
      </c>
      <c r="E10572" s="59"/>
    </row>
    <row r="10573" spans="3:5" x14ac:dyDescent="0.15">
      <c r="C10573" s="255" t="s">
        <v>873</v>
      </c>
      <c r="D10573" s="59">
        <v>665.4</v>
      </c>
      <c r="E10573" s="59"/>
    </row>
    <row r="10574" spans="3:5" x14ac:dyDescent="0.15">
      <c r="C10574" s="255" t="s">
        <v>874</v>
      </c>
      <c r="D10574" s="59">
        <v>59.2</v>
      </c>
      <c r="E10574" s="59"/>
    </row>
    <row r="10575" spans="3:5" x14ac:dyDescent="0.15">
      <c r="C10575" s="255" t="s">
        <v>875</v>
      </c>
      <c r="D10575" s="59">
        <v>7.5</v>
      </c>
      <c r="E10575" s="59"/>
    </row>
    <row r="10576" spans="3:5" x14ac:dyDescent="0.15">
      <c r="C10576" s="255" t="s">
        <v>876</v>
      </c>
      <c r="D10576" s="59">
        <v>2.2999999999999998</v>
      </c>
      <c r="E10576" s="59"/>
    </row>
    <row r="10577" spans="3:5" x14ac:dyDescent="0.15">
      <c r="C10577" s="255" t="s">
        <v>877</v>
      </c>
      <c r="D10577" s="59">
        <v>14.3</v>
      </c>
      <c r="E10577" s="59"/>
    </row>
    <row r="10578" spans="3:5" x14ac:dyDescent="0.15">
      <c r="C10578" s="255" t="s">
        <v>878</v>
      </c>
      <c r="D10578" s="59">
        <v>192.8</v>
      </c>
      <c r="E10578" s="59"/>
    </row>
    <row r="10579" spans="3:5" x14ac:dyDescent="0.15">
      <c r="C10579" s="255" t="s">
        <v>879</v>
      </c>
      <c r="D10579" s="59">
        <v>900.7</v>
      </c>
      <c r="E10579" s="59"/>
    </row>
    <row r="10580" spans="3:5" x14ac:dyDescent="0.15">
      <c r="C10580" s="255" t="s">
        <v>880</v>
      </c>
      <c r="D10580" s="59">
        <v>84.8</v>
      </c>
      <c r="E10580" s="59"/>
    </row>
    <row r="10581" spans="3:5" x14ac:dyDescent="0.15">
      <c r="C10581" s="255" t="s">
        <v>881</v>
      </c>
      <c r="D10581" s="59">
        <v>1.8</v>
      </c>
      <c r="E10581" s="59"/>
    </row>
    <row r="10582" spans="3:5" x14ac:dyDescent="0.15">
      <c r="C10582" s="255" t="s">
        <v>882</v>
      </c>
      <c r="D10582" s="59">
        <v>151.19999999999999</v>
      </c>
      <c r="E10582" s="59"/>
    </row>
    <row r="10583" spans="3:5" x14ac:dyDescent="0.15">
      <c r="C10583" s="255" t="s">
        <v>883</v>
      </c>
      <c r="D10583" s="59">
        <v>366.2</v>
      </c>
      <c r="E10583" s="59"/>
    </row>
    <row r="10584" spans="3:5" x14ac:dyDescent="0.15">
      <c r="C10584" s="255" t="s">
        <v>884</v>
      </c>
      <c r="D10584" s="59">
        <v>727.7</v>
      </c>
      <c r="E10584" s="59"/>
    </row>
    <row r="10585" spans="3:5" x14ac:dyDescent="0.15">
      <c r="C10585" s="255" t="s">
        <v>885</v>
      </c>
      <c r="D10585" s="59">
        <v>195.4</v>
      </c>
      <c r="E10585" s="59"/>
    </row>
    <row r="10586" spans="3:5" x14ac:dyDescent="0.15">
      <c r="C10586" s="255" t="s">
        <v>886</v>
      </c>
      <c r="D10586" s="59">
        <v>0.9</v>
      </c>
      <c r="E10586" s="59"/>
    </row>
    <row r="10587" spans="3:5" x14ac:dyDescent="0.15">
      <c r="C10587" s="255" t="s">
        <v>887</v>
      </c>
      <c r="D10587" s="59">
        <v>62.5</v>
      </c>
      <c r="E10587" s="59"/>
    </row>
    <row r="10588" spans="3:5" x14ac:dyDescent="0.15">
      <c r="C10588" s="255" t="s">
        <v>888</v>
      </c>
      <c r="D10588" s="59">
        <v>0.6</v>
      </c>
      <c r="E10588" s="59"/>
    </row>
    <row r="10589" spans="3:5" x14ac:dyDescent="0.15">
      <c r="C10589" s="255" t="s">
        <v>889</v>
      </c>
      <c r="D10589" s="59">
        <v>169.2</v>
      </c>
      <c r="E10589" s="59"/>
    </row>
    <row r="10590" spans="3:5" x14ac:dyDescent="0.15">
      <c r="C10590" s="255" t="s">
        <v>890</v>
      </c>
      <c r="D10590" s="59">
        <v>199</v>
      </c>
      <c r="E10590" s="59"/>
    </row>
    <row r="10591" spans="3:5" x14ac:dyDescent="0.15">
      <c r="C10591" s="255" t="s">
        <v>891</v>
      </c>
      <c r="D10591" s="59">
        <v>0.8</v>
      </c>
      <c r="E10591" s="59"/>
    </row>
    <row r="10592" spans="3:5" x14ac:dyDescent="0.15">
      <c r="C10592" s="255" t="s">
        <v>892</v>
      </c>
      <c r="D10592" s="59">
        <v>32.5</v>
      </c>
      <c r="E10592" s="59"/>
    </row>
    <row r="10593" spans="3:5" x14ac:dyDescent="0.15">
      <c r="C10593" s="255" t="s">
        <v>893</v>
      </c>
      <c r="D10593" s="59">
        <v>233.8</v>
      </c>
      <c r="E10593" s="59"/>
    </row>
    <row r="10594" spans="3:5" x14ac:dyDescent="0.15">
      <c r="C10594" s="255" t="s">
        <v>894</v>
      </c>
      <c r="D10594" s="59">
        <v>0</v>
      </c>
      <c r="E10594" s="59"/>
    </row>
    <row r="10595" spans="3:5" x14ac:dyDescent="0.15">
      <c r="C10595" s="255" t="s">
        <v>895</v>
      </c>
      <c r="D10595" s="59">
        <v>289.8</v>
      </c>
      <c r="E10595" s="59"/>
    </row>
    <row r="10596" spans="3:5" x14ac:dyDescent="0.15">
      <c r="C10596" s="255" t="s">
        <v>896</v>
      </c>
      <c r="D10596" s="59">
        <v>65.3</v>
      </c>
      <c r="E10596" s="59"/>
    </row>
    <row r="10597" spans="3:5" x14ac:dyDescent="0.15">
      <c r="C10597" s="255" t="s">
        <v>897</v>
      </c>
      <c r="D10597" s="59">
        <v>657.6</v>
      </c>
      <c r="E10597" s="59"/>
    </row>
    <row r="10598" spans="3:5" x14ac:dyDescent="0.15">
      <c r="C10598" s="255" t="s">
        <v>898</v>
      </c>
      <c r="D10598" s="59">
        <v>464.2</v>
      </c>
      <c r="E10598" s="59"/>
    </row>
    <row r="10599" spans="3:5" x14ac:dyDescent="0.15">
      <c r="C10599" s="255" t="s">
        <v>899</v>
      </c>
      <c r="D10599" s="59">
        <v>212.9</v>
      </c>
      <c r="E10599" s="59"/>
    </row>
    <row r="10600" spans="3:5" x14ac:dyDescent="0.15">
      <c r="C10600" s="255" t="s">
        <v>900</v>
      </c>
      <c r="D10600" s="59">
        <v>256.10000000000002</v>
      </c>
      <c r="E10600" s="59"/>
    </row>
    <row r="10601" spans="3:5" x14ac:dyDescent="0.15">
      <c r="C10601" s="255" t="s">
        <v>901</v>
      </c>
      <c r="D10601" s="59">
        <v>548.5</v>
      </c>
      <c r="E10601" s="59"/>
    </row>
    <row r="10602" spans="3:5" x14ac:dyDescent="0.15">
      <c r="C10602" s="255" t="s">
        <v>902</v>
      </c>
      <c r="D10602" s="59">
        <v>5.8</v>
      </c>
      <c r="E10602" s="59"/>
    </row>
    <row r="10603" spans="3:5" x14ac:dyDescent="0.15">
      <c r="C10603" s="255" t="s">
        <v>903</v>
      </c>
      <c r="D10603" s="59">
        <v>582.20000000000005</v>
      </c>
      <c r="E10603" s="59"/>
    </row>
    <row r="10604" spans="3:5" x14ac:dyDescent="0.15">
      <c r="C10604" s="255" t="s">
        <v>904</v>
      </c>
      <c r="D10604" s="59">
        <v>859.7</v>
      </c>
      <c r="E10604" s="59"/>
    </row>
    <row r="10605" spans="3:5" x14ac:dyDescent="0.15">
      <c r="C10605" s="255" t="s">
        <v>905</v>
      </c>
      <c r="D10605" s="59">
        <v>153.5</v>
      </c>
      <c r="E10605" s="59"/>
    </row>
    <row r="10606" spans="3:5" x14ac:dyDescent="0.15">
      <c r="C10606" s="255" t="s">
        <v>906</v>
      </c>
      <c r="D10606" s="59">
        <v>45.9</v>
      </c>
      <c r="E10606" s="59"/>
    </row>
    <row r="10607" spans="3:5" x14ac:dyDescent="0.15">
      <c r="C10607" s="255" t="s">
        <v>907</v>
      </c>
      <c r="D10607" s="59">
        <v>377.2</v>
      </c>
      <c r="E10607" s="59"/>
    </row>
    <row r="10608" spans="3:5" x14ac:dyDescent="0.15">
      <c r="C10608" s="255" t="s">
        <v>908</v>
      </c>
      <c r="D10608" s="59">
        <v>5221.6000000000004</v>
      </c>
      <c r="E10608" s="59"/>
    </row>
    <row r="10609" spans="3:5" x14ac:dyDescent="0.15">
      <c r="C10609" s="255" t="s">
        <v>909</v>
      </c>
      <c r="D10609" s="59">
        <v>1842.9</v>
      </c>
      <c r="E10609" s="59"/>
    </row>
    <row r="10610" spans="3:5" x14ac:dyDescent="0.15">
      <c r="C10610" s="255" t="s">
        <v>910</v>
      </c>
      <c r="D10610" s="59">
        <v>3.9</v>
      </c>
      <c r="E10610" s="59"/>
    </row>
    <row r="10611" spans="3:5" x14ac:dyDescent="0.15">
      <c r="C10611" s="255" t="s">
        <v>911</v>
      </c>
      <c r="D10611" s="59">
        <v>257.89999999999998</v>
      </c>
      <c r="E10611" s="59"/>
    </row>
    <row r="10612" spans="3:5" x14ac:dyDescent="0.15">
      <c r="C10612" s="255" t="s">
        <v>912</v>
      </c>
      <c r="D10612" s="59">
        <v>385.5</v>
      </c>
      <c r="E10612" s="59"/>
    </row>
    <row r="10613" spans="3:5" x14ac:dyDescent="0.15">
      <c r="C10613" s="255" t="s">
        <v>913</v>
      </c>
      <c r="D10613" s="59">
        <v>0</v>
      </c>
      <c r="E10613" s="59"/>
    </row>
    <row r="10614" spans="3:5" x14ac:dyDescent="0.15">
      <c r="C10614" s="255" t="s">
        <v>914</v>
      </c>
      <c r="D10614" s="59">
        <v>0.8</v>
      </c>
      <c r="E10614" s="59"/>
    </row>
    <row r="10615" spans="3:5" x14ac:dyDescent="0.15">
      <c r="C10615" s="255" t="s">
        <v>915</v>
      </c>
      <c r="D10615" s="59">
        <v>8.4</v>
      </c>
      <c r="E10615" s="59"/>
    </row>
    <row r="10616" spans="3:5" x14ac:dyDescent="0.15">
      <c r="C10616" s="255" t="s">
        <v>916</v>
      </c>
      <c r="D10616" s="59">
        <v>50.9</v>
      </c>
      <c r="E10616" s="59"/>
    </row>
    <row r="10617" spans="3:5" x14ac:dyDescent="0.15">
      <c r="C10617" s="255" t="s">
        <v>917</v>
      </c>
      <c r="D10617" s="59">
        <v>13</v>
      </c>
      <c r="E10617" s="59"/>
    </row>
    <row r="10618" spans="3:5" x14ac:dyDescent="0.15">
      <c r="C10618" s="255" t="s">
        <v>918</v>
      </c>
      <c r="D10618" s="59">
        <v>1903.4</v>
      </c>
      <c r="E10618" s="59"/>
    </row>
    <row r="10619" spans="3:5" x14ac:dyDescent="0.15">
      <c r="C10619" s="255" t="s">
        <v>919</v>
      </c>
      <c r="D10619" s="59">
        <v>0</v>
      </c>
      <c r="E10619" s="59"/>
    </row>
    <row r="10620" spans="3:5" x14ac:dyDescent="0.15">
      <c r="C10620" s="255" t="s">
        <v>920</v>
      </c>
      <c r="D10620" s="59">
        <v>754.9</v>
      </c>
      <c r="E10620" s="59"/>
    </row>
    <row r="10621" spans="3:5" x14ac:dyDescent="0.15">
      <c r="C10621" s="255" t="s">
        <v>921</v>
      </c>
      <c r="D10621" s="59">
        <v>0</v>
      </c>
      <c r="E10621" s="59"/>
    </row>
    <row r="10622" spans="3:5" x14ac:dyDescent="0.15">
      <c r="C10622" s="255" t="s">
        <v>922</v>
      </c>
      <c r="D10622" s="59">
        <v>31830.2</v>
      </c>
      <c r="E10622" s="59"/>
    </row>
    <row r="10623" spans="3:5" x14ac:dyDescent="0.15">
      <c r="C10623" s="255" t="s">
        <v>923</v>
      </c>
      <c r="D10623" s="59">
        <v>7188.1</v>
      </c>
      <c r="E10623" s="59"/>
    </row>
    <row r="10624" spans="3:5" x14ac:dyDescent="0.15">
      <c r="C10624" s="255" t="s">
        <v>924</v>
      </c>
      <c r="D10624" s="59">
        <v>2971.8</v>
      </c>
      <c r="E10624" s="59"/>
    </row>
    <row r="10625" spans="3:5" x14ac:dyDescent="0.15">
      <c r="C10625" s="255" t="s">
        <v>925</v>
      </c>
      <c r="D10625" s="59">
        <v>380.1</v>
      </c>
      <c r="E10625" s="59"/>
    </row>
    <row r="10626" spans="3:5" x14ac:dyDescent="0.15">
      <c r="C10626" s="255" t="s">
        <v>926</v>
      </c>
      <c r="D10626" s="59">
        <v>697.9</v>
      </c>
      <c r="E10626" s="59"/>
    </row>
    <row r="10627" spans="3:5" x14ac:dyDescent="0.15">
      <c r="C10627" s="255" t="s">
        <v>927</v>
      </c>
      <c r="D10627" s="59">
        <v>330.9</v>
      </c>
      <c r="E10627" s="59"/>
    </row>
    <row r="10628" spans="3:5" x14ac:dyDescent="0.15">
      <c r="C10628" s="255" t="s">
        <v>928</v>
      </c>
      <c r="D10628" s="59">
        <v>849.4</v>
      </c>
      <c r="E10628" s="59"/>
    </row>
    <row r="10629" spans="3:5" x14ac:dyDescent="0.15">
      <c r="C10629" s="255" t="s">
        <v>929</v>
      </c>
      <c r="D10629" s="59">
        <v>98</v>
      </c>
      <c r="E10629" s="59"/>
    </row>
    <row r="10630" spans="3:5" x14ac:dyDescent="0.15">
      <c r="C10630" s="255" t="s">
        <v>930</v>
      </c>
      <c r="D10630" s="59">
        <v>1659.9</v>
      </c>
      <c r="E10630" s="59"/>
    </row>
    <row r="10631" spans="3:5" x14ac:dyDescent="0.15">
      <c r="C10631" s="255" t="s">
        <v>931</v>
      </c>
      <c r="D10631" s="59">
        <v>4752.3999999999996</v>
      </c>
      <c r="E10631" s="59"/>
    </row>
    <row r="10632" spans="3:5" x14ac:dyDescent="0.15">
      <c r="C10632" s="255" t="s">
        <v>932</v>
      </c>
      <c r="D10632" s="59">
        <v>0</v>
      </c>
      <c r="E10632" s="59"/>
    </row>
    <row r="10633" spans="3:5" x14ac:dyDescent="0.15">
      <c r="C10633" s="255" t="s">
        <v>933</v>
      </c>
      <c r="D10633" s="59">
        <v>18.7</v>
      </c>
      <c r="E10633" s="59"/>
    </row>
    <row r="10634" spans="3:5" x14ac:dyDescent="0.15">
      <c r="C10634" s="255" t="s">
        <v>934</v>
      </c>
      <c r="D10634" s="59">
        <v>3947</v>
      </c>
      <c r="E10634" s="59"/>
    </row>
    <row r="10635" spans="3:5" x14ac:dyDescent="0.15">
      <c r="C10635" s="255" t="s">
        <v>935</v>
      </c>
      <c r="D10635" s="59">
        <v>2235.8000000000002</v>
      </c>
      <c r="E10635" s="59"/>
    </row>
    <row r="10636" spans="3:5" x14ac:dyDescent="0.15">
      <c r="C10636" s="255" t="s">
        <v>936</v>
      </c>
      <c r="D10636" s="59">
        <v>3582.5</v>
      </c>
      <c r="E10636" s="59"/>
    </row>
    <row r="10637" spans="3:5" x14ac:dyDescent="0.15">
      <c r="C10637" s="255" t="s">
        <v>937</v>
      </c>
      <c r="D10637" s="59">
        <v>349.4</v>
      </c>
      <c r="E10637" s="59"/>
    </row>
    <row r="10638" spans="3:5" x14ac:dyDescent="0.15">
      <c r="C10638" s="255" t="s">
        <v>938</v>
      </c>
      <c r="D10638" s="59">
        <v>244.4</v>
      </c>
      <c r="E10638" s="59"/>
    </row>
    <row r="10639" spans="3:5" x14ac:dyDescent="0.15">
      <c r="C10639" s="255" t="s">
        <v>939</v>
      </c>
      <c r="D10639" s="59">
        <v>0</v>
      </c>
      <c r="E10639" s="59"/>
    </row>
    <row r="10640" spans="3:5" x14ac:dyDescent="0.15">
      <c r="C10640" s="255" t="s">
        <v>940</v>
      </c>
      <c r="D10640" s="59">
        <v>86.6</v>
      </c>
      <c r="E10640" s="59"/>
    </row>
    <row r="10641" spans="3:5" x14ac:dyDescent="0.15">
      <c r="C10641" s="255" t="s">
        <v>941</v>
      </c>
      <c r="D10641" s="59">
        <v>343.2</v>
      </c>
      <c r="E10641" s="59"/>
    </row>
    <row r="10642" spans="3:5" x14ac:dyDescent="0.15">
      <c r="C10642" s="255" t="s">
        <v>942</v>
      </c>
      <c r="D10642" s="59">
        <v>0</v>
      </c>
      <c r="E10642" s="59"/>
    </row>
    <row r="10643" spans="3:5" x14ac:dyDescent="0.15">
      <c r="C10643" s="255" t="s">
        <v>943</v>
      </c>
      <c r="D10643" s="59">
        <v>857.5</v>
      </c>
      <c r="E10643" s="59"/>
    </row>
    <row r="10644" spans="3:5" x14ac:dyDescent="0.15">
      <c r="C10644" s="255" t="s">
        <v>944</v>
      </c>
      <c r="D10644" s="59">
        <v>299.5</v>
      </c>
      <c r="E10644" s="59"/>
    </row>
    <row r="10645" spans="3:5" x14ac:dyDescent="0.15">
      <c r="C10645" s="255" t="s">
        <v>945</v>
      </c>
      <c r="D10645" s="59">
        <v>780.3</v>
      </c>
      <c r="E10645" s="59"/>
    </row>
    <row r="10646" spans="3:5" x14ac:dyDescent="0.15">
      <c r="C10646" s="255" t="s">
        <v>946</v>
      </c>
      <c r="D10646" s="59">
        <v>113.6</v>
      </c>
      <c r="E10646" s="59"/>
    </row>
    <row r="10647" spans="3:5" x14ac:dyDescent="0.15">
      <c r="C10647" s="255" t="s">
        <v>947</v>
      </c>
      <c r="D10647" s="59">
        <v>43</v>
      </c>
      <c r="E10647" s="59"/>
    </row>
    <row r="10648" spans="3:5" x14ac:dyDescent="0.15">
      <c r="C10648" s="255" t="s">
        <v>948</v>
      </c>
      <c r="D10648" s="59">
        <v>8201.1</v>
      </c>
      <c r="E10648" s="59"/>
    </row>
    <row r="10649" spans="3:5" x14ac:dyDescent="0.15">
      <c r="C10649" s="255" t="s">
        <v>949</v>
      </c>
      <c r="D10649" s="59">
        <v>135.80000000000001</v>
      </c>
      <c r="E10649" s="59"/>
    </row>
    <row r="10650" spans="3:5" x14ac:dyDescent="0.15">
      <c r="C10650" s="255" t="s">
        <v>950</v>
      </c>
      <c r="D10650" s="59">
        <v>0.8</v>
      </c>
      <c r="E10650" s="59"/>
    </row>
    <row r="10651" spans="3:5" x14ac:dyDescent="0.15">
      <c r="C10651" s="255" t="s">
        <v>951</v>
      </c>
      <c r="D10651" s="59">
        <v>755.8</v>
      </c>
      <c r="E10651" s="59"/>
    </row>
    <row r="10652" spans="3:5" x14ac:dyDescent="0.15">
      <c r="C10652" s="255" t="s">
        <v>952</v>
      </c>
      <c r="D10652" s="59">
        <v>0</v>
      </c>
      <c r="E10652" s="59"/>
    </row>
    <row r="10653" spans="3:5" x14ac:dyDescent="0.15">
      <c r="C10653" s="255" t="s">
        <v>953</v>
      </c>
      <c r="D10653" s="59">
        <v>238.5</v>
      </c>
      <c r="E10653" s="59"/>
    </row>
    <row r="10654" spans="3:5" x14ac:dyDescent="0.15">
      <c r="C10654" s="255" t="s">
        <v>954</v>
      </c>
      <c r="D10654" s="59">
        <v>2544.6</v>
      </c>
      <c r="E10654" s="59"/>
    </row>
    <row r="10655" spans="3:5" x14ac:dyDescent="0.15">
      <c r="C10655" s="255" t="s">
        <v>955</v>
      </c>
      <c r="D10655" s="59">
        <v>1185</v>
      </c>
      <c r="E10655" s="59"/>
    </row>
    <row r="10656" spans="3:5" x14ac:dyDescent="0.15">
      <c r="C10656" s="255" t="s">
        <v>956</v>
      </c>
      <c r="D10656" s="59">
        <v>3340.5</v>
      </c>
      <c r="E10656" s="59"/>
    </row>
    <row r="10657" spans="3:5" x14ac:dyDescent="0.15">
      <c r="C10657" s="255" t="s">
        <v>957</v>
      </c>
      <c r="D10657" s="59">
        <v>22215.3</v>
      </c>
      <c r="E10657" s="59"/>
    </row>
    <row r="10658" spans="3:5" x14ac:dyDescent="0.15">
      <c r="C10658" s="255" t="s">
        <v>958</v>
      </c>
      <c r="D10658" s="59">
        <v>10.4</v>
      </c>
      <c r="E10658" s="59"/>
    </row>
    <row r="10659" spans="3:5" x14ac:dyDescent="0.15">
      <c r="C10659" s="255" t="s">
        <v>959</v>
      </c>
      <c r="D10659" s="59">
        <v>679.3</v>
      </c>
      <c r="E10659" s="59"/>
    </row>
    <row r="10660" spans="3:5" x14ac:dyDescent="0.15">
      <c r="C10660" s="255" t="s">
        <v>960</v>
      </c>
      <c r="D10660" s="59">
        <v>27.9</v>
      </c>
      <c r="E10660" s="59"/>
    </row>
    <row r="10661" spans="3:5" x14ac:dyDescent="0.15">
      <c r="C10661" s="255" t="s">
        <v>961</v>
      </c>
      <c r="D10661" s="59">
        <v>1.3</v>
      </c>
      <c r="E10661" s="59"/>
    </row>
    <row r="10662" spans="3:5" x14ac:dyDescent="0.15">
      <c r="C10662" s="255" t="s">
        <v>962</v>
      </c>
      <c r="D10662" s="59">
        <v>0</v>
      </c>
      <c r="E10662" s="59"/>
    </row>
    <row r="10663" spans="3:5" x14ac:dyDescent="0.15">
      <c r="C10663" s="255" t="s">
        <v>963</v>
      </c>
      <c r="D10663" s="59">
        <v>731.3</v>
      </c>
      <c r="E10663" s="59"/>
    </row>
    <row r="10664" spans="3:5" x14ac:dyDescent="0.15">
      <c r="C10664" s="255" t="s">
        <v>964</v>
      </c>
      <c r="D10664" s="59">
        <v>644.1</v>
      </c>
      <c r="E10664" s="59"/>
    </row>
    <row r="10665" spans="3:5" x14ac:dyDescent="0.15">
      <c r="C10665" s="255" t="s">
        <v>965</v>
      </c>
      <c r="D10665" s="59">
        <v>50.3</v>
      </c>
      <c r="E10665" s="59"/>
    </row>
    <row r="10666" spans="3:5" x14ac:dyDescent="0.15">
      <c r="C10666" s="255" t="s">
        <v>966</v>
      </c>
      <c r="D10666" s="59">
        <v>6.3</v>
      </c>
      <c r="E10666" s="59"/>
    </row>
    <row r="10667" spans="3:5" x14ac:dyDescent="0.15">
      <c r="C10667" s="255" t="s">
        <v>967</v>
      </c>
      <c r="D10667" s="59">
        <v>123.1</v>
      </c>
      <c r="E10667" s="59"/>
    </row>
    <row r="10668" spans="3:5" x14ac:dyDescent="0.15">
      <c r="C10668" s="255" t="s">
        <v>968</v>
      </c>
      <c r="D10668" s="59">
        <v>0</v>
      </c>
      <c r="E10668" s="59"/>
    </row>
    <row r="10669" spans="3:5" x14ac:dyDescent="0.15">
      <c r="C10669" s="255" t="s">
        <v>969</v>
      </c>
      <c r="D10669" s="59">
        <v>10</v>
      </c>
      <c r="E10669" s="59"/>
    </row>
    <row r="10670" spans="3:5" x14ac:dyDescent="0.15">
      <c r="C10670" s="255" t="s">
        <v>970</v>
      </c>
      <c r="D10670" s="59">
        <v>42.9</v>
      </c>
      <c r="E10670" s="59"/>
    </row>
    <row r="10671" spans="3:5" x14ac:dyDescent="0.15">
      <c r="C10671" s="255" t="s">
        <v>971</v>
      </c>
      <c r="D10671" s="59">
        <v>148.30000000000001</v>
      </c>
      <c r="E10671" s="59"/>
    </row>
    <row r="10672" spans="3:5" x14ac:dyDescent="0.15">
      <c r="C10672" s="255" t="s">
        <v>972</v>
      </c>
      <c r="D10672" s="59">
        <v>448.1</v>
      </c>
      <c r="E10672" s="59"/>
    </row>
    <row r="10673" spans="3:5" x14ac:dyDescent="0.15">
      <c r="C10673" s="255" t="s">
        <v>973</v>
      </c>
      <c r="D10673" s="59">
        <v>7.1</v>
      </c>
      <c r="E10673" s="59"/>
    </row>
    <row r="10674" spans="3:5" x14ac:dyDescent="0.15">
      <c r="C10674" s="255" t="s">
        <v>974</v>
      </c>
      <c r="D10674" s="59">
        <v>0</v>
      </c>
      <c r="E10674" s="59"/>
    </row>
    <row r="10675" spans="3:5" x14ac:dyDescent="0.15">
      <c r="C10675" s="255" t="s">
        <v>975</v>
      </c>
      <c r="D10675" s="59">
        <v>0</v>
      </c>
      <c r="E10675" s="59"/>
    </row>
    <row r="10676" spans="3:5" x14ac:dyDescent="0.15">
      <c r="C10676" s="255" t="s">
        <v>976</v>
      </c>
      <c r="D10676" s="59">
        <v>5.2</v>
      </c>
      <c r="E10676" s="59"/>
    </row>
    <row r="10677" spans="3:5" x14ac:dyDescent="0.15">
      <c r="C10677" s="255" t="s">
        <v>977</v>
      </c>
      <c r="D10677" s="59">
        <v>761.6</v>
      </c>
      <c r="E10677" s="59"/>
    </row>
    <row r="10678" spans="3:5" x14ac:dyDescent="0.15">
      <c r="C10678" s="255" t="s">
        <v>978</v>
      </c>
      <c r="D10678" s="59">
        <v>1036.3</v>
      </c>
      <c r="E10678" s="59"/>
    </row>
    <row r="10679" spans="3:5" x14ac:dyDescent="0.15">
      <c r="C10679" s="255" t="s">
        <v>979</v>
      </c>
      <c r="D10679" s="59">
        <v>137.9</v>
      </c>
      <c r="E10679" s="59"/>
    </row>
    <row r="10680" spans="3:5" x14ac:dyDescent="0.15">
      <c r="C10680" s="255" t="s">
        <v>980</v>
      </c>
      <c r="D10680" s="59">
        <v>299.8</v>
      </c>
      <c r="E10680" s="59"/>
    </row>
    <row r="10681" spans="3:5" x14ac:dyDescent="0.15">
      <c r="C10681" s="255" t="s">
        <v>981</v>
      </c>
      <c r="D10681" s="59">
        <v>0</v>
      </c>
      <c r="E10681" s="59"/>
    </row>
    <row r="10682" spans="3:5" x14ac:dyDescent="0.15">
      <c r="C10682" s="255" t="s">
        <v>982</v>
      </c>
      <c r="D10682" s="59">
        <v>393.8</v>
      </c>
      <c r="E10682" s="59"/>
    </row>
    <row r="10683" spans="3:5" x14ac:dyDescent="0.15">
      <c r="C10683" s="255" t="s">
        <v>983</v>
      </c>
      <c r="D10683" s="59">
        <v>1751.6</v>
      </c>
      <c r="E10683" s="59"/>
    </row>
    <row r="10684" spans="3:5" x14ac:dyDescent="0.15">
      <c r="C10684" s="255" t="s">
        <v>984</v>
      </c>
      <c r="D10684" s="59">
        <v>21.1</v>
      </c>
      <c r="E10684" s="59"/>
    </row>
    <row r="10685" spans="3:5" x14ac:dyDescent="0.15">
      <c r="C10685" s="255" t="s">
        <v>985</v>
      </c>
      <c r="D10685" s="59">
        <v>484.2</v>
      </c>
      <c r="E10685" s="59"/>
    </row>
    <row r="10686" spans="3:5" x14ac:dyDescent="0.15">
      <c r="C10686" s="255" t="s">
        <v>986</v>
      </c>
      <c r="D10686" s="59">
        <v>484.9</v>
      </c>
      <c r="E10686" s="59"/>
    </row>
    <row r="10687" spans="3:5" x14ac:dyDescent="0.15">
      <c r="C10687" s="255" t="s">
        <v>987</v>
      </c>
      <c r="D10687" s="59">
        <v>446.5</v>
      </c>
      <c r="E10687" s="59"/>
    </row>
    <row r="10688" spans="3:5" x14ac:dyDescent="0.15">
      <c r="C10688" s="255" t="s">
        <v>988</v>
      </c>
      <c r="D10688" s="59">
        <v>799.9</v>
      </c>
      <c r="E10688" s="59"/>
    </row>
    <row r="10689" spans="3:5" x14ac:dyDescent="0.15">
      <c r="C10689" s="255" t="s">
        <v>989</v>
      </c>
      <c r="D10689" s="59">
        <v>707.6</v>
      </c>
      <c r="E10689" s="59"/>
    </row>
    <row r="10690" spans="3:5" x14ac:dyDescent="0.15">
      <c r="C10690" s="255" t="s">
        <v>990</v>
      </c>
      <c r="D10690" s="59">
        <v>269.2</v>
      </c>
      <c r="E10690" s="59"/>
    </row>
    <row r="10691" spans="3:5" x14ac:dyDescent="0.15">
      <c r="C10691" s="255" t="s">
        <v>991</v>
      </c>
      <c r="D10691" s="59">
        <v>4849.8</v>
      </c>
      <c r="E10691" s="59"/>
    </row>
    <row r="10692" spans="3:5" x14ac:dyDescent="0.15">
      <c r="C10692" s="255" t="s">
        <v>992</v>
      </c>
      <c r="D10692" s="59">
        <v>3.3</v>
      </c>
      <c r="E10692" s="59"/>
    </row>
    <row r="10693" spans="3:5" x14ac:dyDescent="0.15">
      <c r="C10693" s="255" t="s">
        <v>993</v>
      </c>
      <c r="D10693" s="59">
        <v>70.2</v>
      </c>
      <c r="E10693" s="59"/>
    </row>
    <row r="10694" spans="3:5" x14ac:dyDescent="0.15">
      <c r="C10694" s="255" t="s">
        <v>994</v>
      </c>
      <c r="D10694" s="59">
        <v>0</v>
      </c>
      <c r="E10694" s="59"/>
    </row>
    <row r="10695" spans="3:5" x14ac:dyDescent="0.15">
      <c r="C10695" s="255" t="s">
        <v>995</v>
      </c>
      <c r="D10695" s="59">
        <v>653.20000000000005</v>
      </c>
      <c r="E10695" s="59"/>
    </row>
    <row r="10696" spans="3:5" x14ac:dyDescent="0.15">
      <c r="C10696" s="255" t="s">
        <v>996</v>
      </c>
      <c r="D10696" s="59">
        <v>548.4</v>
      </c>
      <c r="E10696" s="59"/>
    </row>
    <row r="10697" spans="3:5" x14ac:dyDescent="0.15">
      <c r="C10697" s="255" t="s">
        <v>997</v>
      </c>
      <c r="D10697" s="59">
        <v>336.4</v>
      </c>
      <c r="E10697" s="59"/>
    </row>
    <row r="10698" spans="3:5" x14ac:dyDescent="0.15">
      <c r="C10698" s="255" t="s">
        <v>998</v>
      </c>
      <c r="D10698" s="59">
        <v>63.2</v>
      </c>
      <c r="E10698" s="59"/>
    </row>
    <row r="10699" spans="3:5" x14ac:dyDescent="0.15">
      <c r="C10699" s="255" t="s">
        <v>999</v>
      </c>
      <c r="D10699" s="59">
        <v>0</v>
      </c>
      <c r="E10699" s="59"/>
    </row>
    <row r="10700" spans="3:5" x14ac:dyDescent="0.15">
      <c r="C10700" s="255" t="s">
        <v>1000</v>
      </c>
      <c r="D10700" s="59">
        <v>899</v>
      </c>
      <c r="E10700" s="59"/>
    </row>
    <row r="10701" spans="3:5" x14ac:dyDescent="0.15">
      <c r="C10701" s="255" t="s">
        <v>1001</v>
      </c>
      <c r="D10701" s="59">
        <v>402.8</v>
      </c>
      <c r="E10701" s="59"/>
    </row>
    <row r="10702" spans="3:5" x14ac:dyDescent="0.15">
      <c r="C10702" s="255" t="s">
        <v>1002</v>
      </c>
      <c r="D10702" s="59">
        <v>95.7</v>
      </c>
      <c r="E10702" s="59"/>
    </row>
    <row r="10703" spans="3:5" x14ac:dyDescent="0.15">
      <c r="C10703" s="255" t="s">
        <v>1003</v>
      </c>
      <c r="D10703" s="59">
        <v>115.3</v>
      </c>
      <c r="E10703" s="59"/>
    </row>
    <row r="10704" spans="3:5" x14ac:dyDescent="0.15">
      <c r="C10704" s="255" t="s">
        <v>1004</v>
      </c>
      <c r="D10704" s="59">
        <v>43.3</v>
      </c>
      <c r="E10704" s="59"/>
    </row>
    <row r="10705" spans="3:5" x14ac:dyDescent="0.15">
      <c r="C10705" s="255" t="s">
        <v>1005</v>
      </c>
      <c r="D10705" s="59">
        <v>283.2</v>
      </c>
      <c r="E10705" s="59"/>
    </row>
    <row r="10706" spans="3:5" x14ac:dyDescent="0.15">
      <c r="C10706" s="255" t="s">
        <v>1006</v>
      </c>
      <c r="D10706" s="59">
        <v>3321.6</v>
      </c>
      <c r="E10706" s="59"/>
    </row>
    <row r="10707" spans="3:5" x14ac:dyDescent="0.15">
      <c r="C10707" s="255" t="s">
        <v>1007</v>
      </c>
      <c r="D10707" s="59">
        <v>811.9</v>
      </c>
      <c r="E10707" s="59"/>
    </row>
    <row r="10708" spans="3:5" x14ac:dyDescent="0.15">
      <c r="C10708" s="255" t="s">
        <v>1008</v>
      </c>
      <c r="D10708" s="59">
        <v>548.1</v>
      </c>
      <c r="E10708" s="59"/>
    </row>
    <row r="10709" spans="3:5" x14ac:dyDescent="0.15">
      <c r="C10709" s="255" t="s">
        <v>1009</v>
      </c>
      <c r="D10709" s="59">
        <v>142.30000000000001</v>
      </c>
      <c r="E10709" s="59"/>
    </row>
    <row r="10710" spans="3:5" x14ac:dyDescent="0.15">
      <c r="C10710" s="255" t="s">
        <v>1010</v>
      </c>
      <c r="D10710" s="59">
        <v>57.6</v>
      </c>
      <c r="E10710" s="59"/>
    </row>
    <row r="10711" spans="3:5" x14ac:dyDescent="0.15">
      <c r="C10711" s="255" t="s">
        <v>1011</v>
      </c>
      <c r="D10711" s="59">
        <v>64</v>
      </c>
      <c r="E10711" s="59"/>
    </row>
    <row r="10712" spans="3:5" x14ac:dyDescent="0.15">
      <c r="C10712" s="255" t="s">
        <v>1012</v>
      </c>
      <c r="D10712" s="59">
        <v>11750.7</v>
      </c>
      <c r="E10712" s="59"/>
    </row>
    <row r="10713" spans="3:5" x14ac:dyDescent="0.15">
      <c r="C10713" s="255" t="s">
        <v>1013</v>
      </c>
      <c r="D10713" s="59">
        <v>5249.6</v>
      </c>
      <c r="E10713" s="59"/>
    </row>
    <row r="10714" spans="3:5" x14ac:dyDescent="0.15">
      <c r="C10714" s="255" t="s">
        <v>1014</v>
      </c>
      <c r="D10714" s="59">
        <v>2399.1</v>
      </c>
      <c r="E10714" s="59"/>
    </row>
    <row r="10715" spans="3:5" x14ac:dyDescent="0.15">
      <c r="C10715" s="255" t="s">
        <v>1015</v>
      </c>
      <c r="D10715" s="59">
        <v>419.4</v>
      </c>
      <c r="E10715" s="59"/>
    </row>
    <row r="10716" spans="3:5" x14ac:dyDescent="0.15">
      <c r="C10716" s="255" t="s">
        <v>1016</v>
      </c>
      <c r="D10716" s="59">
        <v>1169.4000000000001</v>
      </c>
      <c r="E10716" s="59"/>
    </row>
    <row r="10717" spans="3:5" x14ac:dyDescent="0.15">
      <c r="C10717" s="255" t="s">
        <v>1017</v>
      </c>
      <c r="D10717" s="59">
        <v>2510.6</v>
      </c>
      <c r="E10717" s="59"/>
    </row>
    <row r="10718" spans="3:5" x14ac:dyDescent="0.15">
      <c r="C10718" s="255" t="s">
        <v>1018</v>
      </c>
      <c r="D10718" s="59">
        <v>2.7</v>
      </c>
      <c r="E10718" s="59"/>
    </row>
    <row r="10719" spans="3:5" x14ac:dyDescent="0.15">
      <c r="C10719" s="255" t="s">
        <v>1019</v>
      </c>
      <c r="D10719" s="59">
        <v>25358.7</v>
      </c>
      <c r="E10719" s="59"/>
    </row>
    <row r="10720" spans="3:5" x14ac:dyDescent="0.15">
      <c r="C10720" s="255" t="s">
        <v>1020</v>
      </c>
      <c r="D10720" s="59">
        <v>342.9</v>
      </c>
      <c r="E10720" s="59"/>
    </row>
    <row r="10721" spans="3:5" x14ac:dyDescent="0.15">
      <c r="C10721" s="255" t="s">
        <v>1021</v>
      </c>
      <c r="D10721" s="59">
        <v>1016.8</v>
      </c>
      <c r="E10721" s="59"/>
    </row>
    <row r="10722" spans="3:5" x14ac:dyDescent="0.15">
      <c r="C10722" s="255" t="s">
        <v>1022</v>
      </c>
      <c r="D10722" s="59">
        <v>210</v>
      </c>
      <c r="E10722" s="59"/>
    </row>
    <row r="10723" spans="3:5" x14ac:dyDescent="0.15">
      <c r="C10723" s="255" t="s">
        <v>1023</v>
      </c>
      <c r="D10723" s="59">
        <v>13.9</v>
      </c>
      <c r="E10723" s="59"/>
    </row>
    <row r="10724" spans="3:5" x14ac:dyDescent="0.15">
      <c r="C10724" s="255" t="s">
        <v>1024</v>
      </c>
      <c r="D10724" s="59">
        <v>7</v>
      </c>
      <c r="E10724" s="59"/>
    </row>
    <row r="10725" spans="3:5" x14ac:dyDescent="0.15">
      <c r="C10725" s="255" t="s">
        <v>1025</v>
      </c>
      <c r="D10725" s="59">
        <v>160.80000000000001</v>
      </c>
      <c r="E10725" s="59"/>
    </row>
    <row r="10726" spans="3:5" x14ac:dyDescent="0.15">
      <c r="C10726" s="255" t="s">
        <v>1026</v>
      </c>
      <c r="D10726" s="59">
        <v>2782.5</v>
      </c>
      <c r="E10726" s="59"/>
    </row>
    <row r="10727" spans="3:5" x14ac:dyDescent="0.15">
      <c r="C10727" s="255" t="s">
        <v>1027</v>
      </c>
      <c r="D10727" s="59">
        <v>0</v>
      </c>
      <c r="E10727" s="59"/>
    </row>
    <row r="10728" spans="3:5" x14ac:dyDescent="0.15">
      <c r="C10728" s="255" t="s">
        <v>1028</v>
      </c>
      <c r="D10728" s="59">
        <v>879.3</v>
      </c>
      <c r="E10728" s="59"/>
    </row>
    <row r="10729" spans="3:5" x14ac:dyDescent="0.15">
      <c r="C10729" s="255" t="s">
        <v>1029</v>
      </c>
      <c r="D10729" s="59">
        <v>220.1</v>
      </c>
      <c r="E10729" s="59"/>
    </row>
    <row r="10730" spans="3:5" x14ac:dyDescent="0.15">
      <c r="C10730" s="255" t="s">
        <v>1030</v>
      </c>
      <c r="D10730" s="59">
        <v>111.5</v>
      </c>
      <c r="E10730" s="59"/>
    </row>
    <row r="10731" spans="3:5" x14ac:dyDescent="0.15">
      <c r="C10731" s="255" t="s">
        <v>1031</v>
      </c>
      <c r="D10731" s="59">
        <v>467.7</v>
      </c>
      <c r="E10731" s="59"/>
    </row>
    <row r="10732" spans="3:5" x14ac:dyDescent="0.15">
      <c r="C10732" s="255" t="s">
        <v>1032</v>
      </c>
      <c r="D10732" s="59">
        <v>46.2</v>
      </c>
      <c r="E10732" s="59"/>
    </row>
    <row r="10733" spans="3:5" x14ac:dyDescent="0.15">
      <c r="C10733" s="255" t="s">
        <v>1033</v>
      </c>
      <c r="D10733" s="59">
        <v>0</v>
      </c>
      <c r="E10733" s="59"/>
    </row>
    <row r="10734" spans="3:5" x14ac:dyDescent="0.15">
      <c r="C10734" s="255" t="s">
        <v>1034</v>
      </c>
      <c r="D10734" s="59">
        <v>91.3</v>
      </c>
      <c r="E10734" s="59"/>
    </row>
    <row r="10735" spans="3:5" x14ac:dyDescent="0.15">
      <c r="C10735" s="255" t="s">
        <v>1035</v>
      </c>
      <c r="D10735" s="59">
        <v>4057</v>
      </c>
      <c r="E10735" s="59"/>
    </row>
    <row r="10736" spans="3:5" x14ac:dyDescent="0.15">
      <c r="C10736" s="255" t="s">
        <v>1036</v>
      </c>
      <c r="D10736" s="59">
        <v>442</v>
      </c>
      <c r="E10736" s="59"/>
    </row>
    <row r="10737" spans="2:5" x14ac:dyDescent="0.15">
      <c r="C10737" s="255" t="s">
        <v>1037</v>
      </c>
      <c r="D10737" s="59">
        <v>737.4</v>
      </c>
      <c r="E10737" s="59"/>
    </row>
    <row r="10738" spans="2:5" x14ac:dyDescent="0.15">
      <c r="C10738" s="255" t="s">
        <v>1038</v>
      </c>
      <c r="D10738" s="59">
        <v>4480</v>
      </c>
      <c r="E10738" s="59"/>
    </row>
    <row r="10739" spans="2:5" x14ac:dyDescent="0.15">
      <c r="C10739" s="255" t="s">
        <v>1039</v>
      </c>
      <c r="D10739" s="59">
        <v>866.3</v>
      </c>
      <c r="E10739" s="59"/>
    </row>
    <row r="10740" spans="2:5" x14ac:dyDescent="0.15">
      <c r="C10740" s="255" t="s">
        <v>1040</v>
      </c>
      <c r="D10740" s="59">
        <v>4954</v>
      </c>
      <c r="E10740" s="59"/>
    </row>
    <row r="10741" spans="2:5" x14ac:dyDescent="0.15">
      <c r="C10741" s="255" t="s">
        <v>1041</v>
      </c>
      <c r="D10741" s="59">
        <v>218.7</v>
      </c>
      <c r="E10741" s="59"/>
    </row>
    <row r="10742" spans="2:5" x14ac:dyDescent="0.15">
      <c r="C10742" s="255" t="s">
        <v>1042</v>
      </c>
      <c r="D10742" s="59">
        <v>2164.3000000000002</v>
      </c>
      <c r="E10742" s="59"/>
    </row>
    <row r="10743" spans="2:5" x14ac:dyDescent="0.15">
      <c r="C10743" s="255" t="s">
        <v>1043</v>
      </c>
      <c r="D10743" s="59">
        <v>454</v>
      </c>
      <c r="E10743" s="59"/>
    </row>
    <row r="10744" spans="2:5" x14ac:dyDescent="0.15">
      <c r="C10744" s="255" t="s">
        <v>1044</v>
      </c>
      <c r="D10744" s="59">
        <v>185.2</v>
      </c>
      <c r="E10744" s="59"/>
    </row>
    <row r="10745" spans="2:5" x14ac:dyDescent="0.15">
      <c r="C10745" s="255" t="s">
        <v>1045</v>
      </c>
      <c r="D10745" s="59">
        <v>43.4</v>
      </c>
      <c r="E10745" s="59"/>
    </row>
    <row r="10746" spans="2:5" x14ac:dyDescent="0.15">
      <c r="C10746" s="255" t="s">
        <v>1046</v>
      </c>
      <c r="D10746" s="59">
        <v>189.3</v>
      </c>
      <c r="E10746" s="59"/>
    </row>
    <row r="10747" spans="2:5" x14ac:dyDescent="0.15">
      <c r="C10747" s="255" t="s">
        <v>1047</v>
      </c>
      <c r="D10747" s="59">
        <v>133</v>
      </c>
      <c r="E10747" s="59"/>
    </row>
    <row r="10748" spans="2:5" x14ac:dyDescent="0.15">
      <c r="C10748" s="255" t="s">
        <v>1048</v>
      </c>
      <c r="D10748" s="59">
        <v>84.1</v>
      </c>
      <c r="E10748" s="59"/>
    </row>
    <row r="10749" spans="2:5" x14ac:dyDescent="0.15">
      <c r="B10749" s="255" t="s">
        <v>1073</v>
      </c>
      <c r="C10749" s="255" t="s">
        <v>743</v>
      </c>
      <c r="D10749" s="59">
        <v>195</v>
      </c>
      <c r="E10749" s="59"/>
    </row>
    <row r="10750" spans="2:5" x14ac:dyDescent="0.15">
      <c r="C10750" s="255" t="s">
        <v>744</v>
      </c>
      <c r="D10750" s="59">
        <v>284.7</v>
      </c>
      <c r="E10750" s="59"/>
    </row>
    <row r="10751" spans="2:5" x14ac:dyDescent="0.15">
      <c r="C10751" s="255" t="s">
        <v>745</v>
      </c>
      <c r="D10751" s="59">
        <v>582.79999999999995</v>
      </c>
      <c r="E10751" s="59"/>
    </row>
    <row r="10752" spans="2:5" x14ac:dyDescent="0.15">
      <c r="C10752" s="255" t="s">
        <v>746</v>
      </c>
      <c r="D10752" s="59">
        <v>2</v>
      </c>
      <c r="E10752" s="59"/>
    </row>
    <row r="10753" spans="3:5" x14ac:dyDescent="0.15">
      <c r="C10753" s="255" t="s">
        <v>747</v>
      </c>
      <c r="D10753" s="59">
        <v>1.6</v>
      </c>
      <c r="E10753" s="59"/>
    </row>
    <row r="10754" spans="3:5" x14ac:dyDescent="0.15">
      <c r="C10754" s="255" t="s">
        <v>748</v>
      </c>
      <c r="D10754" s="59">
        <v>0.4</v>
      </c>
      <c r="E10754" s="59"/>
    </row>
    <row r="10755" spans="3:5" x14ac:dyDescent="0.15">
      <c r="C10755" s="255" t="s">
        <v>749</v>
      </c>
      <c r="D10755" s="59">
        <v>0.5</v>
      </c>
      <c r="E10755" s="59"/>
    </row>
    <row r="10756" spans="3:5" x14ac:dyDescent="0.15">
      <c r="C10756" s="255" t="s">
        <v>750</v>
      </c>
      <c r="D10756" s="59">
        <v>0.4</v>
      </c>
      <c r="E10756" s="59"/>
    </row>
    <row r="10757" spans="3:5" x14ac:dyDescent="0.15">
      <c r="C10757" s="255" t="s">
        <v>751</v>
      </c>
      <c r="D10757" s="59">
        <v>48.7</v>
      </c>
      <c r="E10757" s="59"/>
    </row>
    <row r="10758" spans="3:5" x14ac:dyDescent="0.15">
      <c r="C10758" s="255" t="s">
        <v>752</v>
      </c>
      <c r="D10758" s="59">
        <v>1.5</v>
      </c>
      <c r="E10758" s="59"/>
    </row>
    <row r="10759" spans="3:5" x14ac:dyDescent="0.15">
      <c r="C10759" s="255" t="s">
        <v>753</v>
      </c>
      <c r="D10759" s="59">
        <v>122.8</v>
      </c>
      <c r="E10759" s="59"/>
    </row>
    <row r="10760" spans="3:5" x14ac:dyDescent="0.15">
      <c r="C10760" s="255" t="s">
        <v>754</v>
      </c>
      <c r="D10760" s="59">
        <v>1956.7</v>
      </c>
      <c r="E10760" s="59"/>
    </row>
    <row r="10761" spans="3:5" x14ac:dyDescent="0.15">
      <c r="C10761" s="255" t="s">
        <v>192</v>
      </c>
      <c r="D10761" s="59">
        <v>284719.90000000002</v>
      </c>
      <c r="E10761" s="59"/>
    </row>
    <row r="10762" spans="3:5" x14ac:dyDescent="0.15">
      <c r="C10762" s="255" t="s">
        <v>755</v>
      </c>
      <c r="D10762" s="59">
        <v>34148</v>
      </c>
      <c r="E10762" s="59"/>
    </row>
    <row r="10763" spans="3:5" x14ac:dyDescent="0.15">
      <c r="C10763" s="255" t="s">
        <v>756</v>
      </c>
      <c r="D10763" s="59">
        <v>108.4</v>
      </c>
      <c r="E10763" s="59"/>
    </row>
    <row r="10764" spans="3:5" x14ac:dyDescent="0.15">
      <c r="C10764" s="255" t="s">
        <v>757</v>
      </c>
      <c r="D10764" s="59">
        <v>113.1</v>
      </c>
      <c r="E10764" s="59"/>
    </row>
    <row r="10765" spans="3:5" x14ac:dyDescent="0.15">
      <c r="C10765" s="255" t="s">
        <v>758</v>
      </c>
      <c r="D10765" s="59">
        <v>2269.1999999999998</v>
      </c>
      <c r="E10765" s="59"/>
    </row>
    <row r="10766" spans="3:5" x14ac:dyDescent="0.15">
      <c r="C10766" s="255" t="s">
        <v>759</v>
      </c>
      <c r="D10766" s="59">
        <v>1271.5999999999999</v>
      </c>
      <c r="E10766" s="59"/>
    </row>
    <row r="10767" spans="3:5" x14ac:dyDescent="0.15">
      <c r="C10767" s="255" t="s">
        <v>760</v>
      </c>
      <c r="D10767" s="59">
        <v>172.2</v>
      </c>
      <c r="E10767" s="59"/>
    </row>
    <row r="10768" spans="3:5" x14ac:dyDescent="0.15">
      <c r="C10768" s="255" t="s">
        <v>761</v>
      </c>
      <c r="D10768" s="59">
        <v>294.5</v>
      </c>
      <c r="E10768" s="59"/>
    </row>
    <row r="10769" spans="3:5" x14ac:dyDescent="0.15">
      <c r="C10769" s="255" t="s">
        <v>762</v>
      </c>
      <c r="D10769" s="59">
        <v>470.7</v>
      </c>
      <c r="E10769" s="59"/>
    </row>
    <row r="10770" spans="3:5" x14ac:dyDescent="0.15">
      <c r="C10770" s="255" t="s">
        <v>763</v>
      </c>
      <c r="D10770" s="59">
        <v>198.4</v>
      </c>
      <c r="E10770" s="59"/>
    </row>
    <row r="10771" spans="3:5" x14ac:dyDescent="0.15">
      <c r="C10771" s="255" t="s">
        <v>764</v>
      </c>
      <c r="D10771" s="59">
        <v>1688.9</v>
      </c>
      <c r="E10771" s="59"/>
    </row>
    <row r="10772" spans="3:5" x14ac:dyDescent="0.15">
      <c r="C10772" s="255" t="s">
        <v>765</v>
      </c>
      <c r="D10772" s="59">
        <v>1290.2</v>
      </c>
      <c r="E10772" s="59"/>
    </row>
    <row r="10773" spans="3:5" x14ac:dyDescent="0.15">
      <c r="C10773" s="255" t="s">
        <v>766</v>
      </c>
      <c r="D10773" s="59">
        <v>44.5</v>
      </c>
      <c r="E10773" s="59"/>
    </row>
    <row r="10774" spans="3:5" x14ac:dyDescent="0.15">
      <c r="C10774" s="255" t="s">
        <v>767</v>
      </c>
      <c r="D10774" s="59">
        <v>935.4</v>
      </c>
      <c r="E10774" s="59"/>
    </row>
    <row r="10775" spans="3:5" x14ac:dyDescent="0.15">
      <c r="C10775" s="255" t="s">
        <v>768</v>
      </c>
      <c r="D10775" s="59">
        <v>18.600000000000001</v>
      </c>
      <c r="E10775" s="59"/>
    </row>
    <row r="10776" spans="3:5" x14ac:dyDescent="0.15">
      <c r="C10776" s="255" t="s">
        <v>769</v>
      </c>
      <c r="D10776" s="59">
        <v>25.1</v>
      </c>
      <c r="E10776" s="59"/>
    </row>
    <row r="10777" spans="3:5" x14ac:dyDescent="0.15">
      <c r="C10777" s="255" t="s">
        <v>770</v>
      </c>
      <c r="D10777" s="59">
        <v>1547.6</v>
      </c>
      <c r="E10777" s="59"/>
    </row>
    <row r="10778" spans="3:5" x14ac:dyDescent="0.15">
      <c r="C10778" s="255" t="s">
        <v>771</v>
      </c>
      <c r="D10778" s="59">
        <v>1603.6</v>
      </c>
      <c r="E10778" s="59"/>
    </row>
    <row r="10779" spans="3:5" x14ac:dyDescent="0.15">
      <c r="C10779" s="255" t="s">
        <v>772</v>
      </c>
      <c r="D10779" s="59">
        <v>424.1</v>
      </c>
      <c r="E10779" s="59"/>
    </row>
    <row r="10780" spans="3:5" x14ac:dyDescent="0.15">
      <c r="C10780" s="255" t="s">
        <v>773</v>
      </c>
      <c r="D10780" s="59">
        <v>84.4</v>
      </c>
      <c r="E10780" s="59"/>
    </row>
    <row r="10781" spans="3:5" x14ac:dyDescent="0.15">
      <c r="C10781" s="255" t="s">
        <v>774</v>
      </c>
      <c r="D10781" s="59">
        <v>82.3</v>
      </c>
      <c r="E10781" s="59"/>
    </row>
    <row r="10782" spans="3:5" x14ac:dyDescent="0.15">
      <c r="C10782" s="255" t="s">
        <v>775</v>
      </c>
      <c r="D10782" s="59">
        <v>96.1</v>
      </c>
      <c r="E10782" s="59"/>
    </row>
    <row r="10783" spans="3:5" x14ac:dyDescent="0.15">
      <c r="C10783" s="255" t="s">
        <v>776</v>
      </c>
      <c r="D10783" s="59">
        <v>209.7</v>
      </c>
      <c r="E10783" s="59"/>
    </row>
    <row r="10784" spans="3:5" x14ac:dyDescent="0.15">
      <c r="C10784" s="255" t="s">
        <v>777</v>
      </c>
      <c r="D10784" s="59">
        <v>683.4</v>
      </c>
      <c r="E10784" s="59"/>
    </row>
    <row r="10785" spans="3:5" x14ac:dyDescent="0.15">
      <c r="C10785" s="255" t="s">
        <v>778</v>
      </c>
      <c r="D10785" s="59">
        <v>418.4</v>
      </c>
      <c r="E10785" s="59"/>
    </row>
    <row r="10786" spans="3:5" x14ac:dyDescent="0.15">
      <c r="C10786" s="255" t="s">
        <v>779</v>
      </c>
      <c r="D10786" s="59">
        <v>649</v>
      </c>
      <c r="E10786" s="59"/>
    </row>
    <row r="10787" spans="3:5" x14ac:dyDescent="0.15">
      <c r="C10787" s="255" t="s">
        <v>780</v>
      </c>
      <c r="D10787" s="59">
        <v>20.100000000000001</v>
      </c>
      <c r="E10787" s="59"/>
    </row>
    <row r="10788" spans="3:5" x14ac:dyDescent="0.15">
      <c r="C10788" s="255" t="s">
        <v>781</v>
      </c>
      <c r="D10788" s="59">
        <v>682.2</v>
      </c>
      <c r="E10788" s="59"/>
    </row>
    <row r="10789" spans="3:5" x14ac:dyDescent="0.15">
      <c r="C10789" s="255" t="s">
        <v>782</v>
      </c>
      <c r="D10789" s="59">
        <v>1712</v>
      </c>
      <c r="E10789" s="59"/>
    </row>
    <row r="10790" spans="3:5" x14ac:dyDescent="0.15">
      <c r="C10790" s="255" t="s">
        <v>783</v>
      </c>
      <c r="D10790" s="59">
        <v>706</v>
      </c>
      <c r="E10790" s="59"/>
    </row>
    <row r="10791" spans="3:5" x14ac:dyDescent="0.15">
      <c r="C10791" s="255" t="s">
        <v>784</v>
      </c>
      <c r="D10791" s="59">
        <v>604.4</v>
      </c>
      <c r="E10791" s="59"/>
    </row>
    <row r="10792" spans="3:5" x14ac:dyDescent="0.15">
      <c r="C10792" s="255" t="s">
        <v>785</v>
      </c>
      <c r="D10792" s="59">
        <v>626.5</v>
      </c>
      <c r="E10792" s="59"/>
    </row>
    <row r="10793" spans="3:5" x14ac:dyDescent="0.15">
      <c r="C10793" s="255" t="s">
        <v>786</v>
      </c>
      <c r="D10793" s="59">
        <v>195.3</v>
      </c>
      <c r="E10793" s="59"/>
    </row>
    <row r="10794" spans="3:5" x14ac:dyDescent="0.15">
      <c r="C10794" s="255" t="s">
        <v>787</v>
      </c>
      <c r="D10794" s="59">
        <v>52.1</v>
      </c>
      <c r="E10794" s="59"/>
    </row>
    <row r="10795" spans="3:5" x14ac:dyDescent="0.15">
      <c r="C10795" s="255" t="s">
        <v>788</v>
      </c>
      <c r="D10795" s="59">
        <v>72.7</v>
      </c>
      <c r="E10795" s="59"/>
    </row>
    <row r="10796" spans="3:5" x14ac:dyDescent="0.15">
      <c r="C10796" s="255" t="s">
        <v>789</v>
      </c>
      <c r="D10796" s="59">
        <v>1.7</v>
      </c>
      <c r="E10796" s="59"/>
    </row>
    <row r="10797" spans="3:5" x14ac:dyDescent="0.15">
      <c r="C10797" s="255" t="s">
        <v>790</v>
      </c>
      <c r="D10797" s="59">
        <v>1920.2</v>
      </c>
      <c r="E10797" s="59"/>
    </row>
    <row r="10798" spans="3:5" x14ac:dyDescent="0.15">
      <c r="C10798" s="255" t="s">
        <v>791</v>
      </c>
      <c r="D10798" s="59">
        <v>58</v>
      </c>
      <c r="E10798" s="59"/>
    </row>
    <row r="10799" spans="3:5" x14ac:dyDescent="0.15">
      <c r="C10799" s="255" t="s">
        <v>792</v>
      </c>
      <c r="D10799" s="59">
        <v>706</v>
      </c>
      <c r="E10799" s="59"/>
    </row>
    <row r="10800" spans="3:5" x14ac:dyDescent="0.15">
      <c r="C10800" s="255" t="s">
        <v>793</v>
      </c>
      <c r="D10800" s="59">
        <v>176.1</v>
      </c>
      <c r="E10800" s="59"/>
    </row>
    <row r="10801" spans="3:5" x14ac:dyDescent="0.15">
      <c r="C10801" s="255" t="s">
        <v>794</v>
      </c>
      <c r="D10801" s="59">
        <v>1966.2</v>
      </c>
      <c r="E10801" s="59"/>
    </row>
    <row r="10802" spans="3:5" x14ac:dyDescent="0.15">
      <c r="C10802" s="255" t="s">
        <v>795</v>
      </c>
      <c r="D10802" s="59">
        <v>245.3</v>
      </c>
      <c r="E10802" s="59"/>
    </row>
    <row r="10803" spans="3:5" x14ac:dyDescent="0.15">
      <c r="C10803" s="255" t="s">
        <v>796</v>
      </c>
      <c r="D10803" s="59">
        <v>602.4</v>
      </c>
      <c r="E10803" s="59"/>
    </row>
    <row r="10804" spans="3:5" x14ac:dyDescent="0.15">
      <c r="C10804" s="255" t="s">
        <v>797</v>
      </c>
      <c r="D10804" s="59">
        <v>615.20000000000005</v>
      </c>
      <c r="E10804" s="59"/>
    </row>
    <row r="10805" spans="3:5" x14ac:dyDescent="0.15">
      <c r="C10805" s="255" t="s">
        <v>798</v>
      </c>
      <c r="D10805" s="59">
        <v>351.6</v>
      </c>
      <c r="E10805" s="59"/>
    </row>
    <row r="10806" spans="3:5" x14ac:dyDescent="0.15">
      <c r="C10806" s="255" t="s">
        <v>799</v>
      </c>
      <c r="D10806" s="59">
        <v>66.8</v>
      </c>
      <c r="E10806" s="59"/>
    </row>
    <row r="10807" spans="3:5" x14ac:dyDescent="0.15">
      <c r="C10807" s="255" t="s">
        <v>800</v>
      </c>
      <c r="D10807" s="59">
        <v>128.6</v>
      </c>
      <c r="E10807" s="59"/>
    </row>
    <row r="10808" spans="3:5" x14ac:dyDescent="0.15">
      <c r="C10808" s="255" t="s">
        <v>801</v>
      </c>
      <c r="D10808" s="59">
        <v>274.2</v>
      </c>
      <c r="E10808" s="59"/>
    </row>
    <row r="10809" spans="3:5" x14ac:dyDescent="0.15">
      <c r="C10809" s="255" t="s">
        <v>802</v>
      </c>
      <c r="D10809" s="59">
        <v>1078.5999999999999</v>
      </c>
      <c r="E10809" s="59"/>
    </row>
    <row r="10810" spans="3:5" x14ac:dyDescent="0.15">
      <c r="C10810" s="255" t="s">
        <v>803</v>
      </c>
      <c r="D10810" s="59">
        <v>1360.9</v>
      </c>
      <c r="E10810" s="59"/>
    </row>
    <row r="10811" spans="3:5" x14ac:dyDescent="0.15">
      <c r="C10811" s="255" t="s">
        <v>804</v>
      </c>
      <c r="D10811" s="59">
        <v>589.20000000000005</v>
      </c>
      <c r="E10811" s="59"/>
    </row>
    <row r="10812" spans="3:5" x14ac:dyDescent="0.15">
      <c r="C10812" s="255" t="s">
        <v>805</v>
      </c>
      <c r="D10812" s="59">
        <v>8.1999999999999993</v>
      </c>
      <c r="E10812" s="59"/>
    </row>
    <row r="10813" spans="3:5" x14ac:dyDescent="0.15">
      <c r="C10813" s="255" t="s">
        <v>806</v>
      </c>
      <c r="D10813" s="59">
        <v>806.6</v>
      </c>
      <c r="E10813" s="59"/>
    </row>
    <row r="10814" spans="3:5" x14ac:dyDescent="0.15">
      <c r="C10814" s="255" t="s">
        <v>807</v>
      </c>
      <c r="D10814" s="59">
        <v>335.8</v>
      </c>
      <c r="E10814" s="59"/>
    </row>
    <row r="10815" spans="3:5" x14ac:dyDescent="0.15">
      <c r="C10815" s="255" t="s">
        <v>808</v>
      </c>
      <c r="D10815" s="59">
        <v>99.8</v>
      </c>
      <c r="E10815" s="59"/>
    </row>
    <row r="10816" spans="3:5" x14ac:dyDescent="0.15">
      <c r="C10816" s="255" t="s">
        <v>809</v>
      </c>
      <c r="D10816" s="59">
        <v>233.9</v>
      </c>
      <c r="E10816" s="59"/>
    </row>
    <row r="10817" spans="3:5" x14ac:dyDescent="0.15">
      <c r="C10817" s="255" t="s">
        <v>810</v>
      </c>
      <c r="D10817" s="59">
        <v>208</v>
      </c>
      <c r="E10817" s="59"/>
    </row>
    <row r="10818" spans="3:5" x14ac:dyDescent="0.15">
      <c r="C10818" s="255" t="s">
        <v>811</v>
      </c>
      <c r="D10818" s="59">
        <v>1018.5</v>
      </c>
      <c r="E10818" s="59"/>
    </row>
    <row r="10819" spans="3:5" x14ac:dyDescent="0.15">
      <c r="C10819" s="255" t="s">
        <v>812</v>
      </c>
      <c r="D10819" s="59">
        <v>149.80000000000001</v>
      </c>
      <c r="E10819" s="59"/>
    </row>
    <row r="10820" spans="3:5" x14ac:dyDescent="0.15">
      <c r="C10820" s="255" t="s">
        <v>813</v>
      </c>
      <c r="D10820" s="59">
        <v>35.700000000000003</v>
      </c>
      <c r="E10820" s="59"/>
    </row>
    <row r="10821" spans="3:5" x14ac:dyDescent="0.15">
      <c r="C10821" s="255" t="s">
        <v>814</v>
      </c>
      <c r="D10821" s="59">
        <v>165.5</v>
      </c>
      <c r="E10821" s="59"/>
    </row>
    <row r="10822" spans="3:5" x14ac:dyDescent="0.15">
      <c r="C10822" s="255" t="s">
        <v>815</v>
      </c>
      <c r="D10822" s="59">
        <v>969</v>
      </c>
      <c r="E10822" s="59"/>
    </row>
    <row r="10823" spans="3:5" x14ac:dyDescent="0.15">
      <c r="C10823" s="255" t="s">
        <v>816</v>
      </c>
      <c r="D10823" s="59">
        <v>606.1</v>
      </c>
      <c r="E10823" s="59"/>
    </row>
    <row r="10824" spans="3:5" x14ac:dyDescent="0.15">
      <c r="C10824" s="255" t="s">
        <v>817</v>
      </c>
      <c r="D10824" s="59">
        <v>6695.6</v>
      </c>
      <c r="E10824" s="59"/>
    </row>
    <row r="10825" spans="3:5" x14ac:dyDescent="0.15">
      <c r="C10825" s="255" t="s">
        <v>818</v>
      </c>
      <c r="D10825" s="59">
        <v>651</v>
      </c>
      <c r="E10825" s="59"/>
    </row>
    <row r="10826" spans="3:5" x14ac:dyDescent="0.15">
      <c r="C10826" s="255" t="s">
        <v>819</v>
      </c>
      <c r="D10826" s="59">
        <v>47.4</v>
      </c>
      <c r="E10826" s="59"/>
    </row>
    <row r="10827" spans="3:5" x14ac:dyDescent="0.15">
      <c r="C10827" s="255" t="s">
        <v>820</v>
      </c>
      <c r="D10827" s="59">
        <v>1804.1</v>
      </c>
      <c r="E10827" s="59"/>
    </row>
    <row r="10828" spans="3:5" x14ac:dyDescent="0.15">
      <c r="C10828" s="255" t="s">
        <v>821</v>
      </c>
      <c r="D10828" s="59">
        <v>36.700000000000003</v>
      </c>
      <c r="E10828" s="59"/>
    </row>
    <row r="10829" spans="3:5" x14ac:dyDescent="0.15">
      <c r="C10829" s="255" t="s">
        <v>822</v>
      </c>
      <c r="D10829" s="59">
        <v>142.30000000000001</v>
      </c>
      <c r="E10829" s="59"/>
    </row>
    <row r="10830" spans="3:5" x14ac:dyDescent="0.15">
      <c r="C10830" s="255" t="s">
        <v>823</v>
      </c>
      <c r="D10830" s="59">
        <v>5.9</v>
      </c>
      <c r="E10830" s="59"/>
    </row>
    <row r="10831" spans="3:5" x14ac:dyDescent="0.15">
      <c r="C10831" s="255" t="s">
        <v>824</v>
      </c>
      <c r="D10831" s="59">
        <v>529.4</v>
      </c>
      <c r="E10831" s="59"/>
    </row>
    <row r="10832" spans="3:5" x14ac:dyDescent="0.15">
      <c r="C10832" s="255" t="s">
        <v>825</v>
      </c>
      <c r="D10832" s="59">
        <v>637.20000000000005</v>
      </c>
      <c r="E10832" s="59"/>
    </row>
    <row r="10833" spans="3:5" x14ac:dyDescent="0.15">
      <c r="C10833" s="255" t="s">
        <v>826</v>
      </c>
      <c r="D10833" s="59">
        <v>0.4</v>
      </c>
      <c r="E10833" s="59"/>
    </row>
    <row r="10834" spans="3:5" x14ac:dyDescent="0.15">
      <c r="C10834" s="255" t="s">
        <v>827</v>
      </c>
      <c r="D10834" s="59">
        <v>6</v>
      </c>
      <c r="E10834" s="59"/>
    </row>
    <row r="10835" spans="3:5" x14ac:dyDescent="0.15">
      <c r="C10835" s="255" t="s">
        <v>828</v>
      </c>
      <c r="D10835" s="59">
        <v>2389.3000000000002</v>
      </c>
      <c r="E10835" s="59"/>
    </row>
    <row r="10836" spans="3:5" x14ac:dyDescent="0.15">
      <c r="C10836" s="255" t="s">
        <v>829</v>
      </c>
      <c r="D10836" s="59">
        <v>1.8</v>
      </c>
      <c r="E10836" s="59"/>
    </row>
    <row r="10837" spans="3:5" x14ac:dyDescent="0.15">
      <c r="C10837" s="255" t="s">
        <v>830</v>
      </c>
      <c r="D10837" s="59">
        <v>444.1</v>
      </c>
      <c r="E10837" s="59"/>
    </row>
    <row r="10838" spans="3:5" x14ac:dyDescent="0.15">
      <c r="C10838" s="255" t="s">
        <v>831</v>
      </c>
      <c r="D10838" s="59">
        <v>0</v>
      </c>
      <c r="E10838" s="59"/>
    </row>
    <row r="10839" spans="3:5" x14ac:dyDescent="0.15">
      <c r="C10839" s="255" t="s">
        <v>832</v>
      </c>
      <c r="D10839" s="59">
        <v>12575.9</v>
      </c>
      <c r="E10839" s="59"/>
    </row>
    <row r="10840" spans="3:5" x14ac:dyDescent="0.15">
      <c r="C10840" s="255" t="s">
        <v>833</v>
      </c>
      <c r="D10840" s="59">
        <v>16.3</v>
      </c>
      <c r="E10840" s="59"/>
    </row>
    <row r="10841" spans="3:5" x14ac:dyDescent="0.15">
      <c r="C10841" s="255" t="s">
        <v>834</v>
      </c>
      <c r="D10841" s="59">
        <v>3239.2</v>
      </c>
      <c r="E10841" s="59"/>
    </row>
    <row r="10842" spans="3:5" x14ac:dyDescent="0.15">
      <c r="C10842" s="255" t="s">
        <v>835</v>
      </c>
      <c r="D10842" s="59">
        <v>5632.6</v>
      </c>
      <c r="E10842" s="59"/>
    </row>
    <row r="10843" spans="3:5" x14ac:dyDescent="0.15">
      <c r="C10843" s="255" t="s">
        <v>836</v>
      </c>
      <c r="D10843" s="59">
        <v>1064.5999999999999</v>
      </c>
      <c r="E10843" s="59"/>
    </row>
    <row r="10844" spans="3:5" x14ac:dyDescent="0.15">
      <c r="C10844" s="255" t="s">
        <v>837</v>
      </c>
      <c r="D10844" s="59">
        <v>289.8</v>
      </c>
      <c r="E10844" s="59"/>
    </row>
    <row r="10845" spans="3:5" x14ac:dyDescent="0.15">
      <c r="C10845" s="255" t="s">
        <v>838</v>
      </c>
      <c r="D10845" s="59">
        <v>230.5</v>
      </c>
      <c r="E10845" s="59"/>
    </row>
    <row r="10846" spans="3:5" x14ac:dyDescent="0.15">
      <c r="C10846" s="255" t="s">
        <v>839</v>
      </c>
      <c r="D10846" s="59">
        <v>304.5</v>
      </c>
      <c r="E10846" s="59"/>
    </row>
    <row r="10847" spans="3:5" x14ac:dyDescent="0.15">
      <c r="C10847" s="255" t="s">
        <v>840</v>
      </c>
      <c r="D10847" s="59">
        <v>0</v>
      </c>
      <c r="E10847" s="59"/>
    </row>
    <row r="10848" spans="3:5" x14ac:dyDescent="0.15">
      <c r="C10848" s="255" t="s">
        <v>841</v>
      </c>
      <c r="D10848" s="59">
        <v>606.5</v>
      </c>
      <c r="E10848" s="59"/>
    </row>
    <row r="10849" spans="3:5" x14ac:dyDescent="0.15">
      <c r="C10849" s="255" t="s">
        <v>842</v>
      </c>
      <c r="D10849" s="59">
        <v>1104.2</v>
      </c>
      <c r="E10849" s="59"/>
    </row>
    <row r="10850" spans="3:5" x14ac:dyDescent="0.15">
      <c r="C10850" s="255" t="s">
        <v>843</v>
      </c>
      <c r="D10850" s="59">
        <v>59.2</v>
      </c>
      <c r="E10850" s="59"/>
    </row>
    <row r="10851" spans="3:5" x14ac:dyDescent="0.15">
      <c r="C10851" s="255" t="s">
        <v>844</v>
      </c>
      <c r="D10851" s="59">
        <v>28.4</v>
      </c>
      <c r="E10851" s="59"/>
    </row>
    <row r="10852" spans="3:5" x14ac:dyDescent="0.15">
      <c r="C10852" s="255" t="s">
        <v>845</v>
      </c>
      <c r="D10852" s="59">
        <v>83991.6</v>
      </c>
      <c r="E10852" s="59"/>
    </row>
    <row r="10853" spans="3:5" x14ac:dyDescent="0.15">
      <c r="C10853" s="255" t="s">
        <v>846</v>
      </c>
      <c r="D10853" s="59">
        <v>22933.3</v>
      </c>
      <c r="E10853" s="59"/>
    </row>
    <row r="10854" spans="3:5" x14ac:dyDescent="0.15">
      <c r="C10854" s="255" t="s">
        <v>847</v>
      </c>
      <c r="D10854" s="59">
        <v>14.8</v>
      </c>
      <c r="E10854" s="59"/>
    </row>
    <row r="10855" spans="3:5" x14ac:dyDescent="0.15">
      <c r="C10855" s="255" t="s">
        <v>848</v>
      </c>
      <c r="D10855" s="59">
        <v>23817.3</v>
      </c>
      <c r="E10855" s="59"/>
    </row>
    <row r="10856" spans="3:5" x14ac:dyDescent="0.15">
      <c r="C10856" s="255" t="s">
        <v>849</v>
      </c>
      <c r="D10856" s="59">
        <v>1178.2</v>
      </c>
      <c r="E10856" s="59"/>
    </row>
    <row r="10857" spans="3:5" x14ac:dyDescent="0.15">
      <c r="C10857" s="255" t="s">
        <v>850</v>
      </c>
      <c r="D10857" s="59">
        <v>1373.4</v>
      </c>
      <c r="E10857" s="59"/>
    </row>
    <row r="10858" spans="3:5" x14ac:dyDescent="0.15">
      <c r="C10858" s="255" t="s">
        <v>851</v>
      </c>
      <c r="D10858" s="59">
        <v>0</v>
      </c>
      <c r="E10858" s="59"/>
    </row>
    <row r="10859" spans="3:5" x14ac:dyDescent="0.15">
      <c r="C10859" s="255" t="s">
        <v>852</v>
      </c>
      <c r="D10859" s="59">
        <v>0</v>
      </c>
      <c r="E10859" s="59"/>
    </row>
    <row r="10860" spans="3:5" x14ac:dyDescent="0.15">
      <c r="C10860" s="255" t="s">
        <v>853</v>
      </c>
      <c r="D10860" s="59">
        <v>69.3</v>
      </c>
      <c r="E10860" s="59"/>
    </row>
    <row r="10861" spans="3:5" x14ac:dyDescent="0.15">
      <c r="C10861" s="255" t="s">
        <v>854</v>
      </c>
      <c r="D10861" s="59">
        <v>0</v>
      </c>
      <c r="E10861" s="59"/>
    </row>
    <row r="10862" spans="3:5" x14ac:dyDescent="0.15">
      <c r="C10862" s="255" t="s">
        <v>855</v>
      </c>
      <c r="D10862" s="59">
        <v>356.3</v>
      </c>
      <c r="E10862" s="59"/>
    </row>
    <row r="10863" spans="3:5" x14ac:dyDescent="0.15">
      <c r="C10863" s="255" t="s">
        <v>856</v>
      </c>
      <c r="D10863" s="59">
        <v>4292.3</v>
      </c>
      <c r="E10863" s="59"/>
    </row>
    <row r="10864" spans="3:5" x14ac:dyDescent="0.15">
      <c r="C10864" s="255" t="s">
        <v>857</v>
      </c>
      <c r="D10864" s="59">
        <v>2065.9</v>
      </c>
      <c r="E10864" s="59"/>
    </row>
    <row r="10865" spans="3:5" x14ac:dyDescent="0.15">
      <c r="C10865" s="255" t="s">
        <v>858</v>
      </c>
      <c r="D10865" s="59">
        <v>2239.3000000000002</v>
      </c>
      <c r="E10865" s="59"/>
    </row>
    <row r="10866" spans="3:5" x14ac:dyDescent="0.15">
      <c r="C10866" s="255" t="s">
        <v>859</v>
      </c>
      <c r="D10866" s="59">
        <v>2255.1999999999998</v>
      </c>
      <c r="E10866" s="59"/>
    </row>
    <row r="10867" spans="3:5" x14ac:dyDescent="0.15">
      <c r="C10867" s="255" t="s">
        <v>860</v>
      </c>
      <c r="D10867" s="59">
        <v>290.3</v>
      </c>
      <c r="E10867" s="59"/>
    </row>
    <row r="10868" spans="3:5" x14ac:dyDescent="0.15">
      <c r="C10868" s="255" t="s">
        <v>861</v>
      </c>
      <c r="D10868" s="59">
        <v>1812.6</v>
      </c>
      <c r="E10868" s="59"/>
    </row>
    <row r="10869" spans="3:5" x14ac:dyDescent="0.15">
      <c r="C10869" s="255" t="s">
        <v>862</v>
      </c>
      <c r="D10869" s="59">
        <v>6919.6</v>
      </c>
      <c r="E10869" s="59"/>
    </row>
    <row r="10870" spans="3:5" x14ac:dyDescent="0.15">
      <c r="C10870" s="255" t="s">
        <v>863</v>
      </c>
      <c r="D10870" s="59">
        <v>587.29999999999995</v>
      </c>
      <c r="E10870" s="59"/>
    </row>
    <row r="10871" spans="3:5" x14ac:dyDescent="0.15">
      <c r="C10871" s="255" t="s">
        <v>864</v>
      </c>
      <c r="D10871" s="59">
        <v>40.5</v>
      </c>
      <c r="E10871" s="59"/>
    </row>
    <row r="10872" spans="3:5" x14ac:dyDescent="0.15">
      <c r="C10872" s="255" t="s">
        <v>865</v>
      </c>
      <c r="D10872" s="59">
        <v>525.29999999999995</v>
      </c>
      <c r="E10872" s="59"/>
    </row>
    <row r="10873" spans="3:5" x14ac:dyDescent="0.15">
      <c r="C10873" s="255" t="s">
        <v>866</v>
      </c>
      <c r="D10873" s="59">
        <v>11.9</v>
      </c>
      <c r="E10873" s="59"/>
    </row>
    <row r="10874" spans="3:5" x14ac:dyDescent="0.15">
      <c r="C10874" s="255" t="s">
        <v>867</v>
      </c>
      <c r="D10874" s="59">
        <v>2212.4</v>
      </c>
      <c r="E10874" s="59"/>
    </row>
    <row r="10875" spans="3:5" x14ac:dyDescent="0.15">
      <c r="C10875" s="255" t="s">
        <v>868</v>
      </c>
      <c r="D10875" s="59">
        <v>10996.6</v>
      </c>
      <c r="E10875" s="59"/>
    </row>
    <row r="10876" spans="3:5" x14ac:dyDescent="0.15">
      <c r="C10876" s="255" t="s">
        <v>869</v>
      </c>
      <c r="D10876" s="59">
        <v>15062.4</v>
      </c>
      <c r="E10876" s="59"/>
    </row>
    <row r="10877" spans="3:5" x14ac:dyDescent="0.15">
      <c r="C10877" s="255" t="s">
        <v>870</v>
      </c>
      <c r="D10877" s="59">
        <v>3261.2</v>
      </c>
      <c r="E10877" s="59"/>
    </row>
    <row r="10878" spans="3:5" x14ac:dyDescent="0.15">
      <c r="C10878" s="255" t="s">
        <v>871</v>
      </c>
      <c r="D10878" s="59">
        <v>323.3</v>
      </c>
      <c r="E10878" s="59"/>
    </row>
    <row r="10879" spans="3:5" x14ac:dyDescent="0.15">
      <c r="C10879" s="255" t="s">
        <v>872</v>
      </c>
      <c r="D10879" s="59">
        <v>252.7</v>
      </c>
      <c r="E10879" s="59"/>
    </row>
    <row r="10880" spans="3:5" x14ac:dyDescent="0.15">
      <c r="C10880" s="255" t="s">
        <v>873</v>
      </c>
      <c r="D10880" s="59">
        <v>1093.5999999999999</v>
      </c>
      <c r="E10880" s="59"/>
    </row>
    <row r="10881" spans="3:5" x14ac:dyDescent="0.15">
      <c r="C10881" s="255" t="s">
        <v>874</v>
      </c>
      <c r="D10881" s="59">
        <v>263.10000000000002</v>
      </c>
      <c r="E10881" s="59"/>
    </row>
    <row r="10882" spans="3:5" x14ac:dyDescent="0.15">
      <c r="C10882" s="255" t="s">
        <v>875</v>
      </c>
      <c r="D10882" s="59">
        <v>26</v>
      </c>
      <c r="E10882" s="59"/>
    </row>
    <row r="10883" spans="3:5" x14ac:dyDescent="0.15">
      <c r="C10883" s="255" t="s">
        <v>876</v>
      </c>
      <c r="D10883" s="59">
        <v>0</v>
      </c>
      <c r="E10883" s="59"/>
    </row>
    <row r="10884" spans="3:5" x14ac:dyDescent="0.15">
      <c r="C10884" s="255" t="s">
        <v>877</v>
      </c>
      <c r="D10884" s="59">
        <v>0.5</v>
      </c>
      <c r="E10884" s="59"/>
    </row>
    <row r="10885" spans="3:5" x14ac:dyDescent="0.15">
      <c r="C10885" s="255" t="s">
        <v>878</v>
      </c>
      <c r="D10885" s="59">
        <v>72</v>
      </c>
      <c r="E10885" s="59"/>
    </row>
    <row r="10886" spans="3:5" x14ac:dyDescent="0.15">
      <c r="C10886" s="255" t="s">
        <v>879</v>
      </c>
      <c r="D10886" s="59">
        <v>746.2</v>
      </c>
      <c r="E10886" s="59"/>
    </row>
    <row r="10887" spans="3:5" x14ac:dyDescent="0.15">
      <c r="C10887" s="255" t="s">
        <v>880</v>
      </c>
      <c r="D10887" s="59">
        <v>116.2</v>
      </c>
      <c r="E10887" s="59"/>
    </row>
    <row r="10888" spans="3:5" x14ac:dyDescent="0.15">
      <c r="C10888" s="255" t="s">
        <v>881</v>
      </c>
      <c r="D10888" s="59">
        <v>0</v>
      </c>
      <c r="E10888" s="59"/>
    </row>
    <row r="10889" spans="3:5" x14ac:dyDescent="0.15">
      <c r="C10889" s="255" t="s">
        <v>882</v>
      </c>
      <c r="D10889" s="59">
        <v>207</v>
      </c>
      <c r="E10889" s="59"/>
    </row>
    <row r="10890" spans="3:5" x14ac:dyDescent="0.15">
      <c r="C10890" s="255" t="s">
        <v>883</v>
      </c>
      <c r="D10890" s="59">
        <v>608.29999999999995</v>
      </c>
      <c r="E10890" s="59"/>
    </row>
    <row r="10891" spans="3:5" x14ac:dyDescent="0.15">
      <c r="C10891" s="255" t="s">
        <v>884</v>
      </c>
      <c r="D10891" s="59">
        <v>721.6</v>
      </c>
      <c r="E10891" s="59"/>
    </row>
    <row r="10892" spans="3:5" x14ac:dyDescent="0.15">
      <c r="C10892" s="255" t="s">
        <v>885</v>
      </c>
      <c r="D10892" s="59">
        <v>573.5</v>
      </c>
      <c r="E10892" s="59"/>
    </row>
    <row r="10893" spans="3:5" x14ac:dyDescent="0.15">
      <c r="C10893" s="255" t="s">
        <v>886</v>
      </c>
      <c r="D10893" s="59">
        <v>72</v>
      </c>
      <c r="E10893" s="59"/>
    </row>
    <row r="10894" spans="3:5" x14ac:dyDescent="0.15">
      <c r="C10894" s="255" t="s">
        <v>887</v>
      </c>
      <c r="D10894" s="59">
        <v>287.8</v>
      </c>
      <c r="E10894" s="59"/>
    </row>
    <row r="10895" spans="3:5" x14ac:dyDescent="0.15">
      <c r="C10895" s="255" t="s">
        <v>888</v>
      </c>
      <c r="D10895" s="59">
        <v>2.6</v>
      </c>
      <c r="E10895" s="59"/>
    </row>
    <row r="10896" spans="3:5" x14ac:dyDescent="0.15">
      <c r="C10896" s="255" t="s">
        <v>889</v>
      </c>
      <c r="D10896" s="59">
        <v>221.9</v>
      </c>
      <c r="E10896" s="59"/>
    </row>
    <row r="10897" spans="3:5" x14ac:dyDescent="0.15">
      <c r="C10897" s="255" t="s">
        <v>890</v>
      </c>
      <c r="D10897" s="59">
        <v>3.3</v>
      </c>
      <c r="E10897" s="59"/>
    </row>
    <row r="10898" spans="3:5" x14ac:dyDescent="0.15">
      <c r="C10898" s="255" t="s">
        <v>891</v>
      </c>
      <c r="D10898" s="59">
        <v>0.6</v>
      </c>
      <c r="E10898" s="59"/>
    </row>
    <row r="10899" spans="3:5" x14ac:dyDescent="0.15">
      <c r="C10899" s="255" t="s">
        <v>892</v>
      </c>
      <c r="D10899" s="59">
        <v>28.3</v>
      </c>
      <c r="E10899" s="59"/>
    </row>
    <row r="10900" spans="3:5" x14ac:dyDescent="0.15">
      <c r="C10900" s="255" t="s">
        <v>893</v>
      </c>
      <c r="D10900" s="59">
        <v>208.2</v>
      </c>
      <c r="E10900" s="59"/>
    </row>
    <row r="10901" spans="3:5" x14ac:dyDescent="0.15">
      <c r="C10901" s="255" t="s">
        <v>894</v>
      </c>
      <c r="D10901" s="59">
        <v>0</v>
      </c>
      <c r="E10901" s="59"/>
    </row>
    <row r="10902" spans="3:5" x14ac:dyDescent="0.15">
      <c r="C10902" s="255" t="s">
        <v>895</v>
      </c>
      <c r="D10902" s="59">
        <v>473.3</v>
      </c>
      <c r="E10902" s="59"/>
    </row>
    <row r="10903" spans="3:5" x14ac:dyDescent="0.15">
      <c r="C10903" s="255" t="s">
        <v>896</v>
      </c>
      <c r="D10903" s="59">
        <v>2.8</v>
      </c>
      <c r="E10903" s="59"/>
    </row>
    <row r="10904" spans="3:5" x14ac:dyDescent="0.15">
      <c r="C10904" s="255" t="s">
        <v>897</v>
      </c>
      <c r="D10904" s="59">
        <v>1016.4</v>
      </c>
      <c r="E10904" s="59"/>
    </row>
    <row r="10905" spans="3:5" x14ac:dyDescent="0.15">
      <c r="C10905" s="255" t="s">
        <v>898</v>
      </c>
      <c r="D10905" s="59">
        <v>237</v>
      </c>
      <c r="E10905" s="59"/>
    </row>
    <row r="10906" spans="3:5" x14ac:dyDescent="0.15">
      <c r="C10906" s="255" t="s">
        <v>899</v>
      </c>
      <c r="D10906" s="59">
        <v>24.6</v>
      </c>
      <c r="E10906" s="59"/>
    </row>
    <row r="10907" spans="3:5" x14ac:dyDescent="0.15">
      <c r="C10907" s="255" t="s">
        <v>900</v>
      </c>
      <c r="D10907" s="59">
        <v>325.8</v>
      </c>
      <c r="E10907" s="59"/>
    </row>
    <row r="10908" spans="3:5" x14ac:dyDescent="0.15">
      <c r="C10908" s="255" t="s">
        <v>901</v>
      </c>
      <c r="D10908" s="59">
        <v>685.4</v>
      </c>
      <c r="E10908" s="59"/>
    </row>
    <row r="10909" spans="3:5" x14ac:dyDescent="0.15">
      <c r="C10909" s="255" t="s">
        <v>902</v>
      </c>
      <c r="D10909" s="59">
        <v>118</v>
      </c>
      <c r="E10909" s="59"/>
    </row>
    <row r="10910" spans="3:5" x14ac:dyDescent="0.15">
      <c r="C10910" s="255" t="s">
        <v>903</v>
      </c>
      <c r="D10910" s="59">
        <v>942.8</v>
      </c>
      <c r="E10910" s="59"/>
    </row>
    <row r="10911" spans="3:5" x14ac:dyDescent="0.15">
      <c r="C10911" s="255" t="s">
        <v>904</v>
      </c>
      <c r="D10911" s="59">
        <v>1145.5</v>
      </c>
      <c r="E10911" s="59"/>
    </row>
    <row r="10912" spans="3:5" x14ac:dyDescent="0.15">
      <c r="C10912" s="255" t="s">
        <v>905</v>
      </c>
      <c r="D10912" s="59">
        <v>263.60000000000002</v>
      </c>
      <c r="E10912" s="59"/>
    </row>
    <row r="10913" spans="3:5" x14ac:dyDescent="0.15">
      <c r="C10913" s="255" t="s">
        <v>906</v>
      </c>
      <c r="D10913" s="59">
        <v>165.8</v>
      </c>
      <c r="E10913" s="59"/>
    </row>
    <row r="10914" spans="3:5" x14ac:dyDescent="0.15">
      <c r="C10914" s="255" t="s">
        <v>907</v>
      </c>
      <c r="D10914" s="59">
        <v>571.6</v>
      </c>
      <c r="E10914" s="59"/>
    </row>
    <row r="10915" spans="3:5" x14ac:dyDescent="0.15">
      <c r="C10915" s="255" t="s">
        <v>908</v>
      </c>
      <c r="D10915" s="59">
        <v>7986.6</v>
      </c>
      <c r="E10915" s="59"/>
    </row>
    <row r="10916" spans="3:5" x14ac:dyDescent="0.15">
      <c r="C10916" s="255" t="s">
        <v>909</v>
      </c>
      <c r="D10916" s="59">
        <v>2346.8000000000002</v>
      </c>
      <c r="E10916" s="59"/>
    </row>
    <row r="10917" spans="3:5" x14ac:dyDescent="0.15">
      <c r="C10917" s="255" t="s">
        <v>910</v>
      </c>
      <c r="D10917" s="59">
        <v>17.7</v>
      </c>
      <c r="E10917" s="59"/>
    </row>
    <row r="10918" spans="3:5" x14ac:dyDescent="0.15">
      <c r="C10918" s="255" t="s">
        <v>911</v>
      </c>
      <c r="D10918" s="59">
        <v>135</v>
      </c>
      <c r="E10918" s="59"/>
    </row>
    <row r="10919" spans="3:5" x14ac:dyDescent="0.15">
      <c r="C10919" s="255" t="s">
        <v>912</v>
      </c>
      <c r="D10919" s="59">
        <v>1335</v>
      </c>
      <c r="E10919" s="59"/>
    </row>
    <row r="10920" spans="3:5" x14ac:dyDescent="0.15">
      <c r="C10920" s="255" t="s">
        <v>913</v>
      </c>
      <c r="D10920" s="59">
        <v>0</v>
      </c>
      <c r="E10920" s="59"/>
    </row>
    <row r="10921" spans="3:5" x14ac:dyDescent="0.15">
      <c r="C10921" s="255" t="s">
        <v>914</v>
      </c>
      <c r="D10921" s="59">
        <v>5.2</v>
      </c>
      <c r="E10921" s="59"/>
    </row>
    <row r="10922" spans="3:5" x14ac:dyDescent="0.15">
      <c r="C10922" s="255" t="s">
        <v>915</v>
      </c>
      <c r="D10922" s="59">
        <v>53.6</v>
      </c>
      <c r="E10922" s="59"/>
    </row>
    <row r="10923" spans="3:5" x14ac:dyDescent="0.15">
      <c r="C10923" s="255" t="s">
        <v>916</v>
      </c>
      <c r="D10923" s="59">
        <v>90.8</v>
      </c>
      <c r="E10923" s="59"/>
    </row>
    <row r="10924" spans="3:5" x14ac:dyDescent="0.15">
      <c r="C10924" s="255" t="s">
        <v>917</v>
      </c>
      <c r="D10924" s="59">
        <v>10.9</v>
      </c>
      <c r="E10924" s="59"/>
    </row>
    <row r="10925" spans="3:5" x14ac:dyDescent="0.15">
      <c r="C10925" s="255" t="s">
        <v>918</v>
      </c>
      <c r="D10925" s="59">
        <v>2470</v>
      </c>
      <c r="E10925" s="59"/>
    </row>
    <row r="10926" spans="3:5" x14ac:dyDescent="0.15">
      <c r="C10926" s="255" t="s">
        <v>919</v>
      </c>
      <c r="D10926" s="59">
        <v>0</v>
      </c>
      <c r="E10926" s="59"/>
    </row>
    <row r="10927" spans="3:5" x14ac:dyDescent="0.15">
      <c r="C10927" s="255" t="s">
        <v>920</v>
      </c>
      <c r="D10927" s="59">
        <v>1521.2</v>
      </c>
      <c r="E10927" s="59"/>
    </row>
    <row r="10928" spans="3:5" x14ac:dyDescent="0.15">
      <c r="C10928" s="255" t="s">
        <v>921</v>
      </c>
      <c r="D10928" s="59">
        <v>0.4</v>
      </c>
      <c r="E10928" s="59"/>
    </row>
    <row r="10929" spans="3:5" x14ac:dyDescent="0.15">
      <c r="C10929" s="255" t="s">
        <v>922</v>
      </c>
      <c r="D10929" s="59">
        <v>40969.4</v>
      </c>
      <c r="E10929" s="59"/>
    </row>
    <row r="10930" spans="3:5" x14ac:dyDescent="0.15">
      <c r="C10930" s="255" t="s">
        <v>923</v>
      </c>
      <c r="D10930" s="59">
        <v>9627.7999999999993</v>
      </c>
      <c r="E10930" s="59"/>
    </row>
    <row r="10931" spans="3:5" x14ac:dyDescent="0.15">
      <c r="C10931" s="255" t="s">
        <v>924</v>
      </c>
      <c r="D10931" s="59">
        <v>4656.3999999999996</v>
      </c>
      <c r="E10931" s="59"/>
    </row>
    <row r="10932" spans="3:5" x14ac:dyDescent="0.15">
      <c r="C10932" s="255" t="s">
        <v>925</v>
      </c>
      <c r="D10932" s="59">
        <v>664.5</v>
      </c>
      <c r="E10932" s="59"/>
    </row>
    <row r="10933" spans="3:5" x14ac:dyDescent="0.15">
      <c r="C10933" s="255" t="s">
        <v>926</v>
      </c>
      <c r="D10933" s="59">
        <v>679.9</v>
      </c>
      <c r="E10933" s="59"/>
    </row>
    <row r="10934" spans="3:5" x14ac:dyDescent="0.15">
      <c r="C10934" s="255" t="s">
        <v>927</v>
      </c>
      <c r="D10934" s="59">
        <v>969.5</v>
      </c>
      <c r="E10934" s="59"/>
    </row>
    <row r="10935" spans="3:5" x14ac:dyDescent="0.15">
      <c r="C10935" s="255" t="s">
        <v>928</v>
      </c>
      <c r="D10935" s="59">
        <v>531.4</v>
      </c>
      <c r="E10935" s="59"/>
    </row>
    <row r="10936" spans="3:5" x14ac:dyDescent="0.15">
      <c r="C10936" s="255" t="s">
        <v>929</v>
      </c>
      <c r="D10936" s="59">
        <v>27.2</v>
      </c>
      <c r="E10936" s="59"/>
    </row>
    <row r="10937" spans="3:5" x14ac:dyDescent="0.15">
      <c r="C10937" s="255" t="s">
        <v>930</v>
      </c>
      <c r="D10937" s="59">
        <v>2444.8000000000002</v>
      </c>
      <c r="E10937" s="59"/>
    </row>
    <row r="10938" spans="3:5" x14ac:dyDescent="0.15">
      <c r="C10938" s="255" t="s">
        <v>931</v>
      </c>
      <c r="D10938" s="59">
        <v>5943.5</v>
      </c>
      <c r="E10938" s="59"/>
    </row>
    <row r="10939" spans="3:5" x14ac:dyDescent="0.15">
      <c r="C10939" s="255" t="s">
        <v>932</v>
      </c>
      <c r="D10939" s="59">
        <v>0</v>
      </c>
      <c r="E10939" s="59"/>
    </row>
    <row r="10940" spans="3:5" x14ac:dyDescent="0.15">
      <c r="C10940" s="255" t="s">
        <v>933</v>
      </c>
      <c r="D10940" s="59">
        <v>172</v>
      </c>
      <c r="E10940" s="59"/>
    </row>
    <row r="10941" spans="3:5" x14ac:dyDescent="0.15">
      <c r="C10941" s="255" t="s">
        <v>934</v>
      </c>
      <c r="D10941" s="59">
        <v>5267.4</v>
      </c>
      <c r="E10941" s="59"/>
    </row>
    <row r="10942" spans="3:5" x14ac:dyDescent="0.15">
      <c r="C10942" s="255" t="s">
        <v>935</v>
      </c>
      <c r="D10942" s="59">
        <v>2475.1</v>
      </c>
      <c r="E10942" s="59"/>
    </row>
    <row r="10943" spans="3:5" x14ac:dyDescent="0.15">
      <c r="C10943" s="255" t="s">
        <v>936</v>
      </c>
      <c r="D10943" s="59">
        <v>3777.7</v>
      </c>
      <c r="E10943" s="59"/>
    </row>
    <row r="10944" spans="3:5" x14ac:dyDescent="0.15">
      <c r="C10944" s="255" t="s">
        <v>937</v>
      </c>
      <c r="D10944" s="59">
        <v>662</v>
      </c>
      <c r="E10944" s="59"/>
    </row>
    <row r="10945" spans="3:5" x14ac:dyDescent="0.15">
      <c r="C10945" s="255" t="s">
        <v>938</v>
      </c>
      <c r="D10945" s="59">
        <v>199.7</v>
      </c>
      <c r="E10945" s="59"/>
    </row>
    <row r="10946" spans="3:5" x14ac:dyDescent="0.15">
      <c r="C10946" s="255" t="s">
        <v>939</v>
      </c>
      <c r="D10946" s="59">
        <v>0</v>
      </c>
      <c r="E10946" s="59"/>
    </row>
    <row r="10947" spans="3:5" x14ac:dyDescent="0.15">
      <c r="C10947" s="255" t="s">
        <v>940</v>
      </c>
      <c r="D10947" s="59">
        <v>137</v>
      </c>
      <c r="E10947" s="59"/>
    </row>
    <row r="10948" spans="3:5" x14ac:dyDescent="0.15">
      <c r="C10948" s="255" t="s">
        <v>941</v>
      </c>
      <c r="D10948" s="59">
        <v>189.6</v>
      </c>
      <c r="E10948" s="59"/>
    </row>
    <row r="10949" spans="3:5" x14ac:dyDescent="0.15">
      <c r="C10949" s="255" t="s">
        <v>942</v>
      </c>
      <c r="D10949" s="59">
        <v>163.19999999999999</v>
      </c>
      <c r="E10949" s="59"/>
    </row>
    <row r="10950" spans="3:5" x14ac:dyDescent="0.15">
      <c r="C10950" s="255" t="s">
        <v>943</v>
      </c>
      <c r="D10950" s="59">
        <v>771.6</v>
      </c>
      <c r="E10950" s="59"/>
    </row>
    <row r="10951" spans="3:5" x14ac:dyDescent="0.15">
      <c r="C10951" s="255" t="s">
        <v>944</v>
      </c>
      <c r="D10951" s="59">
        <v>803.3</v>
      </c>
      <c r="E10951" s="59"/>
    </row>
    <row r="10952" spans="3:5" x14ac:dyDescent="0.15">
      <c r="C10952" s="255" t="s">
        <v>945</v>
      </c>
      <c r="D10952" s="59">
        <v>740.2</v>
      </c>
      <c r="E10952" s="59"/>
    </row>
    <row r="10953" spans="3:5" x14ac:dyDescent="0.15">
      <c r="C10953" s="255" t="s">
        <v>946</v>
      </c>
      <c r="D10953" s="59">
        <v>42.2</v>
      </c>
      <c r="E10953" s="59"/>
    </row>
    <row r="10954" spans="3:5" x14ac:dyDescent="0.15">
      <c r="C10954" s="255" t="s">
        <v>947</v>
      </c>
      <c r="D10954" s="59">
        <v>23.4</v>
      </c>
      <c r="E10954" s="59"/>
    </row>
    <row r="10955" spans="3:5" x14ac:dyDescent="0.15">
      <c r="C10955" s="255" t="s">
        <v>948</v>
      </c>
      <c r="D10955" s="59">
        <v>8552.2000000000007</v>
      </c>
      <c r="E10955" s="59"/>
    </row>
    <row r="10956" spans="3:5" x14ac:dyDescent="0.15">
      <c r="C10956" s="255" t="s">
        <v>949</v>
      </c>
      <c r="D10956" s="59">
        <v>206.4</v>
      </c>
      <c r="E10956" s="59"/>
    </row>
    <row r="10957" spans="3:5" x14ac:dyDescent="0.15">
      <c r="C10957" s="255" t="s">
        <v>950</v>
      </c>
      <c r="D10957" s="59">
        <v>0.2</v>
      </c>
      <c r="E10957" s="59"/>
    </row>
    <row r="10958" spans="3:5" x14ac:dyDescent="0.15">
      <c r="C10958" s="255" t="s">
        <v>951</v>
      </c>
      <c r="D10958" s="59">
        <v>1887.7</v>
      </c>
      <c r="E10958" s="59"/>
    </row>
    <row r="10959" spans="3:5" x14ac:dyDescent="0.15">
      <c r="C10959" s="255" t="s">
        <v>952</v>
      </c>
      <c r="D10959" s="59">
        <v>0</v>
      </c>
      <c r="E10959" s="59"/>
    </row>
    <row r="10960" spans="3:5" x14ac:dyDescent="0.15">
      <c r="C10960" s="255" t="s">
        <v>953</v>
      </c>
      <c r="D10960" s="59">
        <v>144.1</v>
      </c>
      <c r="E10960" s="59"/>
    </row>
    <row r="10961" spans="3:5" x14ac:dyDescent="0.15">
      <c r="C10961" s="255" t="s">
        <v>954</v>
      </c>
      <c r="D10961" s="59">
        <v>2745.4</v>
      </c>
      <c r="E10961" s="59"/>
    </row>
    <row r="10962" spans="3:5" x14ac:dyDescent="0.15">
      <c r="C10962" s="255" t="s">
        <v>955</v>
      </c>
      <c r="D10962" s="59">
        <v>1845.9</v>
      </c>
      <c r="E10962" s="59"/>
    </row>
    <row r="10963" spans="3:5" x14ac:dyDescent="0.15">
      <c r="C10963" s="255" t="s">
        <v>956</v>
      </c>
      <c r="D10963" s="59">
        <v>1722.6</v>
      </c>
      <c r="E10963" s="59"/>
    </row>
    <row r="10964" spans="3:5" x14ac:dyDescent="0.15">
      <c r="C10964" s="255" t="s">
        <v>957</v>
      </c>
      <c r="D10964" s="59">
        <v>32402.2</v>
      </c>
      <c r="E10964" s="59"/>
    </row>
    <row r="10965" spans="3:5" x14ac:dyDescent="0.15">
      <c r="C10965" s="255" t="s">
        <v>958</v>
      </c>
      <c r="D10965" s="59">
        <v>0.9</v>
      </c>
      <c r="E10965" s="59"/>
    </row>
    <row r="10966" spans="3:5" x14ac:dyDescent="0.15">
      <c r="C10966" s="255" t="s">
        <v>959</v>
      </c>
      <c r="D10966" s="59">
        <v>906.3</v>
      </c>
      <c r="E10966" s="59"/>
    </row>
    <row r="10967" spans="3:5" x14ac:dyDescent="0.15">
      <c r="C10967" s="255" t="s">
        <v>960</v>
      </c>
      <c r="D10967" s="59">
        <v>209.8</v>
      </c>
      <c r="E10967" s="59"/>
    </row>
    <row r="10968" spans="3:5" x14ac:dyDescent="0.15">
      <c r="C10968" s="255" t="s">
        <v>961</v>
      </c>
      <c r="D10968" s="59">
        <v>3.1</v>
      </c>
      <c r="E10968" s="59"/>
    </row>
    <row r="10969" spans="3:5" x14ac:dyDescent="0.15">
      <c r="C10969" s="255" t="s">
        <v>962</v>
      </c>
      <c r="D10969" s="59">
        <v>0</v>
      </c>
      <c r="E10969" s="59"/>
    </row>
    <row r="10970" spans="3:5" x14ac:dyDescent="0.15">
      <c r="C10970" s="255" t="s">
        <v>963</v>
      </c>
      <c r="D10970" s="59">
        <v>1487.4</v>
      </c>
      <c r="E10970" s="59"/>
    </row>
    <row r="10971" spans="3:5" x14ac:dyDescent="0.15">
      <c r="C10971" s="255" t="s">
        <v>964</v>
      </c>
      <c r="D10971" s="59">
        <v>460.9</v>
      </c>
      <c r="E10971" s="59"/>
    </row>
    <row r="10972" spans="3:5" x14ac:dyDescent="0.15">
      <c r="C10972" s="255" t="s">
        <v>965</v>
      </c>
      <c r="D10972" s="59">
        <v>120.9</v>
      </c>
      <c r="E10972" s="59"/>
    </row>
    <row r="10973" spans="3:5" x14ac:dyDescent="0.15">
      <c r="C10973" s="255" t="s">
        <v>966</v>
      </c>
      <c r="D10973" s="59">
        <v>0.4</v>
      </c>
      <c r="E10973" s="59"/>
    </row>
    <row r="10974" spans="3:5" x14ac:dyDescent="0.15">
      <c r="C10974" s="255" t="s">
        <v>967</v>
      </c>
      <c r="D10974" s="59">
        <v>136.6</v>
      </c>
      <c r="E10974" s="59"/>
    </row>
    <row r="10975" spans="3:5" x14ac:dyDescent="0.15">
      <c r="C10975" s="255" t="s">
        <v>968</v>
      </c>
      <c r="D10975" s="59">
        <v>0</v>
      </c>
      <c r="E10975" s="59"/>
    </row>
    <row r="10976" spans="3:5" x14ac:dyDescent="0.15">
      <c r="C10976" s="255" t="s">
        <v>969</v>
      </c>
      <c r="D10976" s="59">
        <v>27.3</v>
      </c>
      <c r="E10976" s="59"/>
    </row>
    <row r="10977" spans="3:5" x14ac:dyDescent="0.15">
      <c r="C10977" s="255" t="s">
        <v>970</v>
      </c>
      <c r="D10977" s="59">
        <v>87.1</v>
      </c>
      <c r="E10977" s="59"/>
    </row>
    <row r="10978" spans="3:5" x14ac:dyDescent="0.15">
      <c r="C10978" s="255" t="s">
        <v>971</v>
      </c>
      <c r="D10978" s="59">
        <v>1113</v>
      </c>
      <c r="E10978" s="59"/>
    </row>
    <row r="10979" spans="3:5" x14ac:dyDescent="0.15">
      <c r="C10979" s="255" t="s">
        <v>972</v>
      </c>
      <c r="D10979" s="59">
        <v>2920</v>
      </c>
      <c r="E10979" s="59"/>
    </row>
    <row r="10980" spans="3:5" x14ac:dyDescent="0.15">
      <c r="C10980" s="255" t="s">
        <v>973</v>
      </c>
      <c r="D10980" s="59">
        <v>0</v>
      </c>
      <c r="E10980" s="59"/>
    </row>
    <row r="10981" spans="3:5" x14ac:dyDescent="0.15">
      <c r="C10981" s="255" t="s">
        <v>974</v>
      </c>
      <c r="D10981" s="59">
        <v>54.6</v>
      </c>
      <c r="E10981" s="59"/>
    </row>
    <row r="10982" spans="3:5" x14ac:dyDescent="0.15">
      <c r="C10982" s="255" t="s">
        <v>975</v>
      </c>
      <c r="D10982" s="59">
        <v>0</v>
      </c>
      <c r="E10982" s="59"/>
    </row>
    <row r="10983" spans="3:5" x14ac:dyDescent="0.15">
      <c r="C10983" s="255" t="s">
        <v>976</v>
      </c>
      <c r="D10983" s="59">
        <v>116.9</v>
      </c>
      <c r="E10983" s="59"/>
    </row>
    <row r="10984" spans="3:5" x14ac:dyDescent="0.15">
      <c r="C10984" s="255" t="s">
        <v>977</v>
      </c>
      <c r="D10984" s="59">
        <v>369.4</v>
      </c>
      <c r="E10984" s="59"/>
    </row>
    <row r="10985" spans="3:5" x14ac:dyDescent="0.15">
      <c r="C10985" s="255" t="s">
        <v>978</v>
      </c>
      <c r="D10985" s="59">
        <v>895.9</v>
      </c>
      <c r="E10985" s="59"/>
    </row>
    <row r="10986" spans="3:5" x14ac:dyDescent="0.15">
      <c r="C10986" s="255" t="s">
        <v>979</v>
      </c>
      <c r="D10986" s="59">
        <v>1275.7</v>
      </c>
      <c r="E10986" s="59"/>
    </row>
    <row r="10987" spans="3:5" x14ac:dyDescent="0.15">
      <c r="C10987" s="255" t="s">
        <v>980</v>
      </c>
      <c r="D10987" s="59">
        <v>419.8</v>
      </c>
      <c r="E10987" s="59"/>
    </row>
    <row r="10988" spans="3:5" x14ac:dyDescent="0.15">
      <c r="C10988" s="255" t="s">
        <v>981</v>
      </c>
      <c r="D10988" s="59">
        <v>0</v>
      </c>
      <c r="E10988" s="59"/>
    </row>
    <row r="10989" spans="3:5" x14ac:dyDescent="0.15">
      <c r="C10989" s="255" t="s">
        <v>982</v>
      </c>
      <c r="D10989" s="59">
        <v>597.79999999999995</v>
      </c>
      <c r="E10989" s="59"/>
    </row>
    <row r="10990" spans="3:5" x14ac:dyDescent="0.15">
      <c r="C10990" s="255" t="s">
        <v>983</v>
      </c>
      <c r="D10990" s="59">
        <v>2004.3</v>
      </c>
      <c r="E10990" s="59"/>
    </row>
    <row r="10991" spans="3:5" x14ac:dyDescent="0.15">
      <c r="C10991" s="255" t="s">
        <v>984</v>
      </c>
      <c r="D10991" s="59">
        <v>0</v>
      </c>
      <c r="E10991" s="59"/>
    </row>
    <row r="10992" spans="3:5" x14ac:dyDescent="0.15">
      <c r="C10992" s="255" t="s">
        <v>985</v>
      </c>
      <c r="D10992" s="59">
        <v>1163.5</v>
      </c>
      <c r="E10992" s="59"/>
    </row>
    <row r="10993" spans="3:5" x14ac:dyDescent="0.15">
      <c r="C10993" s="255" t="s">
        <v>986</v>
      </c>
      <c r="D10993" s="59">
        <v>934.1</v>
      </c>
      <c r="E10993" s="59"/>
    </row>
    <row r="10994" spans="3:5" x14ac:dyDescent="0.15">
      <c r="C10994" s="255" t="s">
        <v>987</v>
      </c>
      <c r="D10994" s="59">
        <v>316.89999999999998</v>
      </c>
      <c r="E10994" s="59"/>
    </row>
    <row r="10995" spans="3:5" x14ac:dyDescent="0.15">
      <c r="C10995" s="255" t="s">
        <v>988</v>
      </c>
      <c r="D10995" s="59">
        <v>1259.0999999999999</v>
      </c>
      <c r="E10995" s="59"/>
    </row>
    <row r="10996" spans="3:5" x14ac:dyDescent="0.15">
      <c r="C10996" s="255" t="s">
        <v>989</v>
      </c>
      <c r="D10996" s="59">
        <v>1395</v>
      </c>
      <c r="E10996" s="59"/>
    </row>
    <row r="10997" spans="3:5" x14ac:dyDescent="0.15">
      <c r="C10997" s="255" t="s">
        <v>990</v>
      </c>
      <c r="D10997" s="59">
        <v>166.8</v>
      </c>
      <c r="E10997" s="59"/>
    </row>
    <row r="10998" spans="3:5" x14ac:dyDescent="0.15">
      <c r="C10998" s="255" t="s">
        <v>991</v>
      </c>
      <c r="D10998" s="59">
        <v>5302.8</v>
      </c>
      <c r="E10998" s="59"/>
    </row>
    <row r="10999" spans="3:5" x14ac:dyDescent="0.15">
      <c r="C10999" s="255" t="s">
        <v>992</v>
      </c>
      <c r="D10999" s="59">
        <v>20.6</v>
      </c>
      <c r="E10999" s="59"/>
    </row>
    <row r="11000" spans="3:5" x14ac:dyDescent="0.15">
      <c r="C11000" s="255" t="s">
        <v>993</v>
      </c>
      <c r="D11000" s="59">
        <v>232.2</v>
      </c>
      <c r="E11000" s="59"/>
    </row>
    <row r="11001" spans="3:5" x14ac:dyDescent="0.15">
      <c r="C11001" s="255" t="s">
        <v>994</v>
      </c>
      <c r="D11001" s="59">
        <v>0</v>
      </c>
      <c r="E11001" s="59"/>
    </row>
    <row r="11002" spans="3:5" x14ac:dyDescent="0.15">
      <c r="C11002" s="255" t="s">
        <v>995</v>
      </c>
      <c r="D11002" s="59">
        <v>825.4</v>
      </c>
      <c r="E11002" s="59"/>
    </row>
    <row r="11003" spans="3:5" x14ac:dyDescent="0.15">
      <c r="C11003" s="255" t="s">
        <v>996</v>
      </c>
      <c r="D11003" s="59">
        <v>233</v>
      </c>
      <c r="E11003" s="59"/>
    </row>
    <row r="11004" spans="3:5" x14ac:dyDescent="0.15">
      <c r="C11004" s="255" t="s">
        <v>997</v>
      </c>
      <c r="D11004" s="59">
        <v>564.79999999999995</v>
      </c>
      <c r="E11004" s="59"/>
    </row>
    <row r="11005" spans="3:5" x14ac:dyDescent="0.15">
      <c r="C11005" s="255" t="s">
        <v>998</v>
      </c>
      <c r="D11005" s="59">
        <v>83.6</v>
      </c>
      <c r="E11005" s="59"/>
    </row>
    <row r="11006" spans="3:5" x14ac:dyDescent="0.15">
      <c r="C11006" s="255" t="s">
        <v>999</v>
      </c>
      <c r="D11006" s="59">
        <v>0</v>
      </c>
      <c r="E11006" s="59"/>
    </row>
    <row r="11007" spans="3:5" x14ac:dyDescent="0.15">
      <c r="C11007" s="255" t="s">
        <v>1000</v>
      </c>
      <c r="D11007" s="59">
        <v>968.1</v>
      </c>
      <c r="E11007" s="59"/>
    </row>
    <row r="11008" spans="3:5" x14ac:dyDescent="0.15">
      <c r="C11008" s="255" t="s">
        <v>1001</v>
      </c>
      <c r="D11008" s="59">
        <v>343.1</v>
      </c>
      <c r="E11008" s="59"/>
    </row>
    <row r="11009" spans="3:5" x14ac:dyDescent="0.15">
      <c r="C11009" s="255" t="s">
        <v>1002</v>
      </c>
      <c r="D11009" s="59">
        <v>105.5</v>
      </c>
      <c r="E11009" s="59"/>
    </row>
    <row r="11010" spans="3:5" x14ac:dyDescent="0.15">
      <c r="C11010" s="255" t="s">
        <v>1003</v>
      </c>
      <c r="D11010" s="59">
        <v>75.8</v>
      </c>
      <c r="E11010" s="59"/>
    </row>
    <row r="11011" spans="3:5" x14ac:dyDescent="0.15">
      <c r="C11011" s="255" t="s">
        <v>1004</v>
      </c>
      <c r="D11011" s="59">
        <v>67.599999999999994</v>
      </c>
      <c r="E11011" s="59"/>
    </row>
    <row r="11012" spans="3:5" x14ac:dyDescent="0.15">
      <c r="C11012" s="255" t="s">
        <v>1005</v>
      </c>
      <c r="D11012" s="59">
        <v>20.399999999999999</v>
      </c>
      <c r="E11012" s="59"/>
    </row>
    <row r="11013" spans="3:5" x14ac:dyDescent="0.15">
      <c r="C11013" s="255" t="s">
        <v>1006</v>
      </c>
      <c r="D11013" s="59">
        <v>5115.6000000000004</v>
      </c>
      <c r="E11013" s="59"/>
    </row>
    <row r="11014" spans="3:5" x14ac:dyDescent="0.15">
      <c r="C11014" s="255" t="s">
        <v>1007</v>
      </c>
      <c r="D11014" s="59">
        <v>1080.3</v>
      </c>
      <c r="E11014" s="59"/>
    </row>
    <row r="11015" spans="3:5" x14ac:dyDescent="0.15">
      <c r="C11015" s="255" t="s">
        <v>1008</v>
      </c>
      <c r="D11015" s="59">
        <v>186.9</v>
      </c>
      <c r="E11015" s="59"/>
    </row>
    <row r="11016" spans="3:5" x14ac:dyDescent="0.15">
      <c r="C11016" s="255" t="s">
        <v>1009</v>
      </c>
      <c r="D11016" s="59">
        <v>737.6</v>
      </c>
      <c r="E11016" s="59"/>
    </row>
    <row r="11017" spans="3:5" x14ac:dyDescent="0.15">
      <c r="C11017" s="255" t="s">
        <v>1010</v>
      </c>
      <c r="D11017" s="59">
        <v>98.8</v>
      </c>
      <c r="E11017" s="59"/>
    </row>
    <row r="11018" spans="3:5" x14ac:dyDescent="0.15">
      <c r="C11018" s="255" t="s">
        <v>1011</v>
      </c>
      <c r="D11018" s="59">
        <v>57</v>
      </c>
      <c r="E11018" s="59"/>
    </row>
    <row r="11019" spans="3:5" x14ac:dyDescent="0.15">
      <c r="C11019" s="255" t="s">
        <v>1012</v>
      </c>
      <c r="D11019" s="59">
        <v>13752.6</v>
      </c>
      <c r="E11019" s="59"/>
    </row>
    <row r="11020" spans="3:5" x14ac:dyDescent="0.15">
      <c r="C11020" s="255" t="s">
        <v>1013</v>
      </c>
      <c r="D11020" s="59">
        <v>7773.3</v>
      </c>
      <c r="E11020" s="59"/>
    </row>
    <row r="11021" spans="3:5" x14ac:dyDescent="0.15">
      <c r="C11021" s="255" t="s">
        <v>1014</v>
      </c>
      <c r="D11021" s="59">
        <v>2609.9</v>
      </c>
      <c r="E11021" s="59"/>
    </row>
    <row r="11022" spans="3:5" x14ac:dyDescent="0.15">
      <c r="C11022" s="255" t="s">
        <v>1015</v>
      </c>
      <c r="D11022" s="59">
        <v>1040.0999999999999</v>
      </c>
      <c r="E11022" s="59"/>
    </row>
    <row r="11023" spans="3:5" x14ac:dyDescent="0.15">
      <c r="C11023" s="255" t="s">
        <v>1016</v>
      </c>
      <c r="D11023" s="59">
        <v>1025.7</v>
      </c>
      <c r="E11023" s="59"/>
    </row>
    <row r="11024" spans="3:5" x14ac:dyDescent="0.15">
      <c r="C11024" s="255" t="s">
        <v>1017</v>
      </c>
      <c r="D11024" s="59">
        <v>1303.5999999999999</v>
      </c>
      <c r="E11024" s="59"/>
    </row>
    <row r="11025" spans="3:5" x14ac:dyDescent="0.15">
      <c r="C11025" s="255" t="s">
        <v>1018</v>
      </c>
      <c r="D11025" s="59">
        <v>0</v>
      </c>
      <c r="E11025" s="59"/>
    </row>
    <row r="11026" spans="3:5" x14ac:dyDescent="0.15">
      <c r="C11026" s="255" t="s">
        <v>1019</v>
      </c>
      <c r="D11026" s="59">
        <v>27503.1</v>
      </c>
      <c r="E11026" s="59"/>
    </row>
    <row r="11027" spans="3:5" x14ac:dyDescent="0.15">
      <c r="C11027" s="255" t="s">
        <v>1020</v>
      </c>
      <c r="D11027" s="59">
        <v>483.2</v>
      </c>
      <c r="E11027" s="59"/>
    </row>
    <row r="11028" spans="3:5" x14ac:dyDescent="0.15">
      <c r="C11028" s="255" t="s">
        <v>1021</v>
      </c>
      <c r="D11028" s="59">
        <v>842.8</v>
      </c>
      <c r="E11028" s="59"/>
    </row>
    <row r="11029" spans="3:5" x14ac:dyDescent="0.15">
      <c r="C11029" s="255" t="s">
        <v>1022</v>
      </c>
      <c r="D11029" s="59">
        <v>240</v>
      </c>
      <c r="E11029" s="59"/>
    </row>
    <row r="11030" spans="3:5" x14ac:dyDescent="0.15">
      <c r="C11030" s="255" t="s">
        <v>1023</v>
      </c>
      <c r="D11030" s="59">
        <v>267.7</v>
      </c>
      <c r="E11030" s="59"/>
    </row>
    <row r="11031" spans="3:5" x14ac:dyDescent="0.15">
      <c r="C11031" s="255" t="s">
        <v>1024</v>
      </c>
      <c r="D11031" s="59">
        <v>100.4</v>
      </c>
      <c r="E11031" s="59"/>
    </row>
    <row r="11032" spans="3:5" x14ac:dyDescent="0.15">
      <c r="C11032" s="255" t="s">
        <v>1025</v>
      </c>
      <c r="D11032" s="59">
        <v>162</v>
      </c>
      <c r="E11032" s="59"/>
    </row>
    <row r="11033" spans="3:5" x14ac:dyDescent="0.15">
      <c r="C11033" s="255" t="s">
        <v>1026</v>
      </c>
      <c r="D11033" s="59">
        <v>2912.5</v>
      </c>
      <c r="E11033" s="59"/>
    </row>
    <row r="11034" spans="3:5" x14ac:dyDescent="0.15">
      <c r="C11034" s="255" t="s">
        <v>1027</v>
      </c>
      <c r="D11034" s="59">
        <v>0</v>
      </c>
      <c r="E11034" s="59"/>
    </row>
    <row r="11035" spans="3:5" x14ac:dyDescent="0.15">
      <c r="C11035" s="255" t="s">
        <v>1028</v>
      </c>
      <c r="D11035" s="59">
        <v>476.1</v>
      </c>
      <c r="E11035" s="59"/>
    </row>
    <row r="11036" spans="3:5" x14ac:dyDescent="0.15">
      <c r="C11036" s="255" t="s">
        <v>1029</v>
      </c>
      <c r="D11036" s="59">
        <v>333.4</v>
      </c>
      <c r="E11036" s="59"/>
    </row>
    <row r="11037" spans="3:5" x14ac:dyDescent="0.15">
      <c r="C11037" s="255" t="s">
        <v>1030</v>
      </c>
      <c r="D11037" s="59">
        <v>111.3</v>
      </c>
      <c r="E11037" s="59"/>
    </row>
    <row r="11038" spans="3:5" x14ac:dyDescent="0.15">
      <c r="C11038" s="255" t="s">
        <v>1031</v>
      </c>
      <c r="D11038" s="59">
        <v>205.1</v>
      </c>
      <c r="E11038" s="59"/>
    </row>
    <row r="11039" spans="3:5" x14ac:dyDescent="0.15">
      <c r="C11039" s="255" t="s">
        <v>1032</v>
      </c>
      <c r="D11039" s="59">
        <v>1554.3</v>
      </c>
      <c r="E11039" s="59"/>
    </row>
    <row r="11040" spans="3:5" x14ac:dyDescent="0.15">
      <c r="C11040" s="255" t="s">
        <v>1033</v>
      </c>
      <c r="D11040" s="59">
        <v>0</v>
      </c>
      <c r="E11040" s="59"/>
    </row>
    <row r="11041" spans="3:5" x14ac:dyDescent="0.15">
      <c r="C11041" s="255" t="s">
        <v>1034</v>
      </c>
      <c r="D11041" s="59">
        <v>159.1</v>
      </c>
      <c r="E11041" s="59"/>
    </row>
    <row r="11042" spans="3:5" x14ac:dyDescent="0.15">
      <c r="C11042" s="255" t="s">
        <v>1035</v>
      </c>
      <c r="D11042" s="59">
        <v>1944</v>
      </c>
      <c r="E11042" s="59"/>
    </row>
    <row r="11043" spans="3:5" x14ac:dyDescent="0.15">
      <c r="C11043" s="255" t="s">
        <v>1036</v>
      </c>
      <c r="D11043" s="59">
        <v>0</v>
      </c>
      <c r="E11043" s="59"/>
    </row>
    <row r="11044" spans="3:5" x14ac:dyDescent="0.15">
      <c r="C11044" s="255" t="s">
        <v>1037</v>
      </c>
      <c r="D11044" s="59">
        <v>1181.3</v>
      </c>
      <c r="E11044" s="59"/>
    </row>
    <row r="11045" spans="3:5" x14ac:dyDescent="0.15">
      <c r="C11045" s="255" t="s">
        <v>1038</v>
      </c>
      <c r="D11045" s="59">
        <v>5166.6000000000004</v>
      </c>
      <c r="E11045" s="59"/>
    </row>
    <row r="11046" spans="3:5" x14ac:dyDescent="0.15">
      <c r="C11046" s="255" t="s">
        <v>1039</v>
      </c>
      <c r="D11046" s="59">
        <v>1261.2</v>
      </c>
      <c r="E11046" s="59"/>
    </row>
    <row r="11047" spans="3:5" x14ac:dyDescent="0.15">
      <c r="C11047" s="255" t="s">
        <v>1040</v>
      </c>
      <c r="D11047" s="59">
        <v>5288.2</v>
      </c>
      <c r="E11047" s="59"/>
    </row>
    <row r="11048" spans="3:5" x14ac:dyDescent="0.15">
      <c r="C11048" s="255" t="s">
        <v>1041</v>
      </c>
      <c r="D11048" s="59">
        <v>411.8</v>
      </c>
      <c r="E11048" s="59"/>
    </row>
    <row r="11049" spans="3:5" x14ac:dyDescent="0.15">
      <c r="C11049" s="255" t="s">
        <v>1042</v>
      </c>
      <c r="D11049" s="59">
        <v>2693.5</v>
      </c>
      <c r="E11049" s="59"/>
    </row>
    <row r="11050" spans="3:5" x14ac:dyDescent="0.15">
      <c r="C11050" s="255" t="s">
        <v>1043</v>
      </c>
      <c r="D11050" s="59">
        <v>715.2</v>
      </c>
      <c r="E11050" s="59"/>
    </row>
    <row r="11051" spans="3:5" x14ac:dyDescent="0.15">
      <c r="C11051" s="255" t="s">
        <v>1044</v>
      </c>
      <c r="D11051" s="59">
        <v>235.5</v>
      </c>
      <c r="E11051" s="59"/>
    </row>
    <row r="11052" spans="3:5" x14ac:dyDescent="0.15">
      <c r="C11052" s="255" t="s">
        <v>1045</v>
      </c>
      <c r="D11052" s="59">
        <v>91.9</v>
      </c>
      <c r="E11052" s="59"/>
    </row>
    <row r="11053" spans="3:5" x14ac:dyDescent="0.15">
      <c r="C11053" s="255" t="s">
        <v>1046</v>
      </c>
      <c r="D11053" s="59">
        <v>308.60000000000002</v>
      </c>
      <c r="E11053" s="59"/>
    </row>
    <row r="11054" spans="3:5" x14ac:dyDescent="0.15">
      <c r="C11054" s="255" t="s">
        <v>1047</v>
      </c>
      <c r="D11054" s="59">
        <v>266.60000000000002</v>
      </c>
      <c r="E11054" s="59"/>
    </row>
    <row r="11055" spans="3:5" x14ac:dyDescent="0.15">
      <c r="C11055" s="255" t="s">
        <v>1048</v>
      </c>
      <c r="D11055" s="59">
        <v>90.6</v>
      </c>
      <c r="E11055" s="59"/>
    </row>
    <row r="11057" spans="1:1" ht="15" x14ac:dyDescent="0.2">
      <c r="A11057" s="254" t="s">
        <v>1074</v>
      </c>
    </row>
  </sheetData>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AK104"/>
  <sheetViews>
    <sheetView zoomScale="125" zoomScaleNormal="125" zoomScalePageLayoutView="150" workbookViewId="0">
      <pane xSplit="4" ySplit="3" topLeftCell="E16" activePane="bottomRight" state="frozen"/>
      <selection pane="topRight" activeCell="C1" sqref="C1"/>
      <selection pane="bottomLeft" activeCell="A4" sqref="A4"/>
      <selection pane="bottomRight" activeCell="N34" sqref="N34"/>
    </sheetView>
  </sheetViews>
  <sheetFormatPr baseColWidth="10" defaultColWidth="9" defaultRowHeight="12" x14ac:dyDescent="0.15"/>
  <cols>
    <col min="1" max="1" width="3.6640625" style="3" customWidth="1"/>
    <col min="2" max="2" width="4.83203125" style="3" customWidth="1"/>
    <col min="3" max="3" width="5.5" style="3" customWidth="1"/>
    <col min="4" max="4" width="15.6640625" style="3" customWidth="1"/>
    <col min="5" max="5" width="19" style="3" customWidth="1"/>
    <col min="6" max="6" width="9.6640625" style="3" customWidth="1"/>
    <col min="7" max="7" width="7.83203125" style="3" customWidth="1"/>
    <col min="8" max="8" width="8.5" style="3" customWidth="1"/>
    <col min="9" max="9" width="7.83203125" style="3" customWidth="1"/>
    <col min="10" max="10" width="8" style="3" customWidth="1"/>
    <col min="11" max="11" width="8.5" style="3" customWidth="1"/>
    <col min="12" max="12" width="10" style="3" customWidth="1"/>
    <col min="13" max="13" width="7.1640625" style="3" customWidth="1"/>
    <col min="14" max="14" width="7.5" style="3" customWidth="1"/>
    <col min="15" max="15" width="8.1640625" style="3" customWidth="1"/>
    <col min="16" max="16" width="6.6640625" style="3" customWidth="1"/>
    <col min="17" max="17" width="8" style="3" customWidth="1"/>
    <col min="18" max="18" width="4.33203125" style="3" customWidth="1"/>
    <col min="19" max="19" width="5.6640625" style="3" customWidth="1"/>
    <col min="20" max="20" width="12.33203125" style="3" customWidth="1"/>
    <col min="21" max="21" width="13" style="3" customWidth="1"/>
    <col min="22" max="22" width="14.1640625" style="3" customWidth="1"/>
    <col min="23" max="23" width="11.83203125" style="3" customWidth="1"/>
    <col min="24" max="24" width="5.33203125" style="3" customWidth="1"/>
    <col min="25" max="25" width="8" style="3" customWidth="1"/>
    <col min="26" max="26" width="10.33203125" style="3" customWidth="1"/>
    <col min="27" max="27" width="10" style="3" customWidth="1"/>
    <col min="28" max="29" width="10.5" style="3" customWidth="1"/>
    <col min="30" max="30" width="11.5" style="3" customWidth="1"/>
    <col min="31" max="31" width="9.83203125" style="3" customWidth="1"/>
    <col min="32" max="32" width="10.33203125" style="3" customWidth="1"/>
    <col min="33" max="33" width="9.6640625" style="3" customWidth="1"/>
    <col min="34" max="34" width="9.83203125" style="3" customWidth="1"/>
    <col min="35" max="35" width="11" style="3" customWidth="1"/>
    <col min="36" max="36" width="9.33203125" style="3" customWidth="1"/>
    <col min="37" max="37" width="9" style="3" customWidth="1"/>
    <col min="38" max="16384" width="9" style="3"/>
  </cols>
  <sheetData>
    <row r="1" spans="2:37" x14ac:dyDescent="0.15">
      <c r="B1" s="3">
        <v>1</v>
      </c>
      <c r="C1" s="3">
        <f>B1+1</f>
        <v>2</v>
      </c>
      <c r="D1" s="3">
        <f t="shared" ref="D1:AK1" si="0">C1+1</f>
        <v>3</v>
      </c>
      <c r="E1" s="3">
        <f t="shared" si="0"/>
        <v>4</v>
      </c>
      <c r="F1" s="3">
        <f t="shared" si="0"/>
        <v>5</v>
      </c>
      <c r="G1" s="3">
        <f t="shared" si="0"/>
        <v>6</v>
      </c>
      <c r="H1" s="3">
        <f t="shared" si="0"/>
        <v>7</v>
      </c>
      <c r="I1" s="3">
        <f t="shared" si="0"/>
        <v>8</v>
      </c>
      <c r="J1" s="3">
        <f t="shared" si="0"/>
        <v>9</v>
      </c>
      <c r="K1" s="3">
        <f t="shared" si="0"/>
        <v>10</v>
      </c>
      <c r="L1" s="3">
        <f t="shared" si="0"/>
        <v>11</v>
      </c>
      <c r="M1" s="3">
        <f t="shared" si="0"/>
        <v>12</v>
      </c>
      <c r="N1" s="3">
        <f t="shared" si="0"/>
        <v>13</v>
      </c>
      <c r="O1" s="3">
        <f t="shared" si="0"/>
        <v>14</v>
      </c>
      <c r="P1" s="3">
        <f t="shared" si="0"/>
        <v>15</v>
      </c>
      <c r="Q1" s="3">
        <f t="shared" si="0"/>
        <v>16</v>
      </c>
      <c r="R1" s="3">
        <f>Q1+1</f>
        <v>17</v>
      </c>
      <c r="S1" s="3">
        <f>R1+1</f>
        <v>18</v>
      </c>
      <c r="T1" s="3">
        <f t="shared" si="0"/>
        <v>19</v>
      </c>
      <c r="U1" s="3">
        <f t="shared" si="0"/>
        <v>20</v>
      </c>
      <c r="V1" s="3">
        <f t="shared" si="0"/>
        <v>21</v>
      </c>
      <c r="W1" s="3">
        <f t="shared" si="0"/>
        <v>22</v>
      </c>
      <c r="X1" s="3">
        <f t="shared" si="0"/>
        <v>23</v>
      </c>
      <c r="Y1" s="3">
        <f t="shared" si="0"/>
        <v>24</v>
      </c>
      <c r="Z1" s="3">
        <f t="shared" si="0"/>
        <v>25</v>
      </c>
      <c r="AA1" s="3">
        <f t="shared" si="0"/>
        <v>26</v>
      </c>
      <c r="AB1" s="3">
        <f t="shared" si="0"/>
        <v>27</v>
      </c>
      <c r="AC1" s="3">
        <f t="shared" si="0"/>
        <v>28</v>
      </c>
      <c r="AD1" s="3">
        <f t="shared" si="0"/>
        <v>29</v>
      </c>
      <c r="AE1" s="3">
        <f t="shared" si="0"/>
        <v>30</v>
      </c>
      <c r="AF1" s="3">
        <f t="shared" si="0"/>
        <v>31</v>
      </c>
      <c r="AG1" s="3">
        <f t="shared" si="0"/>
        <v>32</v>
      </c>
      <c r="AH1" s="3">
        <f t="shared" si="0"/>
        <v>33</v>
      </c>
      <c r="AI1" s="3">
        <f t="shared" si="0"/>
        <v>34</v>
      </c>
      <c r="AJ1" s="3">
        <f t="shared" si="0"/>
        <v>35</v>
      </c>
      <c r="AK1" s="3">
        <f t="shared" si="0"/>
        <v>36</v>
      </c>
    </row>
    <row r="2" spans="2:37" ht="34" customHeight="1" thickBot="1" x14ac:dyDescent="0.2">
      <c r="B2" s="159">
        <v>2020</v>
      </c>
      <c r="C2" s="159" t="s">
        <v>562</v>
      </c>
      <c r="D2" s="159" t="s">
        <v>180</v>
      </c>
      <c r="E2" s="159" t="s">
        <v>181</v>
      </c>
      <c r="F2" s="176" t="s">
        <v>311</v>
      </c>
      <c r="G2" s="175" t="s">
        <v>596</v>
      </c>
      <c r="H2" s="175" t="s">
        <v>236</v>
      </c>
      <c r="I2" s="177" t="s">
        <v>172</v>
      </c>
      <c r="J2" s="174" t="s">
        <v>596</v>
      </c>
      <c r="K2" s="174" t="s">
        <v>236</v>
      </c>
      <c r="L2" s="178" t="s">
        <v>173</v>
      </c>
      <c r="M2" s="159" t="s">
        <v>596</v>
      </c>
      <c r="N2" s="159" t="s">
        <v>236</v>
      </c>
      <c r="O2" s="176" t="s">
        <v>312</v>
      </c>
      <c r="P2" s="175" t="s">
        <v>595</v>
      </c>
      <c r="Q2" s="175" t="s">
        <v>236</v>
      </c>
      <c r="R2" s="10"/>
      <c r="S2" s="10"/>
      <c r="T2" s="159" t="s">
        <v>1138</v>
      </c>
      <c r="U2" s="159" t="s">
        <v>1138</v>
      </c>
      <c r="V2" s="159" t="s">
        <v>94</v>
      </c>
      <c r="W2" s="159" t="s">
        <v>353</v>
      </c>
      <c r="X2" s="159"/>
      <c r="Y2" s="159" t="s">
        <v>689</v>
      </c>
      <c r="Z2" s="159" t="s">
        <v>563</v>
      </c>
      <c r="AA2" s="159" t="s">
        <v>568</v>
      </c>
      <c r="AB2" s="159" t="s">
        <v>403</v>
      </c>
      <c r="AC2" s="159" t="s">
        <v>564</v>
      </c>
      <c r="AD2" s="159" t="s">
        <v>306</v>
      </c>
      <c r="AE2" s="159" t="s">
        <v>307</v>
      </c>
      <c r="AF2" s="159" t="s">
        <v>565</v>
      </c>
      <c r="AG2" s="159" t="s">
        <v>308</v>
      </c>
      <c r="AH2" s="159" t="s">
        <v>566</v>
      </c>
      <c r="AI2" s="159" t="s">
        <v>567</v>
      </c>
      <c r="AJ2" s="159" t="s">
        <v>309</v>
      </c>
      <c r="AK2" s="159" t="s">
        <v>310</v>
      </c>
    </row>
    <row r="3" spans="2:37" ht="24" customHeight="1" x14ac:dyDescent="0.15">
      <c r="B3" s="159"/>
      <c r="C3" s="7"/>
      <c r="D3" s="159" t="s">
        <v>1295</v>
      </c>
      <c r="E3" s="8"/>
      <c r="F3" s="159" t="s">
        <v>193</v>
      </c>
      <c r="G3" s="159"/>
      <c r="H3" s="159"/>
      <c r="I3" s="159" t="s">
        <v>193</v>
      </c>
      <c r="J3" s="159"/>
      <c r="K3" s="159"/>
      <c r="L3" s="159" t="s">
        <v>62</v>
      </c>
      <c r="M3" s="159"/>
      <c r="N3" s="159"/>
      <c r="O3" s="159" t="s">
        <v>63</v>
      </c>
      <c r="P3" s="159"/>
      <c r="Q3" s="159"/>
      <c r="R3" s="10"/>
      <c r="S3" s="10"/>
      <c r="T3" s="159" t="s">
        <v>401</v>
      </c>
      <c r="U3" s="159" t="s">
        <v>402</v>
      </c>
      <c r="V3" s="159"/>
      <c r="W3" s="159"/>
      <c r="X3" s="159"/>
      <c r="Y3" s="159"/>
      <c r="Z3" s="159" t="s">
        <v>2</v>
      </c>
      <c r="AA3" s="159" t="s">
        <v>2</v>
      </c>
      <c r="AB3" s="159" t="s">
        <v>2</v>
      </c>
      <c r="AC3" s="159" t="s">
        <v>3</v>
      </c>
      <c r="AD3" s="159" t="s">
        <v>3</v>
      </c>
      <c r="AE3" s="159" t="s">
        <v>3</v>
      </c>
      <c r="AF3" s="159" t="s">
        <v>316</v>
      </c>
      <c r="AG3" s="159" t="s">
        <v>316</v>
      </c>
      <c r="AH3" s="159" t="s">
        <v>316</v>
      </c>
      <c r="AI3" s="159" t="s">
        <v>317</v>
      </c>
      <c r="AJ3" s="159" t="s">
        <v>317</v>
      </c>
      <c r="AK3" s="159" t="s">
        <v>317</v>
      </c>
    </row>
    <row r="4" spans="2:37" customFormat="1" ht="13" x14ac:dyDescent="0.15">
      <c r="B4">
        <v>1</v>
      </c>
      <c r="C4">
        <v>165</v>
      </c>
      <c r="D4" s="14" t="s">
        <v>106</v>
      </c>
      <c r="E4" t="s">
        <v>175</v>
      </c>
      <c r="F4" s="10"/>
      <c r="G4" s="9"/>
      <c r="H4" s="287">
        <v>3489</v>
      </c>
      <c r="I4" s="10"/>
      <c r="J4" s="9"/>
      <c r="K4" s="10"/>
      <c r="L4" s="252"/>
      <c r="M4" s="9"/>
      <c r="N4" s="10">
        <v>2001</v>
      </c>
      <c r="O4" s="10"/>
      <c r="P4" s="9"/>
      <c r="Q4" s="10">
        <v>1673</v>
      </c>
      <c r="R4" s="10"/>
      <c r="S4" s="180"/>
      <c r="T4" s="83">
        <f>Modeller!$I$115</f>
        <v>55.287115384615376</v>
      </c>
      <c r="U4" s="83">
        <f>Modeller!$J$115</f>
        <v>728.43124999999998</v>
      </c>
      <c r="V4" s="83">
        <v>3434</v>
      </c>
      <c r="W4" s="83">
        <v>5764</v>
      </c>
      <c r="X4" s="83"/>
      <c r="Y4" s="83"/>
      <c r="Z4" s="295">
        <v>3700</v>
      </c>
      <c r="AA4" s="295">
        <v>3700</v>
      </c>
      <c r="AB4" s="295">
        <v>3700</v>
      </c>
      <c r="AC4" s="295">
        <v>4700</v>
      </c>
      <c r="AD4" s="295">
        <v>4700</v>
      </c>
      <c r="AE4" s="295">
        <v>4700</v>
      </c>
      <c r="AF4" s="295">
        <v>6000</v>
      </c>
      <c r="AG4" s="295">
        <v>6000</v>
      </c>
      <c r="AH4" s="295">
        <v>6000</v>
      </c>
      <c r="AI4" s="295">
        <v>7500</v>
      </c>
      <c r="AJ4" s="295">
        <v>7500</v>
      </c>
      <c r="AK4" s="5">
        <v>7500</v>
      </c>
    </row>
    <row r="5" spans="2:37" customFormat="1" ht="13" x14ac:dyDescent="0.15">
      <c r="B5">
        <f t="shared" ref="B5:B36" si="1">B4+1</f>
        <v>2</v>
      </c>
      <c r="C5">
        <v>201</v>
      </c>
      <c r="D5" s="14" t="s">
        <v>107</v>
      </c>
      <c r="E5" t="s">
        <v>175</v>
      </c>
      <c r="F5" s="10"/>
      <c r="G5" s="9"/>
      <c r="H5" s="287">
        <v>2894</v>
      </c>
      <c r="I5" s="10"/>
      <c r="J5" s="9"/>
      <c r="K5" s="10"/>
      <c r="L5" s="10"/>
      <c r="M5" s="9"/>
      <c r="N5" s="10">
        <v>1683</v>
      </c>
      <c r="O5" s="10"/>
      <c r="P5" s="9"/>
      <c r="Q5" s="10">
        <v>1443</v>
      </c>
      <c r="R5" s="10"/>
      <c r="S5" s="180"/>
      <c r="T5" s="83">
        <f>Modeller!$I$115</f>
        <v>55.287115384615376</v>
      </c>
      <c r="U5" s="83">
        <f>Modeller!$J$115</f>
        <v>728.43124999999998</v>
      </c>
      <c r="V5" s="83">
        <v>3731</v>
      </c>
      <c r="W5" s="83">
        <v>6907</v>
      </c>
      <c r="X5" s="83"/>
      <c r="Y5" s="83"/>
      <c r="Z5" s="295">
        <v>3700</v>
      </c>
      <c r="AA5" s="295">
        <v>3700</v>
      </c>
      <c r="AB5" s="295">
        <v>3700</v>
      </c>
      <c r="AC5" s="295">
        <v>4700</v>
      </c>
      <c r="AD5" s="295">
        <v>4700</v>
      </c>
      <c r="AE5" s="295">
        <v>4700</v>
      </c>
      <c r="AF5" s="295">
        <v>6000</v>
      </c>
      <c r="AG5" s="295">
        <v>6000</v>
      </c>
      <c r="AH5" s="295">
        <v>6000</v>
      </c>
      <c r="AI5" s="295">
        <v>7500</v>
      </c>
      <c r="AJ5" s="295">
        <v>7500</v>
      </c>
      <c r="AK5" s="5">
        <v>7500</v>
      </c>
    </row>
    <row r="6" spans="2:37" customFormat="1" ht="13" x14ac:dyDescent="0.15">
      <c r="B6">
        <f t="shared" si="1"/>
        <v>3</v>
      </c>
      <c r="C6">
        <v>420</v>
      </c>
      <c r="D6" s="14" t="s">
        <v>149</v>
      </c>
      <c r="E6" t="s">
        <v>177</v>
      </c>
      <c r="F6" s="10"/>
      <c r="G6" s="9"/>
      <c r="H6" s="287">
        <v>3321</v>
      </c>
      <c r="I6" s="10"/>
      <c r="J6" s="9"/>
      <c r="K6" s="10"/>
      <c r="L6" s="10"/>
      <c r="M6" s="9"/>
      <c r="N6" s="10">
        <v>1679</v>
      </c>
      <c r="O6" s="10"/>
      <c r="P6" s="9"/>
      <c r="Q6" s="10">
        <v>1607</v>
      </c>
      <c r="R6" s="9"/>
      <c r="S6" s="180"/>
      <c r="T6" s="83">
        <f>Modeller!$I$115</f>
        <v>55.287115384615376</v>
      </c>
      <c r="U6" s="83">
        <f>Modeller!$J$115</f>
        <v>728.43124999999998</v>
      </c>
      <c r="V6" s="83">
        <v>2132</v>
      </c>
      <c r="W6" s="83">
        <v>4941</v>
      </c>
      <c r="X6" s="83"/>
      <c r="Y6" s="83"/>
      <c r="Z6" s="295">
        <v>3700</v>
      </c>
      <c r="AA6" s="295">
        <v>3700</v>
      </c>
      <c r="AB6" s="295">
        <v>3700</v>
      </c>
      <c r="AC6" s="295">
        <v>4700</v>
      </c>
      <c r="AD6" s="295">
        <v>4700</v>
      </c>
      <c r="AE6" s="295">
        <v>4700</v>
      </c>
      <c r="AF6" s="295">
        <v>6000</v>
      </c>
      <c r="AG6" s="295">
        <v>6000</v>
      </c>
      <c r="AH6" s="295">
        <v>6000</v>
      </c>
      <c r="AI6" s="295">
        <v>7500</v>
      </c>
      <c r="AJ6" s="295">
        <v>7500</v>
      </c>
      <c r="AK6" s="5">
        <v>7500</v>
      </c>
    </row>
    <row r="7" spans="2:37" customFormat="1" ht="13" x14ac:dyDescent="0.15">
      <c r="B7">
        <f t="shared" si="1"/>
        <v>4</v>
      </c>
      <c r="C7">
        <v>151</v>
      </c>
      <c r="D7" s="14" t="s">
        <v>108</v>
      </c>
      <c r="E7" t="s">
        <v>175</v>
      </c>
      <c r="F7" s="10"/>
      <c r="G7" s="9"/>
      <c r="H7" s="287">
        <v>3106</v>
      </c>
      <c r="I7" s="10"/>
      <c r="J7" s="9"/>
      <c r="K7" s="10"/>
      <c r="L7" s="10"/>
      <c r="M7" s="9"/>
      <c r="N7" s="10">
        <v>2070</v>
      </c>
      <c r="O7" s="10"/>
      <c r="P7" s="9"/>
      <c r="Q7" s="10">
        <v>1350</v>
      </c>
      <c r="R7" s="9"/>
      <c r="S7" s="180"/>
      <c r="T7" s="83">
        <f>Modeller!$I$115</f>
        <v>55.287115384615376</v>
      </c>
      <c r="U7" s="83">
        <f>Modeller!$J$115</f>
        <v>728.43124999999998</v>
      </c>
      <c r="V7" s="83">
        <v>3222</v>
      </c>
      <c r="W7" s="83">
        <v>6166</v>
      </c>
      <c r="X7" s="83"/>
      <c r="Y7" s="83"/>
      <c r="Z7" s="295">
        <v>3700</v>
      </c>
      <c r="AA7" s="295">
        <v>3700</v>
      </c>
      <c r="AB7" s="295">
        <v>3700</v>
      </c>
      <c r="AC7" s="295">
        <v>4700</v>
      </c>
      <c r="AD7" s="295">
        <v>4700</v>
      </c>
      <c r="AE7" s="295">
        <v>4700</v>
      </c>
      <c r="AF7" s="295">
        <v>6000</v>
      </c>
      <c r="AG7" s="295">
        <v>6000</v>
      </c>
      <c r="AH7" s="295">
        <v>6000</v>
      </c>
      <c r="AI7" s="295">
        <v>7500</v>
      </c>
      <c r="AJ7" s="295">
        <v>7500</v>
      </c>
      <c r="AK7" s="5">
        <v>7500</v>
      </c>
    </row>
    <row r="8" spans="2:37" customFormat="1" ht="13" x14ac:dyDescent="0.15">
      <c r="B8">
        <f t="shared" si="1"/>
        <v>5</v>
      </c>
      <c r="C8">
        <v>530</v>
      </c>
      <c r="D8" s="14" t="s">
        <v>150</v>
      </c>
      <c r="E8" t="s">
        <v>177</v>
      </c>
      <c r="F8" s="10"/>
      <c r="G8" s="9"/>
      <c r="H8" s="287">
        <v>3112</v>
      </c>
      <c r="I8" s="10"/>
      <c r="J8" s="9"/>
      <c r="K8" s="10"/>
      <c r="L8" s="10"/>
      <c r="M8" s="9"/>
      <c r="N8" s="10">
        <v>1833</v>
      </c>
      <c r="O8" s="10"/>
      <c r="P8" s="9"/>
      <c r="Q8" s="10">
        <v>1494</v>
      </c>
      <c r="R8" s="9"/>
      <c r="S8" s="180"/>
      <c r="T8" s="83">
        <f>Modeller!$I$115</f>
        <v>55.287115384615376</v>
      </c>
      <c r="U8" s="83">
        <f>Modeller!$J$115</f>
        <v>728.43124999999998</v>
      </c>
      <c r="V8" s="83">
        <v>2771</v>
      </c>
      <c r="W8" s="83">
        <v>5279</v>
      </c>
      <c r="X8" s="83"/>
      <c r="Y8" s="83"/>
      <c r="Z8" s="295">
        <v>3700</v>
      </c>
      <c r="AA8" s="295">
        <v>3700</v>
      </c>
      <c r="AB8" s="295">
        <v>3700</v>
      </c>
      <c r="AC8" s="295">
        <v>4700</v>
      </c>
      <c r="AD8" s="295">
        <v>4700</v>
      </c>
      <c r="AE8" s="295">
        <v>4700</v>
      </c>
      <c r="AF8" s="295">
        <v>6000</v>
      </c>
      <c r="AG8" s="295">
        <v>6000</v>
      </c>
      <c r="AH8" s="295">
        <v>6000</v>
      </c>
      <c r="AI8" s="295">
        <v>7500</v>
      </c>
      <c r="AJ8" s="295">
        <v>7500</v>
      </c>
      <c r="AK8" s="5">
        <v>7500</v>
      </c>
    </row>
    <row r="9" spans="2:37" customFormat="1" ht="13" x14ac:dyDescent="0.15">
      <c r="B9">
        <f t="shared" si="1"/>
        <v>6</v>
      </c>
      <c r="C9">
        <v>400</v>
      </c>
      <c r="D9" s="14" t="s">
        <v>109</v>
      </c>
      <c r="E9" t="s">
        <v>175</v>
      </c>
      <c r="F9" s="10"/>
      <c r="G9" s="9"/>
      <c r="H9" s="287">
        <v>2656</v>
      </c>
      <c r="I9" s="10"/>
      <c r="J9" s="9"/>
      <c r="K9" s="10"/>
      <c r="L9" s="10"/>
      <c r="M9" s="9"/>
      <c r="N9" s="10">
        <v>1675</v>
      </c>
      <c r="O9" s="10"/>
      <c r="P9" s="9"/>
      <c r="Q9" s="10">
        <v>1404</v>
      </c>
      <c r="R9" s="9"/>
      <c r="S9" s="180"/>
      <c r="T9" s="83">
        <f>Modeller!$I$115</f>
        <v>55.287115384615376</v>
      </c>
      <c r="U9" s="83">
        <f>Modeller!$J$115</f>
        <v>728.43124999999998</v>
      </c>
      <c r="V9" s="83">
        <v>2247</v>
      </c>
      <c r="W9" s="83">
        <v>5283</v>
      </c>
      <c r="X9" s="83"/>
      <c r="Y9" s="83"/>
      <c r="Z9" s="295">
        <v>3700</v>
      </c>
      <c r="AA9" s="295">
        <v>3700</v>
      </c>
      <c r="AB9" s="295">
        <v>3700</v>
      </c>
      <c r="AC9" s="295">
        <v>4700</v>
      </c>
      <c r="AD9" s="295">
        <v>4700</v>
      </c>
      <c r="AE9" s="295">
        <v>4700</v>
      </c>
      <c r="AF9" s="295">
        <v>6000</v>
      </c>
      <c r="AG9" s="295">
        <v>6000</v>
      </c>
      <c r="AH9" s="295">
        <v>6000</v>
      </c>
      <c r="AI9" s="295">
        <v>7500</v>
      </c>
      <c r="AJ9" s="295">
        <v>7500</v>
      </c>
      <c r="AK9" s="5">
        <v>7500</v>
      </c>
    </row>
    <row r="10" spans="2:37" customFormat="1" ht="13" x14ac:dyDescent="0.15">
      <c r="B10">
        <f t="shared" si="1"/>
        <v>7</v>
      </c>
      <c r="C10">
        <v>153</v>
      </c>
      <c r="D10" s="14" t="s">
        <v>110</v>
      </c>
      <c r="E10" t="s">
        <v>175</v>
      </c>
      <c r="F10" s="10"/>
      <c r="G10" s="9"/>
      <c r="H10" s="287">
        <v>3265</v>
      </c>
      <c r="I10" s="10"/>
      <c r="J10" s="9"/>
      <c r="K10" s="10"/>
      <c r="L10" s="10"/>
      <c r="M10" s="9"/>
      <c r="N10" s="10">
        <v>1834</v>
      </c>
      <c r="O10" s="10"/>
      <c r="P10" s="9"/>
      <c r="Q10" s="10">
        <v>1509</v>
      </c>
      <c r="R10" s="9"/>
      <c r="S10" s="180"/>
      <c r="T10" s="83">
        <f>Modeller!$I$115</f>
        <v>55.287115384615376</v>
      </c>
      <c r="U10" s="83">
        <f>Modeller!$J$115</f>
        <v>728.43124999999998</v>
      </c>
      <c r="V10" s="83">
        <v>3768</v>
      </c>
      <c r="W10" s="83">
        <v>5920</v>
      </c>
      <c r="X10" s="83"/>
      <c r="Y10" s="83"/>
      <c r="Z10" s="295">
        <v>3700</v>
      </c>
      <c r="AA10" s="295">
        <v>3700</v>
      </c>
      <c r="AB10" s="295">
        <v>3700</v>
      </c>
      <c r="AC10" s="295">
        <v>4700</v>
      </c>
      <c r="AD10" s="295">
        <v>4700</v>
      </c>
      <c r="AE10" s="295">
        <v>4700</v>
      </c>
      <c r="AF10" s="295">
        <v>6000</v>
      </c>
      <c r="AG10" s="295">
        <v>6000</v>
      </c>
      <c r="AH10" s="295">
        <v>6000</v>
      </c>
      <c r="AI10" s="295">
        <v>7500</v>
      </c>
      <c r="AJ10" s="295">
        <v>7500</v>
      </c>
      <c r="AK10" s="5">
        <v>7500</v>
      </c>
    </row>
    <row r="11" spans="2:37" customFormat="1" ht="13" x14ac:dyDescent="0.15">
      <c r="B11">
        <f t="shared" si="1"/>
        <v>8</v>
      </c>
      <c r="C11">
        <v>810</v>
      </c>
      <c r="D11" s="14" t="s">
        <v>47</v>
      </c>
      <c r="E11" t="s">
        <v>179</v>
      </c>
      <c r="F11" s="10"/>
      <c r="G11" s="9"/>
      <c r="H11" s="287">
        <v>3024</v>
      </c>
      <c r="I11" s="10"/>
      <c r="J11" s="9"/>
      <c r="K11" s="10"/>
      <c r="L11" s="10"/>
      <c r="M11" s="9"/>
      <c r="N11" s="10">
        <v>1528</v>
      </c>
      <c r="O11" s="10"/>
      <c r="P11" s="9"/>
      <c r="Q11" s="10">
        <v>1808</v>
      </c>
      <c r="R11" s="9"/>
      <c r="S11" s="180"/>
      <c r="T11" s="83">
        <f>Modeller!$I$115</f>
        <v>55.287115384615376</v>
      </c>
      <c r="U11" s="83">
        <f>Modeller!$J$115</f>
        <v>728.43124999999998</v>
      </c>
      <c r="V11" s="83">
        <v>2263</v>
      </c>
      <c r="W11" s="83">
        <v>5271</v>
      </c>
      <c r="X11" s="83"/>
      <c r="Y11" s="83"/>
      <c r="Z11" s="295">
        <v>3700</v>
      </c>
      <c r="AA11" s="295">
        <v>3700</v>
      </c>
      <c r="AB11" s="295">
        <v>3700</v>
      </c>
      <c r="AC11" s="295">
        <v>4700</v>
      </c>
      <c r="AD11" s="295">
        <v>4700</v>
      </c>
      <c r="AE11" s="295">
        <v>4700</v>
      </c>
      <c r="AF11" s="295">
        <v>6000</v>
      </c>
      <c r="AG11" s="295">
        <v>6000</v>
      </c>
      <c r="AH11" s="295">
        <v>6000</v>
      </c>
      <c r="AI11" s="295">
        <v>7500</v>
      </c>
      <c r="AJ11" s="295">
        <v>7500</v>
      </c>
      <c r="AK11" s="5">
        <v>7500</v>
      </c>
    </row>
    <row r="12" spans="2:37" customFormat="1" ht="13" x14ac:dyDescent="0.15">
      <c r="B12">
        <f t="shared" si="1"/>
        <v>9</v>
      </c>
      <c r="C12">
        <v>155</v>
      </c>
      <c r="D12" s="14" t="s">
        <v>111</v>
      </c>
      <c r="E12" t="s">
        <v>175</v>
      </c>
      <c r="F12" s="10"/>
      <c r="G12" s="9"/>
      <c r="H12" s="287">
        <v>3203</v>
      </c>
      <c r="I12" s="10"/>
      <c r="J12" s="9"/>
      <c r="K12" s="10"/>
      <c r="L12" s="10"/>
      <c r="M12" s="9"/>
      <c r="N12" s="10">
        <v>1605</v>
      </c>
      <c r="O12" s="10"/>
      <c r="P12" s="9"/>
      <c r="Q12" s="10">
        <v>1506</v>
      </c>
      <c r="R12" s="9"/>
      <c r="S12" s="180"/>
      <c r="T12" s="83">
        <f>Modeller!$I$115</f>
        <v>55.287115384615376</v>
      </c>
      <c r="U12" s="83">
        <f>Modeller!$J$115</f>
        <v>728.43124999999998</v>
      </c>
      <c r="V12" s="83">
        <v>3193</v>
      </c>
      <c r="W12" s="83">
        <v>5917</v>
      </c>
      <c r="X12" s="83"/>
      <c r="Y12" s="83"/>
      <c r="Z12" s="295">
        <v>3700</v>
      </c>
      <c r="AA12" s="295">
        <v>3700</v>
      </c>
      <c r="AB12" s="295">
        <v>3700</v>
      </c>
      <c r="AC12" s="295">
        <v>4700</v>
      </c>
      <c r="AD12" s="295">
        <v>4700</v>
      </c>
      <c r="AE12" s="295">
        <v>4700</v>
      </c>
      <c r="AF12" s="295">
        <v>6000</v>
      </c>
      <c r="AG12" s="295">
        <v>6000</v>
      </c>
      <c r="AH12" s="295">
        <v>6000</v>
      </c>
      <c r="AI12" s="295">
        <v>7500</v>
      </c>
      <c r="AJ12" s="295">
        <v>7500</v>
      </c>
      <c r="AK12" s="5">
        <v>7500</v>
      </c>
    </row>
    <row r="13" spans="2:37" customFormat="1" ht="13" x14ac:dyDescent="0.15">
      <c r="B13">
        <f t="shared" si="1"/>
        <v>10</v>
      </c>
      <c r="C13">
        <v>240</v>
      </c>
      <c r="D13" s="14" t="s">
        <v>112</v>
      </c>
      <c r="E13" t="s">
        <v>175</v>
      </c>
      <c r="F13" s="10"/>
      <c r="G13" s="9"/>
      <c r="H13" s="287">
        <v>3043</v>
      </c>
      <c r="I13" s="10"/>
      <c r="J13" s="9"/>
      <c r="K13" s="10"/>
      <c r="L13" s="10"/>
      <c r="M13" s="9"/>
      <c r="N13" s="10">
        <v>1730</v>
      </c>
      <c r="O13" s="10"/>
      <c r="P13" s="9"/>
      <c r="Q13" s="10">
        <v>1875</v>
      </c>
      <c r="R13" s="9"/>
      <c r="S13" s="180"/>
      <c r="T13" s="83">
        <f>Modeller!$I$115</f>
        <v>55.287115384615376</v>
      </c>
      <c r="U13" s="83">
        <f>Modeller!$J$115</f>
        <v>728.43124999999998</v>
      </c>
      <c r="V13" s="83">
        <v>3333</v>
      </c>
      <c r="W13" s="83">
        <v>5891</v>
      </c>
      <c r="X13" s="83"/>
      <c r="Y13" s="83"/>
      <c r="Z13" s="295">
        <v>3700</v>
      </c>
      <c r="AA13" s="295">
        <v>3700</v>
      </c>
      <c r="AB13" s="295">
        <v>3700</v>
      </c>
      <c r="AC13" s="295">
        <v>4700</v>
      </c>
      <c r="AD13" s="295">
        <v>4700</v>
      </c>
      <c r="AE13" s="295">
        <v>4700</v>
      </c>
      <c r="AF13" s="295">
        <v>6000</v>
      </c>
      <c r="AG13" s="295">
        <v>6000</v>
      </c>
      <c r="AH13" s="295">
        <v>6000</v>
      </c>
      <c r="AI13" s="295">
        <v>7500</v>
      </c>
      <c r="AJ13" s="295">
        <v>7500</v>
      </c>
      <c r="AK13" s="5">
        <v>7500</v>
      </c>
    </row>
    <row r="14" spans="2:37" customFormat="1" ht="13" x14ac:dyDescent="0.15">
      <c r="B14">
        <f t="shared" si="1"/>
        <v>11</v>
      </c>
      <c r="C14">
        <v>561</v>
      </c>
      <c r="D14" s="14" t="s">
        <v>151</v>
      </c>
      <c r="E14" t="s">
        <v>177</v>
      </c>
      <c r="F14" s="10"/>
      <c r="G14" s="9"/>
      <c r="H14" s="287">
        <v>2855</v>
      </c>
      <c r="I14" s="10"/>
      <c r="J14" s="9"/>
      <c r="K14" s="10"/>
      <c r="L14" s="10"/>
      <c r="M14" s="9"/>
      <c r="N14" s="10">
        <v>1597</v>
      </c>
      <c r="O14" s="10"/>
      <c r="P14" s="9"/>
      <c r="Q14" s="10">
        <v>1811</v>
      </c>
      <c r="R14" s="179"/>
      <c r="S14" s="180"/>
      <c r="T14" s="83">
        <f>Modeller!$I$115</f>
        <v>55.287115384615376</v>
      </c>
      <c r="U14" s="83">
        <f>Modeller!$J$115</f>
        <v>728.43124999999998</v>
      </c>
      <c r="V14" s="83">
        <v>2844</v>
      </c>
      <c r="W14" s="83">
        <v>5503</v>
      </c>
      <c r="X14" s="83"/>
      <c r="Y14" s="83"/>
      <c r="Z14" s="295">
        <v>3700</v>
      </c>
      <c r="AA14" s="295">
        <v>3700</v>
      </c>
      <c r="AB14" s="295">
        <v>3700</v>
      </c>
      <c r="AC14" s="295">
        <v>4700</v>
      </c>
      <c r="AD14" s="295">
        <v>4700</v>
      </c>
      <c r="AE14" s="295">
        <v>4700</v>
      </c>
      <c r="AF14" s="295">
        <v>6000</v>
      </c>
      <c r="AG14" s="295">
        <v>6000</v>
      </c>
      <c r="AH14" s="295">
        <v>6000</v>
      </c>
      <c r="AI14" s="295">
        <v>7500</v>
      </c>
      <c r="AJ14" s="295">
        <v>7500</v>
      </c>
      <c r="AK14" s="5">
        <v>7500</v>
      </c>
    </row>
    <row r="15" spans="2:37" customFormat="1" ht="13" x14ac:dyDescent="0.15">
      <c r="B15">
        <f t="shared" si="1"/>
        <v>12</v>
      </c>
      <c r="C15">
        <v>563</v>
      </c>
      <c r="D15" s="14" t="s">
        <v>152</v>
      </c>
      <c r="E15" t="s">
        <v>177</v>
      </c>
      <c r="F15" s="10"/>
      <c r="G15" s="9"/>
      <c r="H15" s="287">
        <v>2530</v>
      </c>
      <c r="I15" s="10"/>
      <c r="J15" s="9"/>
      <c r="K15" s="10"/>
      <c r="L15" s="10"/>
      <c r="M15" s="9"/>
      <c r="N15" s="10">
        <v>1682</v>
      </c>
      <c r="O15" s="10"/>
      <c r="P15" s="9"/>
      <c r="Q15" s="10">
        <v>1008</v>
      </c>
      <c r="R15" s="9"/>
      <c r="S15" s="168"/>
      <c r="T15" s="83">
        <f>Modeller!$I$115</f>
        <v>55.287115384615376</v>
      </c>
      <c r="U15" s="83">
        <f>Modeller!$J$115</f>
        <v>728.43124999999998</v>
      </c>
      <c r="V15" s="83">
        <v>2783</v>
      </c>
      <c r="W15" s="83">
        <v>5674</v>
      </c>
      <c r="X15" s="83"/>
      <c r="Y15" s="83"/>
      <c r="Z15" s="295">
        <v>3700</v>
      </c>
      <c r="AA15" s="295">
        <v>3700</v>
      </c>
      <c r="AB15" s="295">
        <v>3700</v>
      </c>
      <c r="AC15" s="295">
        <v>4700</v>
      </c>
      <c r="AD15" s="295">
        <v>4700</v>
      </c>
      <c r="AE15" s="295">
        <v>4700</v>
      </c>
      <c r="AF15" s="295">
        <v>6000</v>
      </c>
      <c r="AG15" s="295">
        <v>6000</v>
      </c>
      <c r="AH15" s="295">
        <v>6000</v>
      </c>
      <c r="AI15" s="295">
        <v>7500</v>
      </c>
      <c r="AJ15" s="295">
        <v>7500</v>
      </c>
      <c r="AK15" s="5">
        <v>7500</v>
      </c>
    </row>
    <row r="16" spans="2:37" customFormat="1" ht="13" x14ac:dyDescent="0.15">
      <c r="B16">
        <f t="shared" si="1"/>
        <v>13</v>
      </c>
      <c r="C16">
        <v>710</v>
      </c>
      <c r="D16" s="14" t="s">
        <v>28</v>
      </c>
      <c r="E16" t="s">
        <v>178</v>
      </c>
      <c r="F16" s="10"/>
      <c r="G16" s="9"/>
      <c r="H16" s="287">
        <v>3071</v>
      </c>
      <c r="I16" s="10"/>
      <c r="J16" s="9"/>
      <c r="K16" s="10"/>
      <c r="L16" s="10"/>
      <c r="M16" s="9"/>
      <c r="N16" s="10">
        <v>1713</v>
      </c>
      <c r="O16" s="10"/>
      <c r="P16" s="9"/>
      <c r="Q16" s="10">
        <v>1500</v>
      </c>
      <c r="R16" s="9"/>
      <c r="S16" s="9"/>
      <c r="T16" s="83">
        <f>Modeller!$I$115</f>
        <v>55.287115384615376</v>
      </c>
      <c r="U16" s="83">
        <f>Modeller!$J$115</f>
        <v>728.43124999999998</v>
      </c>
      <c r="V16" s="83">
        <v>2836</v>
      </c>
      <c r="W16" s="83">
        <v>5465</v>
      </c>
      <c r="X16" s="83"/>
      <c r="Y16" s="83"/>
      <c r="Z16" s="295">
        <v>3700</v>
      </c>
      <c r="AA16" s="295">
        <v>3700</v>
      </c>
      <c r="AB16" s="295">
        <v>3700</v>
      </c>
      <c r="AC16" s="295">
        <v>4700</v>
      </c>
      <c r="AD16" s="295">
        <v>4700</v>
      </c>
      <c r="AE16" s="295">
        <v>4700</v>
      </c>
      <c r="AF16" s="295">
        <v>6000</v>
      </c>
      <c r="AG16" s="295">
        <v>6000</v>
      </c>
      <c r="AH16" s="295">
        <v>6000</v>
      </c>
      <c r="AI16" s="295">
        <v>7500</v>
      </c>
      <c r="AJ16" s="295">
        <v>7500</v>
      </c>
      <c r="AK16" s="5">
        <v>7500</v>
      </c>
    </row>
    <row r="17" spans="2:37" customFormat="1" ht="13" x14ac:dyDescent="0.15">
      <c r="B17">
        <f t="shared" si="1"/>
        <v>14</v>
      </c>
      <c r="C17">
        <v>320</v>
      </c>
      <c r="D17" s="14" t="s">
        <v>132</v>
      </c>
      <c r="E17" t="s">
        <v>176</v>
      </c>
      <c r="F17" s="10"/>
      <c r="G17" s="9"/>
      <c r="H17" s="287">
        <v>3013</v>
      </c>
      <c r="I17" s="10"/>
      <c r="J17" s="9"/>
      <c r="K17" s="10"/>
      <c r="L17" s="10"/>
      <c r="M17" s="9"/>
      <c r="N17" s="10">
        <v>1655</v>
      </c>
      <c r="O17" s="10"/>
      <c r="P17" s="9"/>
      <c r="Q17" s="10">
        <v>1674</v>
      </c>
      <c r="R17" s="9"/>
      <c r="S17" s="9"/>
      <c r="T17" s="83">
        <f>Modeller!$I$115</f>
        <v>55.287115384615376</v>
      </c>
      <c r="U17" s="83">
        <f>Modeller!$J$115</f>
        <v>728.43124999999998</v>
      </c>
      <c r="V17" s="83">
        <v>2404</v>
      </c>
      <c r="W17" s="83">
        <v>4800</v>
      </c>
      <c r="X17" s="83"/>
      <c r="Y17" s="83"/>
      <c r="Z17" s="295">
        <v>3700</v>
      </c>
      <c r="AA17" s="295">
        <v>3700</v>
      </c>
      <c r="AB17" s="295">
        <v>3700</v>
      </c>
      <c r="AC17" s="295">
        <v>4700</v>
      </c>
      <c r="AD17" s="295">
        <v>4700</v>
      </c>
      <c r="AE17" s="295">
        <v>4700</v>
      </c>
      <c r="AF17" s="295">
        <v>6000</v>
      </c>
      <c r="AG17" s="295">
        <v>6000</v>
      </c>
      <c r="AH17" s="295">
        <v>6000</v>
      </c>
      <c r="AI17" s="295">
        <v>7500</v>
      </c>
      <c r="AJ17" s="295">
        <v>7500</v>
      </c>
      <c r="AK17" s="5">
        <v>7500</v>
      </c>
    </row>
    <row r="18" spans="2:37" customFormat="1" ht="13" x14ac:dyDescent="0.15">
      <c r="B18">
        <f t="shared" si="1"/>
        <v>15</v>
      </c>
      <c r="C18">
        <v>210</v>
      </c>
      <c r="D18" s="14" t="s">
        <v>113</v>
      </c>
      <c r="E18" t="s">
        <v>175</v>
      </c>
      <c r="F18" s="10"/>
      <c r="G18" s="9"/>
      <c r="H18" s="287">
        <v>3418</v>
      </c>
      <c r="I18" s="10"/>
      <c r="J18" s="9"/>
      <c r="K18" s="10"/>
      <c r="L18" s="10"/>
      <c r="M18" s="9"/>
      <c r="N18" s="10">
        <v>1566</v>
      </c>
      <c r="O18" s="10"/>
      <c r="P18" s="9"/>
      <c r="Q18" s="10">
        <v>954</v>
      </c>
      <c r="R18" s="9"/>
      <c r="S18" s="168"/>
      <c r="T18" s="83">
        <f>Modeller!$I$115</f>
        <v>55.287115384615376</v>
      </c>
      <c r="U18" s="83">
        <f>Modeller!$J$115</f>
        <v>728.43124999999998</v>
      </c>
      <c r="V18" s="83">
        <v>3501</v>
      </c>
      <c r="W18" s="83">
        <v>6147</v>
      </c>
      <c r="X18" s="83"/>
      <c r="Y18" s="83"/>
      <c r="Z18" s="295">
        <v>3700</v>
      </c>
      <c r="AA18" s="295">
        <v>3700</v>
      </c>
      <c r="AB18" s="295">
        <v>3700</v>
      </c>
      <c r="AC18" s="295">
        <v>4700</v>
      </c>
      <c r="AD18" s="295">
        <v>4700</v>
      </c>
      <c r="AE18" s="295">
        <v>4700</v>
      </c>
      <c r="AF18" s="295">
        <v>6000</v>
      </c>
      <c r="AG18" s="295">
        <v>6000</v>
      </c>
      <c r="AH18" s="295">
        <v>6000</v>
      </c>
      <c r="AI18" s="295">
        <v>7500</v>
      </c>
      <c r="AJ18" s="295">
        <v>7500</v>
      </c>
      <c r="AK18" s="5">
        <v>7500</v>
      </c>
    </row>
    <row r="19" spans="2:37" customFormat="1" ht="13" x14ac:dyDescent="0.15">
      <c r="B19">
        <f t="shared" si="1"/>
        <v>16</v>
      </c>
      <c r="C19">
        <v>607</v>
      </c>
      <c r="D19" s="14" t="s">
        <v>153</v>
      </c>
      <c r="E19" t="s">
        <v>177</v>
      </c>
      <c r="F19" s="10"/>
      <c r="G19" s="9"/>
      <c r="H19" s="287">
        <v>3263</v>
      </c>
      <c r="I19" s="10"/>
      <c r="J19" s="9"/>
      <c r="K19" s="10"/>
      <c r="L19" s="10"/>
      <c r="M19" s="9"/>
      <c r="N19" s="10">
        <v>2013</v>
      </c>
      <c r="O19" s="10"/>
      <c r="P19" s="9"/>
      <c r="Q19" s="10">
        <v>1769</v>
      </c>
      <c r="R19" s="9"/>
      <c r="S19" s="9"/>
      <c r="T19" s="83">
        <f>Modeller!$I$115</f>
        <v>55.287115384615376</v>
      </c>
      <c r="U19" s="83">
        <f>Modeller!$J$115</f>
        <v>728.43124999999998</v>
      </c>
      <c r="V19" s="83">
        <v>2903</v>
      </c>
      <c r="W19" s="83">
        <v>6000</v>
      </c>
      <c r="X19" s="83"/>
      <c r="Y19" s="83"/>
      <c r="Z19" s="295">
        <v>3700</v>
      </c>
      <c r="AA19" s="295">
        <v>3700</v>
      </c>
      <c r="AB19" s="295">
        <v>3700</v>
      </c>
      <c r="AC19" s="295">
        <v>4700</v>
      </c>
      <c r="AD19" s="295">
        <v>4700</v>
      </c>
      <c r="AE19" s="295">
        <v>4700</v>
      </c>
      <c r="AF19" s="295">
        <v>6000</v>
      </c>
      <c r="AG19" s="295">
        <v>6000</v>
      </c>
      <c r="AH19" s="295">
        <v>6000</v>
      </c>
      <c r="AI19" s="295">
        <v>7500</v>
      </c>
      <c r="AJ19" s="295">
        <v>7500</v>
      </c>
      <c r="AK19" s="5">
        <v>7500</v>
      </c>
    </row>
    <row r="20" spans="2:37" customFormat="1" ht="13" x14ac:dyDescent="0.15">
      <c r="B20">
        <f t="shared" si="1"/>
        <v>17</v>
      </c>
      <c r="C20">
        <v>147</v>
      </c>
      <c r="D20" s="14" t="s">
        <v>105</v>
      </c>
      <c r="E20" t="s">
        <v>175</v>
      </c>
      <c r="F20" s="10"/>
      <c r="G20" s="9"/>
      <c r="H20" s="287">
        <v>3068</v>
      </c>
      <c r="I20" s="10"/>
      <c r="J20" s="9"/>
      <c r="K20" s="10"/>
      <c r="L20" s="10"/>
      <c r="M20" s="9"/>
      <c r="N20" s="10">
        <v>1703</v>
      </c>
      <c r="O20" s="10"/>
      <c r="P20" s="9"/>
      <c r="Q20" s="10">
        <v>1847</v>
      </c>
      <c r="R20" s="9"/>
      <c r="S20" s="9"/>
      <c r="T20" s="83">
        <f>Modeller!$I$115</f>
        <v>55.287115384615376</v>
      </c>
      <c r="U20" s="83">
        <f>Modeller!$J$115</f>
        <v>728.43124999999998</v>
      </c>
      <c r="V20" s="83">
        <v>3644</v>
      </c>
      <c r="W20" s="83">
        <v>5761</v>
      </c>
      <c r="X20" s="83"/>
      <c r="Y20" s="83"/>
      <c r="Z20" s="295">
        <v>3700</v>
      </c>
      <c r="AA20" s="295">
        <v>3700</v>
      </c>
      <c r="AB20" s="295">
        <v>3700</v>
      </c>
      <c r="AC20" s="295">
        <v>4700</v>
      </c>
      <c r="AD20" s="295">
        <v>4700</v>
      </c>
      <c r="AE20" s="295">
        <v>4700</v>
      </c>
      <c r="AF20" s="295">
        <v>6000</v>
      </c>
      <c r="AG20" s="295">
        <v>6000</v>
      </c>
      <c r="AH20" s="295">
        <v>6000</v>
      </c>
      <c r="AI20" s="295">
        <v>7500</v>
      </c>
      <c r="AJ20" s="295">
        <v>7500</v>
      </c>
      <c r="AK20" s="5">
        <v>7500</v>
      </c>
    </row>
    <row r="21" spans="2:37" customFormat="1" ht="13" x14ac:dyDescent="0.15">
      <c r="B21">
        <f t="shared" si="1"/>
        <v>18</v>
      </c>
      <c r="C21">
        <v>813</v>
      </c>
      <c r="D21" s="14" t="s">
        <v>48</v>
      </c>
      <c r="E21" t="s">
        <v>179</v>
      </c>
      <c r="F21" s="10"/>
      <c r="G21" s="9"/>
      <c r="H21" s="287">
        <v>2671</v>
      </c>
      <c r="I21" s="10"/>
      <c r="J21" s="9"/>
      <c r="K21" s="10"/>
      <c r="L21" s="10"/>
      <c r="M21" s="9"/>
      <c r="N21" s="10">
        <v>1576</v>
      </c>
      <c r="O21" s="10"/>
      <c r="P21" s="9"/>
      <c r="Q21" s="10">
        <v>1797</v>
      </c>
      <c r="R21" s="9"/>
      <c r="S21" s="9"/>
      <c r="T21" s="83">
        <f>Modeller!$I$115</f>
        <v>55.287115384615376</v>
      </c>
      <c r="U21" s="83">
        <f>Modeller!$J$115</f>
        <v>728.43124999999998</v>
      </c>
      <c r="V21" s="83">
        <v>2519</v>
      </c>
      <c r="W21" s="83">
        <v>5494</v>
      </c>
      <c r="X21" s="83"/>
      <c r="Y21" s="83"/>
      <c r="Z21" s="295">
        <v>3700</v>
      </c>
      <c r="AA21" s="295">
        <v>3700</v>
      </c>
      <c r="AB21" s="295">
        <v>3700</v>
      </c>
      <c r="AC21" s="295">
        <v>4700</v>
      </c>
      <c r="AD21" s="295">
        <v>4700</v>
      </c>
      <c r="AE21" s="295">
        <v>4700</v>
      </c>
      <c r="AF21" s="295">
        <v>6000</v>
      </c>
      <c r="AG21" s="295">
        <v>6000</v>
      </c>
      <c r="AH21" s="295">
        <v>6000</v>
      </c>
      <c r="AI21" s="295">
        <v>7500</v>
      </c>
      <c r="AJ21" s="295">
        <v>7500</v>
      </c>
      <c r="AK21" s="5">
        <v>7500</v>
      </c>
    </row>
    <row r="22" spans="2:37" customFormat="1" ht="13" x14ac:dyDescent="0.15">
      <c r="B22">
        <f t="shared" si="1"/>
        <v>19</v>
      </c>
      <c r="C22">
        <v>250</v>
      </c>
      <c r="D22" s="14" t="s">
        <v>114</v>
      </c>
      <c r="E22" t="s">
        <v>175</v>
      </c>
      <c r="F22" s="10"/>
      <c r="G22" s="9"/>
      <c r="H22" s="287">
        <v>3323</v>
      </c>
      <c r="I22" s="10"/>
      <c r="J22" s="9"/>
      <c r="K22" s="10"/>
      <c r="L22" s="10"/>
      <c r="M22" s="9"/>
      <c r="N22" s="10">
        <v>1877</v>
      </c>
      <c r="O22" s="10"/>
      <c r="P22" s="9"/>
      <c r="Q22" s="10">
        <v>1823</v>
      </c>
      <c r="R22" s="9"/>
      <c r="S22" s="9"/>
      <c r="T22" s="83">
        <f>Modeller!$I$115</f>
        <v>55.287115384615376</v>
      </c>
      <c r="U22" s="83">
        <f>Modeller!$J$115</f>
        <v>728.43124999999998</v>
      </c>
      <c r="V22" s="83">
        <v>3068</v>
      </c>
      <c r="W22" s="83">
        <v>5362</v>
      </c>
      <c r="X22" s="83"/>
      <c r="Y22" s="83"/>
      <c r="Z22" s="295">
        <v>3700</v>
      </c>
      <c r="AA22" s="295">
        <v>3700</v>
      </c>
      <c r="AB22" s="295">
        <v>3700</v>
      </c>
      <c r="AC22" s="295">
        <v>4700</v>
      </c>
      <c r="AD22" s="295">
        <v>4700</v>
      </c>
      <c r="AE22" s="295">
        <v>4700</v>
      </c>
      <c r="AF22" s="295">
        <v>6000</v>
      </c>
      <c r="AG22" s="295">
        <v>6000</v>
      </c>
      <c r="AH22" s="295">
        <v>6000</v>
      </c>
      <c r="AI22" s="295">
        <v>7500</v>
      </c>
      <c r="AJ22" s="295">
        <v>7500</v>
      </c>
      <c r="AK22" s="5">
        <v>7500</v>
      </c>
    </row>
    <row r="23" spans="2:37" customFormat="1" ht="13" x14ac:dyDescent="0.15">
      <c r="B23">
        <f t="shared" si="1"/>
        <v>20</v>
      </c>
      <c r="C23">
        <v>190</v>
      </c>
      <c r="D23" s="14" t="s">
        <v>527</v>
      </c>
      <c r="E23" t="s">
        <v>175</v>
      </c>
      <c r="F23" s="10"/>
      <c r="G23" s="9"/>
      <c r="H23" s="287">
        <v>2970</v>
      </c>
      <c r="I23" s="10"/>
      <c r="J23" s="9"/>
      <c r="K23" s="10"/>
      <c r="L23" s="10"/>
      <c r="M23" s="9"/>
      <c r="N23" s="10">
        <v>1818</v>
      </c>
      <c r="O23" s="10"/>
      <c r="P23" s="9"/>
      <c r="Q23" s="10">
        <v>1493</v>
      </c>
      <c r="R23" s="9"/>
      <c r="S23" s="9"/>
      <c r="T23" s="83">
        <f>Modeller!$I$115</f>
        <v>55.287115384615376</v>
      </c>
      <c r="U23" s="83">
        <f>Modeller!$J$115</f>
        <v>728.43124999999998</v>
      </c>
      <c r="V23" s="83">
        <v>3431</v>
      </c>
      <c r="W23" s="83">
        <v>6656</v>
      </c>
      <c r="X23" s="83"/>
      <c r="Y23" s="83"/>
      <c r="Z23" s="295">
        <v>3700</v>
      </c>
      <c r="AA23" s="295">
        <v>3700</v>
      </c>
      <c r="AB23" s="295">
        <v>3700</v>
      </c>
      <c r="AC23" s="295">
        <v>4700</v>
      </c>
      <c r="AD23" s="295">
        <v>4700</v>
      </c>
      <c r="AE23" s="295">
        <v>4700</v>
      </c>
      <c r="AF23" s="295">
        <v>6000</v>
      </c>
      <c r="AG23" s="295">
        <v>6000</v>
      </c>
      <c r="AH23" s="295">
        <v>6000</v>
      </c>
      <c r="AI23" s="295">
        <v>7500</v>
      </c>
      <c r="AJ23" s="295">
        <v>7500</v>
      </c>
      <c r="AK23" s="5">
        <v>7500</v>
      </c>
    </row>
    <row r="24" spans="2:37" customFormat="1" ht="13" x14ac:dyDescent="0.15">
      <c r="B24">
        <f t="shared" si="1"/>
        <v>21</v>
      </c>
      <c r="C24">
        <v>330</v>
      </c>
      <c r="D24" s="14" t="s">
        <v>154</v>
      </c>
      <c r="E24" t="s">
        <v>177</v>
      </c>
      <c r="F24" s="10"/>
      <c r="G24" s="9"/>
      <c r="H24" s="287">
        <v>3132</v>
      </c>
      <c r="I24" s="10"/>
      <c r="J24" s="9"/>
      <c r="K24" s="10"/>
      <c r="L24" s="10"/>
      <c r="M24" s="9"/>
      <c r="N24" s="10">
        <v>1791</v>
      </c>
      <c r="O24" s="10"/>
      <c r="P24" s="9"/>
      <c r="Q24" s="10">
        <v>1686</v>
      </c>
      <c r="R24" s="9"/>
      <c r="S24" s="9"/>
      <c r="T24" s="83">
        <f>Modeller!$I$115</f>
        <v>55.287115384615376</v>
      </c>
      <c r="U24" s="83">
        <f>Modeller!$J$115</f>
        <v>728.43124999999998</v>
      </c>
      <c r="V24" s="83">
        <v>2327</v>
      </c>
      <c r="W24" s="83">
        <v>5223</v>
      </c>
      <c r="X24" s="83"/>
      <c r="Y24" s="83"/>
      <c r="Z24" s="295">
        <v>3700</v>
      </c>
      <c r="AA24" s="295">
        <v>3700</v>
      </c>
      <c r="AB24" s="295">
        <v>3700</v>
      </c>
      <c r="AC24" s="295">
        <v>4700</v>
      </c>
      <c r="AD24" s="295">
        <v>4700</v>
      </c>
      <c r="AE24" s="295">
        <v>4700</v>
      </c>
      <c r="AF24" s="295">
        <v>6000</v>
      </c>
      <c r="AG24" s="295">
        <v>6000</v>
      </c>
      <c r="AH24" s="295">
        <v>6000</v>
      </c>
      <c r="AI24" s="295">
        <v>7500</v>
      </c>
      <c r="AJ24" s="295">
        <v>7500</v>
      </c>
      <c r="AK24" s="5">
        <v>7500</v>
      </c>
    </row>
    <row r="25" spans="2:37" customFormat="1" ht="13" x14ac:dyDescent="0.15">
      <c r="B25">
        <f t="shared" si="1"/>
        <v>22</v>
      </c>
      <c r="C25">
        <v>157</v>
      </c>
      <c r="D25" s="14" t="s">
        <v>115</v>
      </c>
      <c r="E25" t="s">
        <v>175</v>
      </c>
      <c r="F25" s="10"/>
      <c r="G25" s="9"/>
      <c r="H25" s="287">
        <v>3212</v>
      </c>
      <c r="I25" s="10"/>
      <c r="J25" s="9"/>
      <c r="K25" s="10"/>
      <c r="L25" s="10"/>
      <c r="M25" s="9"/>
      <c r="N25" s="10">
        <v>1692</v>
      </c>
      <c r="O25" s="10"/>
      <c r="P25" s="9"/>
      <c r="Q25" s="10">
        <v>1724</v>
      </c>
      <c r="R25" s="9"/>
      <c r="S25" s="9"/>
      <c r="T25" s="83">
        <f>Modeller!$I$115</f>
        <v>55.287115384615376</v>
      </c>
      <c r="U25" s="83">
        <f>Modeller!$J$115</f>
        <v>728.43124999999998</v>
      </c>
      <c r="V25" s="83">
        <v>3536</v>
      </c>
      <c r="W25" s="83">
        <v>6618</v>
      </c>
      <c r="X25" s="83"/>
      <c r="Y25" s="83"/>
      <c r="Z25" s="295">
        <v>3700</v>
      </c>
      <c r="AA25" s="295">
        <v>3700</v>
      </c>
      <c r="AB25" s="295">
        <v>3700</v>
      </c>
      <c r="AC25" s="295">
        <v>4700</v>
      </c>
      <c r="AD25" s="295">
        <v>4700</v>
      </c>
      <c r="AE25" s="295">
        <v>4700</v>
      </c>
      <c r="AF25" s="295">
        <v>6000</v>
      </c>
      <c r="AG25" s="295">
        <v>6000</v>
      </c>
      <c r="AH25" s="295">
        <v>6000</v>
      </c>
      <c r="AI25" s="295">
        <v>7500</v>
      </c>
      <c r="AJ25" s="295">
        <v>7500</v>
      </c>
      <c r="AK25" s="5">
        <v>7500</v>
      </c>
    </row>
    <row r="26" spans="2:37" customFormat="1" ht="13" x14ac:dyDescent="0.15">
      <c r="B26">
        <f t="shared" si="1"/>
        <v>23</v>
      </c>
      <c r="C26">
        <v>159</v>
      </c>
      <c r="D26" s="14" t="s">
        <v>116</v>
      </c>
      <c r="E26" t="s">
        <v>175</v>
      </c>
      <c r="F26" s="10"/>
      <c r="G26" s="9"/>
      <c r="H26" s="287">
        <v>3440</v>
      </c>
      <c r="I26" s="10"/>
      <c r="J26" s="9"/>
      <c r="K26" s="10"/>
      <c r="L26" s="10"/>
      <c r="M26" s="9"/>
      <c r="N26" s="10">
        <v>2070</v>
      </c>
      <c r="O26" s="252"/>
      <c r="P26" s="9"/>
      <c r="Q26" s="10">
        <v>1616</v>
      </c>
      <c r="R26" s="9"/>
      <c r="S26" s="9"/>
      <c r="T26" s="83">
        <f>Modeller!$I$115</f>
        <v>55.287115384615376</v>
      </c>
      <c r="U26" s="83">
        <f>Modeller!$J$115</f>
        <v>728.43124999999998</v>
      </c>
      <c r="V26" s="83">
        <v>3689</v>
      </c>
      <c r="W26" s="83">
        <v>6142</v>
      </c>
      <c r="X26" s="83"/>
      <c r="Y26" s="83"/>
      <c r="Z26" s="295">
        <v>3700</v>
      </c>
      <c r="AA26" s="295">
        <v>3700</v>
      </c>
      <c r="AB26" s="295">
        <v>3700</v>
      </c>
      <c r="AC26" s="295">
        <v>4700</v>
      </c>
      <c r="AD26" s="295">
        <v>4700</v>
      </c>
      <c r="AE26" s="295">
        <v>4700</v>
      </c>
      <c r="AF26" s="295">
        <v>6000</v>
      </c>
      <c r="AG26" s="295">
        <v>6000</v>
      </c>
      <c r="AH26" s="295">
        <v>6000</v>
      </c>
      <c r="AI26" s="295">
        <v>7500</v>
      </c>
      <c r="AJ26" s="295">
        <v>7500</v>
      </c>
      <c r="AK26" s="5">
        <v>7500</v>
      </c>
    </row>
    <row r="27" spans="2:37" customFormat="1" ht="13" x14ac:dyDescent="0.15">
      <c r="B27">
        <f t="shared" si="1"/>
        <v>24</v>
      </c>
      <c r="C27">
        <v>161</v>
      </c>
      <c r="D27" s="14" t="s">
        <v>117</v>
      </c>
      <c r="E27" t="s">
        <v>175</v>
      </c>
      <c r="F27" s="10"/>
      <c r="G27" s="9"/>
      <c r="H27" s="287">
        <v>3348</v>
      </c>
      <c r="I27" s="10"/>
      <c r="J27" s="9"/>
      <c r="K27" s="10"/>
      <c r="L27" s="10"/>
      <c r="M27" s="9"/>
      <c r="N27" s="10">
        <v>1644</v>
      </c>
      <c r="O27" s="10"/>
      <c r="P27" s="9"/>
      <c r="Q27" s="10">
        <v>1314</v>
      </c>
      <c r="R27" s="9"/>
      <c r="S27" s="9"/>
      <c r="T27" s="83">
        <f>Modeller!$I$115</f>
        <v>55.287115384615376</v>
      </c>
      <c r="U27" s="83">
        <f>Modeller!$J$115</f>
        <v>728.43124999999998</v>
      </c>
      <c r="V27" s="83">
        <v>3434</v>
      </c>
      <c r="W27" s="83">
        <v>5764</v>
      </c>
      <c r="X27" s="83"/>
      <c r="Y27" s="83"/>
      <c r="Z27" s="295">
        <v>3700</v>
      </c>
      <c r="AA27" s="295">
        <v>3700</v>
      </c>
      <c r="AB27" s="295">
        <v>3700</v>
      </c>
      <c r="AC27" s="295">
        <v>4700</v>
      </c>
      <c r="AD27" s="295">
        <v>4700</v>
      </c>
      <c r="AE27" s="295">
        <v>4700</v>
      </c>
      <c r="AF27" s="295">
        <v>6000</v>
      </c>
      <c r="AG27" s="295">
        <v>6000</v>
      </c>
      <c r="AH27" s="295">
        <v>6000</v>
      </c>
      <c r="AI27" s="295">
        <v>7500</v>
      </c>
      <c r="AJ27" s="295">
        <v>7500</v>
      </c>
      <c r="AK27" s="5">
        <v>7500</v>
      </c>
    </row>
    <row r="28" spans="2:37" customFormat="1" ht="13" x14ac:dyDescent="0.15">
      <c r="B28">
        <f t="shared" si="1"/>
        <v>25</v>
      </c>
      <c r="C28">
        <v>253</v>
      </c>
      <c r="D28" s="14" t="s">
        <v>133</v>
      </c>
      <c r="E28" t="s">
        <v>176</v>
      </c>
      <c r="F28" s="10"/>
      <c r="G28" s="9"/>
      <c r="H28" s="287">
        <v>2810</v>
      </c>
      <c r="I28" s="10"/>
      <c r="J28" s="9"/>
      <c r="K28" s="10"/>
      <c r="L28" s="10"/>
      <c r="M28" s="9"/>
      <c r="N28" s="10">
        <v>1623</v>
      </c>
      <c r="O28" s="10"/>
      <c r="P28" s="9"/>
      <c r="Q28" s="10">
        <v>1694</v>
      </c>
      <c r="R28" s="157"/>
      <c r="S28" s="157"/>
      <c r="T28" s="83">
        <f>Modeller!$I$115</f>
        <v>55.287115384615376</v>
      </c>
      <c r="U28" s="83">
        <f>Modeller!$J$115</f>
        <v>728.43124999999998</v>
      </c>
      <c r="V28" s="83">
        <v>3817</v>
      </c>
      <c r="W28" s="83">
        <v>6194</v>
      </c>
      <c r="X28" s="83"/>
      <c r="Y28" s="83"/>
      <c r="Z28" s="295">
        <v>3700</v>
      </c>
      <c r="AA28" s="295">
        <v>3700</v>
      </c>
      <c r="AB28" s="295">
        <v>3700</v>
      </c>
      <c r="AC28" s="295">
        <v>4700</v>
      </c>
      <c r="AD28" s="295">
        <v>4700</v>
      </c>
      <c r="AE28" s="295">
        <v>4700</v>
      </c>
      <c r="AF28" s="295">
        <v>6000</v>
      </c>
      <c r="AG28" s="295">
        <v>6000</v>
      </c>
      <c r="AH28" s="295">
        <v>6000</v>
      </c>
      <c r="AI28" s="295">
        <v>7500</v>
      </c>
      <c r="AJ28" s="295">
        <v>7500</v>
      </c>
      <c r="AK28" s="5">
        <v>7500</v>
      </c>
    </row>
    <row r="29" spans="2:37" customFormat="1" ht="13" x14ac:dyDescent="0.15">
      <c r="B29">
        <f t="shared" si="1"/>
        <v>26</v>
      </c>
      <c r="C29">
        <v>270</v>
      </c>
      <c r="D29" s="14" t="s">
        <v>118</v>
      </c>
      <c r="E29" t="s">
        <v>175</v>
      </c>
      <c r="F29" s="10"/>
      <c r="G29" s="9"/>
      <c r="H29" s="287">
        <v>2865</v>
      </c>
      <c r="I29" s="10"/>
      <c r="J29" s="9"/>
      <c r="K29" s="10"/>
      <c r="L29" s="10"/>
      <c r="M29" s="9"/>
      <c r="N29" s="10">
        <v>1606</v>
      </c>
      <c r="O29" s="10"/>
      <c r="P29" s="9"/>
      <c r="Q29" s="10">
        <v>1839</v>
      </c>
      <c r="R29" s="9"/>
      <c r="S29" s="9"/>
      <c r="T29" s="83">
        <f>Modeller!$I$115</f>
        <v>55.287115384615376</v>
      </c>
      <c r="U29" s="83">
        <f>Modeller!$J$115</f>
        <v>728.43124999999998</v>
      </c>
      <c r="V29" s="83">
        <v>3431</v>
      </c>
      <c r="W29" s="83">
        <v>5514</v>
      </c>
      <c r="X29" s="83"/>
      <c r="Y29" s="83"/>
      <c r="Z29" s="295">
        <v>3700</v>
      </c>
      <c r="AA29" s="295">
        <v>3700</v>
      </c>
      <c r="AB29" s="295">
        <v>3700</v>
      </c>
      <c r="AC29" s="295">
        <v>4700</v>
      </c>
      <c r="AD29" s="295">
        <v>4700</v>
      </c>
      <c r="AE29" s="295">
        <v>4700</v>
      </c>
      <c r="AF29" s="295">
        <v>6000</v>
      </c>
      <c r="AG29" s="295">
        <v>6000</v>
      </c>
      <c r="AH29" s="295">
        <v>6000</v>
      </c>
      <c r="AI29" s="295">
        <v>7500</v>
      </c>
      <c r="AJ29" s="295">
        <v>7500</v>
      </c>
      <c r="AK29" s="5">
        <v>7500</v>
      </c>
    </row>
    <row r="30" spans="2:37" customFormat="1" ht="13" x14ac:dyDescent="0.15">
      <c r="B30">
        <f t="shared" si="1"/>
        <v>27</v>
      </c>
      <c r="C30">
        <v>376</v>
      </c>
      <c r="D30" s="14" t="s">
        <v>134</v>
      </c>
      <c r="E30" t="s">
        <v>176</v>
      </c>
      <c r="F30" s="10"/>
      <c r="G30" s="9"/>
      <c r="H30" s="287">
        <v>3245</v>
      </c>
      <c r="I30" s="10"/>
      <c r="J30" s="9"/>
      <c r="K30" s="10"/>
      <c r="L30" s="10"/>
      <c r="M30" s="9"/>
      <c r="N30" s="10">
        <v>1662</v>
      </c>
      <c r="O30" s="10"/>
      <c r="P30" s="9"/>
      <c r="Q30" s="10">
        <v>1546</v>
      </c>
      <c r="R30" s="9"/>
      <c r="S30" s="9"/>
      <c r="T30" s="83">
        <f>Modeller!$I$115</f>
        <v>55.287115384615376</v>
      </c>
      <c r="U30" s="83">
        <f>Modeller!$J$115</f>
        <v>728.43124999999998</v>
      </c>
      <c r="V30" s="83">
        <v>2740</v>
      </c>
      <c r="W30" s="83">
        <v>5191</v>
      </c>
      <c r="X30" s="83"/>
      <c r="Y30" s="83"/>
      <c r="Z30" s="295">
        <v>3700</v>
      </c>
      <c r="AA30" s="295">
        <v>3700</v>
      </c>
      <c r="AB30" s="295">
        <v>3700</v>
      </c>
      <c r="AC30" s="295">
        <v>4700</v>
      </c>
      <c r="AD30" s="295">
        <v>4700</v>
      </c>
      <c r="AE30" s="295">
        <v>4700</v>
      </c>
      <c r="AF30" s="295">
        <v>6000</v>
      </c>
      <c r="AG30" s="295">
        <v>6000</v>
      </c>
      <c r="AH30" s="295">
        <v>6000</v>
      </c>
      <c r="AI30" s="295">
        <v>7500</v>
      </c>
      <c r="AJ30" s="295">
        <v>7500</v>
      </c>
      <c r="AK30" s="5">
        <v>7500</v>
      </c>
    </row>
    <row r="31" spans="2:37" customFormat="1" ht="13" x14ac:dyDescent="0.15">
      <c r="B31">
        <f t="shared" si="1"/>
        <v>28</v>
      </c>
      <c r="C31">
        <v>510</v>
      </c>
      <c r="D31" s="14" t="s">
        <v>155</v>
      </c>
      <c r="E31" t="s">
        <v>177</v>
      </c>
      <c r="F31" s="10"/>
      <c r="G31" s="9"/>
      <c r="H31" s="287">
        <v>2854</v>
      </c>
      <c r="I31" s="10"/>
      <c r="J31" s="9"/>
      <c r="K31" s="10"/>
      <c r="L31" s="10"/>
      <c r="M31" s="9"/>
      <c r="N31" s="10">
        <v>1832</v>
      </c>
      <c r="O31" s="10"/>
      <c r="P31" s="9"/>
      <c r="Q31" s="10">
        <v>1634</v>
      </c>
      <c r="R31" s="3"/>
      <c r="S31" s="168"/>
      <c r="T31" s="83">
        <f>Modeller!$I$115</f>
        <v>55.287115384615376</v>
      </c>
      <c r="U31" s="83">
        <f>Modeller!$J$115</f>
        <v>728.43124999999998</v>
      </c>
      <c r="V31" s="83">
        <v>3223</v>
      </c>
      <c r="W31" s="83">
        <v>5724</v>
      </c>
      <c r="X31" s="83"/>
      <c r="Y31" s="83"/>
      <c r="Z31" s="295">
        <v>3700</v>
      </c>
      <c r="AA31" s="295">
        <v>3700</v>
      </c>
      <c r="AB31" s="295">
        <v>3700</v>
      </c>
      <c r="AC31" s="295">
        <v>4700</v>
      </c>
      <c r="AD31" s="295">
        <v>4700</v>
      </c>
      <c r="AE31" s="295">
        <v>4700</v>
      </c>
      <c r="AF31" s="295">
        <v>6000</v>
      </c>
      <c r="AG31" s="295">
        <v>6000</v>
      </c>
      <c r="AH31" s="295">
        <v>6000</v>
      </c>
      <c r="AI31" s="295">
        <v>7500</v>
      </c>
      <c r="AJ31" s="295">
        <v>7500</v>
      </c>
      <c r="AK31" s="5">
        <v>7500</v>
      </c>
    </row>
    <row r="32" spans="2:37" customFormat="1" ht="13" x14ac:dyDescent="0.15">
      <c r="B32">
        <f t="shared" si="1"/>
        <v>29</v>
      </c>
      <c r="C32">
        <v>260</v>
      </c>
      <c r="D32" s="14" t="s">
        <v>119</v>
      </c>
      <c r="E32" t="s">
        <v>175</v>
      </c>
      <c r="F32" s="10"/>
      <c r="G32" s="9"/>
      <c r="H32" s="287">
        <v>3197</v>
      </c>
      <c r="I32" s="10"/>
      <c r="J32" s="9"/>
      <c r="K32" s="10"/>
      <c r="L32" s="10"/>
      <c r="M32" s="9"/>
      <c r="N32" s="10">
        <v>1769</v>
      </c>
      <c r="O32" s="10"/>
      <c r="P32" s="9"/>
      <c r="Q32" s="10">
        <v>1448</v>
      </c>
      <c r="R32" s="157"/>
      <c r="S32" s="181"/>
      <c r="T32" s="83">
        <f>Modeller!$I$115</f>
        <v>55.287115384615376</v>
      </c>
      <c r="U32" s="83">
        <f>Modeller!$J$115</f>
        <v>728.43124999999998</v>
      </c>
      <c r="V32" s="83">
        <v>3096</v>
      </c>
      <c r="W32" s="83">
        <v>5460</v>
      </c>
      <c r="X32" s="83"/>
      <c r="Y32" s="83"/>
      <c r="Z32" s="295">
        <v>3700</v>
      </c>
      <c r="AA32" s="295">
        <v>3700</v>
      </c>
      <c r="AB32" s="295">
        <v>3700</v>
      </c>
      <c r="AC32" s="295">
        <v>4700</v>
      </c>
      <c r="AD32" s="295">
        <v>4700</v>
      </c>
      <c r="AE32" s="295">
        <v>4700</v>
      </c>
      <c r="AF32" s="295">
        <v>6000</v>
      </c>
      <c r="AG32" s="295">
        <v>6000</v>
      </c>
      <c r="AH32" s="295">
        <v>6000</v>
      </c>
      <c r="AI32" s="295">
        <v>7500</v>
      </c>
      <c r="AJ32" s="295">
        <v>7500</v>
      </c>
      <c r="AK32" s="5">
        <v>7500</v>
      </c>
    </row>
    <row r="33" spans="2:37" customFormat="1" ht="13" x14ac:dyDescent="0.15">
      <c r="B33">
        <f t="shared" si="1"/>
        <v>30</v>
      </c>
      <c r="C33">
        <v>766</v>
      </c>
      <c r="D33" s="14" t="s">
        <v>29</v>
      </c>
      <c r="E33" t="s">
        <v>178</v>
      </c>
      <c r="F33" s="10"/>
      <c r="G33" s="9"/>
      <c r="H33" s="287">
        <v>3240</v>
      </c>
      <c r="I33" s="10"/>
      <c r="J33" s="9"/>
      <c r="K33" s="10"/>
      <c r="L33" s="10"/>
      <c r="M33" s="9"/>
      <c r="N33" s="10">
        <v>2184</v>
      </c>
      <c r="O33" s="10"/>
      <c r="P33" s="9"/>
      <c r="Q33" s="10">
        <v>1789</v>
      </c>
      <c r="R33" s="9"/>
      <c r="S33" s="168"/>
      <c r="T33" s="83">
        <f>Modeller!$I$115</f>
        <v>55.287115384615376</v>
      </c>
      <c r="U33" s="83">
        <f>Modeller!$J$115</f>
        <v>728.43124999999998</v>
      </c>
      <c r="V33" s="83">
        <v>3173</v>
      </c>
      <c r="W33" s="83">
        <v>5113</v>
      </c>
      <c r="X33" s="83"/>
      <c r="Y33" s="83"/>
      <c r="Z33" s="295">
        <v>3700</v>
      </c>
      <c r="AA33" s="295">
        <v>3700</v>
      </c>
      <c r="AB33" s="295">
        <v>3700</v>
      </c>
      <c r="AC33" s="295">
        <v>4700</v>
      </c>
      <c r="AD33" s="295">
        <v>4700</v>
      </c>
      <c r="AE33" s="295">
        <v>4700</v>
      </c>
      <c r="AF33" s="295">
        <v>6000</v>
      </c>
      <c r="AG33" s="295">
        <v>6000</v>
      </c>
      <c r="AH33" s="295">
        <v>6000</v>
      </c>
      <c r="AI33" s="295">
        <v>7500</v>
      </c>
      <c r="AJ33" s="295">
        <v>7500</v>
      </c>
      <c r="AK33" s="5">
        <v>7500</v>
      </c>
    </row>
    <row r="34" spans="2:37" customFormat="1" ht="13" x14ac:dyDescent="0.15">
      <c r="B34">
        <f t="shared" si="1"/>
        <v>31</v>
      </c>
      <c r="C34">
        <v>217</v>
      </c>
      <c r="D34" s="14" t="s">
        <v>120</v>
      </c>
      <c r="E34" t="s">
        <v>175</v>
      </c>
      <c r="F34" s="10"/>
      <c r="G34" s="9"/>
      <c r="H34" s="287">
        <v>3268</v>
      </c>
      <c r="I34" s="10"/>
      <c r="J34" s="9"/>
      <c r="K34" s="10"/>
      <c r="L34" s="10"/>
      <c r="M34" s="9"/>
      <c r="N34" s="10">
        <v>1719</v>
      </c>
      <c r="O34" s="10"/>
      <c r="P34" s="9"/>
      <c r="Q34" s="10">
        <v>1517</v>
      </c>
      <c r="R34" s="157"/>
      <c r="S34" s="181"/>
      <c r="T34" s="83">
        <f>Modeller!$I$115</f>
        <v>55.287115384615376</v>
      </c>
      <c r="U34" s="83">
        <f>Modeller!$J$115</f>
        <v>728.43124999999998</v>
      </c>
      <c r="V34" s="83">
        <v>3782</v>
      </c>
      <c r="W34" s="83">
        <v>5617</v>
      </c>
      <c r="X34" s="83"/>
      <c r="Y34" s="83"/>
      <c r="Z34" s="295">
        <v>3700</v>
      </c>
      <c r="AA34" s="295">
        <v>3700</v>
      </c>
      <c r="AB34" s="295">
        <v>3700</v>
      </c>
      <c r="AC34" s="295">
        <v>4700</v>
      </c>
      <c r="AD34" s="295">
        <v>4700</v>
      </c>
      <c r="AE34" s="295">
        <v>4700</v>
      </c>
      <c r="AF34" s="295">
        <v>6000</v>
      </c>
      <c r="AG34" s="295">
        <v>6000</v>
      </c>
      <c r="AH34" s="295">
        <v>6000</v>
      </c>
      <c r="AI34" s="295">
        <v>7500</v>
      </c>
      <c r="AJ34" s="295">
        <v>7500</v>
      </c>
      <c r="AK34" s="5">
        <v>7500</v>
      </c>
    </row>
    <row r="35" spans="2:37" customFormat="1" ht="13" x14ac:dyDescent="0.15">
      <c r="B35">
        <f t="shared" si="1"/>
        <v>32</v>
      </c>
      <c r="C35">
        <v>163</v>
      </c>
      <c r="D35" s="14" t="s">
        <v>121</v>
      </c>
      <c r="E35" t="s">
        <v>175</v>
      </c>
      <c r="F35" s="10"/>
      <c r="G35" s="9"/>
      <c r="H35" s="287">
        <v>2981</v>
      </c>
      <c r="I35" s="10"/>
      <c r="J35" s="9"/>
      <c r="K35" s="10"/>
      <c r="L35" s="10"/>
      <c r="M35" s="9"/>
      <c r="N35" s="10">
        <v>1938</v>
      </c>
      <c r="O35" s="10"/>
      <c r="P35" s="9"/>
      <c r="Q35" s="10">
        <v>1730</v>
      </c>
      <c r="R35" s="9"/>
      <c r="S35" s="168"/>
      <c r="T35" s="83">
        <f>Modeller!$I$115</f>
        <v>55.287115384615376</v>
      </c>
      <c r="U35" s="83">
        <f>Modeller!$J$115</f>
        <v>728.43124999999998</v>
      </c>
      <c r="V35" s="83">
        <v>3488</v>
      </c>
      <c r="W35" s="83">
        <v>5617</v>
      </c>
      <c r="X35" s="83"/>
      <c r="Y35" s="83"/>
      <c r="Z35" s="295">
        <v>3700</v>
      </c>
      <c r="AA35" s="295">
        <v>3700</v>
      </c>
      <c r="AB35" s="295">
        <v>3700</v>
      </c>
      <c r="AC35" s="295">
        <v>4700</v>
      </c>
      <c r="AD35" s="295">
        <v>4700</v>
      </c>
      <c r="AE35" s="295">
        <v>4700</v>
      </c>
      <c r="AF35" s="295">
        <v>6000</v>
      </c>
      <c r="AG35" s="295">
        <v>6000</v>
      </c>
      <c r="AH35" s="295">
        <v>6000</v>
      </c>
      <c r="AI35" s="295">
        <v>7500</v>
      </c>
      <c r="AJ35" s="295">
        <v>7500</v>
      </c>
      <c r="AK35" s="5">
        <v>7500</v>
      </c>
    </row>
    <row r="36" spans="2:37" customFormat="1" ht="13" x14ac:dyDescent="0.15">
      <c r="B36">
        <f t="shared" si="1"/>
        <v>33</v>
      </c>
      <c r="C36">
        <v>657</v>
      </c>
      <c r="D36" s="14" t="s">
        <v>30</v>
      </c>
      <c r="E36" t="s">
        <v>178</v>
      </c>
      <c r="F36" s="10"/>
      <c r="G36" s="9"/>
      <c r="H36" s="287">
        <v>2802</v>
      </c>
      <c r="I36" s="10"/>
      <c r="J36" s="9"/>
      <c r="K36" s="10"/>
      <c r="L36" s="10"/>
      <c r="M36" s="9"/>
      <c r="N36" s="10">
        <v>1637</v>
      </c>
      <c r="O36" s="10"/>
      <c r="P36" s="9"/>
      <c r="Q36" s="10">
        <v>1549</v>
      </c>
      <c r="R36" s="157"/>
      <c r="S36" s="181"/>
      <c r="T36" s="83">
        <f>Modeller!$I$115</f>
        <v>55.287115384615376</v>
      </c>
      <c r="U36" s="83">
        <f>Modeller!$J$115</f>
        <v>728.43124999999998</v>
      </c>
      <c r="V36" s="83">
        <v>2576</v>
      </c>
      <c r="W36" s="83">
        <v>5335</v>
      </c>
      <c r="X36" s="83"/>
      <c r="Y36" s="83"/>
      <c r="Z36" s="295">
        <v>3700</v>
      </c>
      <c r="AA36" s="295">
        <v>3700</v>
      </c>
      <c r="AB36" s="295">
        <v>3700</v>
      </c>
      <c r="AC36" s="295">
        <v>4700</v>
      </c>
      <c r="AD36" s="295">
        <v>4700</v>
      </c>
      <c r="AE36" s="295">
        <v>4700</v>
      </c>
      <c r="AF36" s="295">
        <v>6000</v>
      </c>
      <c r="AG36" s="295">
        <v>6000</v>
      </c>
      <c r="AH36" s="295">
        <v>6000</v>
      </c>
      <c r="AI36" s="295">
        <v>7500</v>
      </c>
      <c r="AJ36" s="295">
        <v>7500</v>
      </c>
      <c r="AK36" s="5">
        <v>7500</v>
      </c>
    </row>
    <row r="37" spans="2:37" customFormat="1" ht="13" x14ac:dyDescent="0.15">
      <c r="B37">
        <f t="shared" ref="B37:B68" si="2">B36+1</f>
        <v>34</v>
      </c>
      <c r="C37">
        <v>219</v>
      </c>
      <c r="D37" s="14" t="s">
        <v>122</v>
      </c>
      <c r="E37" t="s">
        <v>175</v>
      </c>
      <c r="F37" s="10"/>
      <c r="G37" s="9"/>
      <c r="H37" s="287">
        <v>2958</v>
      </c>
      <c r="I37" s="10"/>
      <c r="J37" s="9"/>
      <c r="K37" s="10"/>
      <c r="L37" s="10"/>
      <c r="M37" s="9"/>
      <c r="N37" s="10">
        <v>1684</v>
      </c>
      <c r="O37" s="10"/>
      <c r="P37" s="9"/>
      <c r="Q37" s="10">
        <v>1634</v>
      </c>
      <c r="R37" s="157"/>
      <c r="S37" s="157"/>
      <c r="T37" s="83">
        <f>Modeller!$I$115</f>
        <v>55.287115384615376</v>
      </c>
      <c r="U37" s="83">
        <f>Modeller!$J$115</f>
        <v>728.43124999999998</v>
      </c>
      <c r="V37" s="83">
        <v>3163</v>
      </c>
      <c r="W37" s="83">
        <v>6064</v>
      </c>
      <c r="X37" s="83"/>
      <c r="Y37" s="83"/>
      <c r="Z37" s="295">
        <v>3700</v>
      </c>
      <c r="AA37" s="295">
        <v>3700</v>
      </c>
      <c r="AB37" s="295">
        <v>3700</v>
      </c>
      <c r="AC37" s="295">
        <v>4700</v>
      </c>
      <c r="AD37" s="295">
        <v>4700</v>
      </c>
      <c r="AE37" s="295">
        <v>4700</v>
      </c>
      <c r="AF37" s="295">
        <v>6000</v>
      </c>
      <c r="AG37" s="295">
        <v>6000</v>
      </c>
      <c r="AH37" s="295">
        <v>6000</v>
      </c>
      <c r="AI37" s="295">
        <v>7500</v>
      </c>
      <c r="AJ37" s="295">
        <v>7500</v>
      </c>
      <c r="AK37" s="5">
        <v>7500</v>
      </c>
    </row>
    <row r="38" spans="2:37" customFormat="1" ht="13" x14ac:dyDescent="0.15">
      <c r="B38">
        <f t="shared" si="2"/>
        <v>35</v>
      </c>
      <c r="C38">
        <v>860</v>
      </c>
      <c r="D38" s="14" t="s">
        <v>49</v>
      </c>
      <c r="E38" t="s">
        <v>179</v>
      </c>
      <c r="F38" s="10"/>
      <c r="G38" s="9"/>
      <c r="H38" s="287">
        <v>2691</v>
      </c>
      <c r="I38" s="10"/>
      <c r="J38" s="9"/>
      <c r="K38" s="10"/>
      <c r="L38" s="10"/>
      <c r="M38" s="9"/>
      <c r="N38" s="10">
        <v>1675</v>
      </c>
      <c r="O38" s="10"/>
      <c r="P38" s="9"/>
      <c r="Q38" s="10">
        <v>1329</v>
      </c>
      <c r="R38" s="157"/>
      <c r="S38" s="157"/>
      <c r="T38" s="83">
        <f>Modeller!$I$115</f>
        <v>55.287115384615376</v>
      </c>
      <c r="U38" s="83">
        <f>Modeller!$J$115</f>
        <v>728.43124999999998</v>
      </c>
      <c r="V38" s="83">
        <v>2615</v>
      </c>
      <c r="W38" s="83">
        <v>5108</v>
      </c>
      <c r="X38" s="83"/>
      <c r="Y38" s="83"/>
      <c r="Z38" s="295">
        <v>3700</v>
      </c>
      <c r="AA38" s="295">
        <v>3700</v>
      </c>
      <c r="AB38" s="295">
        <v>3700</v>
      </c>
      <c r="AC38" s="295">
        <v>4700</v>
      </c>
      <c r="AD38" s="295">
        <v>4700</v>
      </c>
      <c r="AE38" s="295">
        <v>4700</v>
      </c>
      <c r="AF38" s="295">
        <v>6000</v>
      </c>
      <c r="AG38" s="295">
        <v>6000</v>
      </c>
      <c r="AH38" s="295">
        <v>6000</v>
      </c>
      <c r="AI38" s="295">
        <v>7500</v>
      </c>
      <c r="AJ38" s="295">
        <v>7500</v>
      </c>
      <c r="AK38" s="5">
        <v>7500</v>
      </c>
    </row>
    <row r="39" spans="2:37" customFormat="1" ht="13" x14ac:dyDescent="0.15">
      <c r="B39">
        <f t="shared" si="2"/>
        <v>36</v>
      </c>
      <c r="C39">
        <v>316</v>
      </c>
      <c r="D39" s="14" t="s">
        <v>135</v>
      </c>
      <c r="E39" t="s">
        <v>176</v>
      </c>
      <c r="F39" s="10"/>
      <c r="G39" s="9"/>
      <c r="H39" s="287">
        <v>3149</v>
      </c>
      <c r="I39" s="10"/>
      <c r="J39" s="9"/>
      <c r="K39" s="10"/>
      <c r="L39" s="10"/>
      <c r="M39" s="9"/>
      <c r="N39" s="10">
        <v>1833</v>
      </c>
      <c r="O39" s="10"/>
      <c r="P39" s="9"/>
      <c r="Q39" s="10">
        <v>1768</v>
      </c>
      <c r="R39" s="157"/>
      <c r="S39" s="157"/>
      <c r="T39" s="83">
        <f>Modeller!$I$115</f>
        <v>55.287115384615376</v>
      </c>
      <c r="U39" s="83">
        <f>Modeller!$J$115</f>
        <v>728.43124999999998</v>
      </c>
      <c r="V39" s="83">
        <v>2546</v>
      </c>
      <c r="W39" s="83">
        <v>5112</v>
      </c>
      <c r="X39" s="83"/>
      <c r="Y39" s="83"/>
      <c r="Z39" s="295">
        <v>3700</v>
      </c>
      <c r="AA39" s="295">
        <v>3700</v>
      </c>
      <c r="AB39" s="295">
        <v>3700</v>
      </c>
      <c r="AC39" s="295">
        <v>4700</v>
      </c>
      <c r="AD39" s="295">
        <v>4700</v>
      </c>
      <c r="AE39" s="295">
        <v>4700</v>
      </c>
      <c r="AF39" s="295">
        <v>6000</v>
      </c>
      <c r="AG39" s="295">
        <v>6000</v>
      </c>
      <c r="AH39" s="295">
        <v>6000</v>
      </c>
      <c r="AI39" s="295">
        <v>7500</v>
      </c>
      <c r="AJ39" s="295">
        <v>7500</v>
      </c>
      <c r="AK39" s="5">
        <v>7500</v>
      </c>
    </row>
    <row r="40" spans="2:37" customFormat="1" ht="13" x14ac:dyDescent="0.15">
      <c r="B40">
        <f t="shared" si="2"/>
        <v>37</v>
      </c>
      <c r="C40">
        <v>661</v>
      </c>
      <c r="D40" s="14" t="s">
        <v>31</v>
      </c>
      <c r="E40" t="s">
        <v>178</v>
      </c>
      <c r="F40" s="10"/>
      <c r="G40" s="9"/>
      <c r="H40" s="287">
        <v>3123</v>
      </c>
      <c r="I40" s="10"/>
      <c r="J40" s="9"/>
      <c r="K40" s="10"/>
      <c r="L40" s="10"/>
      <c r="M40" s="9"/>
      <c r="N40" s="10">
        <v>1640</v>
      </c>
      <c r="O40" s="10"/>
      <c r="P40" s="9"/>
      <c r="Q40" s="10">
        <v>1627</v>
      </c>
      <c r="R40" s="9"/>
      <c r="S40" s="9"/>
      <c r="T40" s="83">
        <f>Modeller!$I$115</f>
        <v>55.287115384615376</v>
      </c>
      <c r="U40" s="83">
        <f>Modeller!$J$115</f>
        <v>728.43124999999998</v>
      </c>
      <c r="V40" s="83">
        <v>2737</v>
      </c>
      <c r="W40" s="83">
        <v>5234</v>
      </c>
      <c r="X40" s="83"/>
      <c r="Y40" s="83"/>
      <c r="Z40" s="295">
        <v>3700</v>
      </c>
      <c r="AA40" s="295">
        <v>3700</v>
      </c>
      <c r="AB40" s="295">
        <v>3700</v>
      </c>
      <c r="AC40" s="295">
        <v>4700</v>
      </c>
      <c r="AD40" s="295">
        <v>4700</v>
      </c>
      <c r="AE40" s="295">
        <v>4700</v>
      </c>
      <c r="AF40" s="295">
        <v>6000</v>
      </c>
      <c r="AG40" s="295">
        <v>6000</v>
      </c>
      <c r="AH40" s="295">
        <v>6000</v>
      </c>
      <c r="AI40" s="295">
        <v>7500</v>
      </c>
      <c r="AJ40" s="295">
        <v>7500</v>
      </c>
      <c r="AK40" s="5">
        <v>7500</v>
      </c>
    </row>
    <row r="41" spans="2:37" customFormat="1" ht="13" x14ac:dyDescent="0.15">
      <c r="B41">
        <f t="shared" si="2"/>
        <v>38</v>
      </c>
      <c r="C41">
        <v>615</v>
      </c>
      <c r="D41" s="14" t="s">
        <v>32</v>
      </c>
      <c r="E41" t="s">
        <v>178</v>
      </c>
      <c r="F41" s="10"/>
      <c r="G41" s="9"/>
      <c r="H41" s="287">
        <v>3079</v>
      </c>
      <c r="I41" s="10"/>
      <c r="J41" s="9"/>
      <c r="K41" s="10"/>
      <c r="L41" s="10"/>
      <c r="M41" s="9"/>
      <c r="N41" s="10">
        <v>1645</v>
      </c>
      <c r="O41" s="10"/>
      <c r="P41" s="9"/>
      <c r="Q41" s="10">
        <v>1710</v>
      </c>
      <c r="R41" s="157"/>
      <c r="S41" s="157"/>
      <c r="T41" s="83">
        <f>Modeller!$I$115</f>
        <v>55.287115384615376</v>
      </c>
      <c r="U41" s="83">
        <f>Modeller!$J$115</f>
        <v>728.43124999999998</v>
      </c>
      <c r="V41" s="83">
        <v>2685</v>
      </c>
      <c r="W41" s="83">
        <v>5699</v>
      </c>
      <c r="X41" s="83"/>
      <c r="Y41" s="83"/>
      <c r="Z41" s="295">
        <v>3700</v>
      </c>
      <c r="AA41" s="295">
        <v>3700</v>
      </c>
      <c r="AB41" s="295">
        <v>3700</v>
      </c>
      <c r="AC41" s="295">
        <v>4700</v>
      </c>
      <c r="AD41" s="295">
        <v>4700</v>
      </c>
      <c r="AE41" s="295">
        <v>4700</v>
      </c>
      <c r="AF41" s="295">
        <v>6000</v>
      </c>
      <c r="AG41" s="295">
        <v>6000</v>
      </c>
      <c r="AH41" s="295">
        <v>6000</v>
      </c>
      <c r="AI41" s="295">
        <v>7500</v>
      </c>
      <c r="AJ41" s="295">
        <v>7500</v>
      </c>
      <c r="AK41" s="5">
        <v>7500</v>
      </c>
    </row>
    <row r="42" spans="2:37" customFormat="1" ht="13" x14ac:dyDescent="0.15">
      <c r="B42">
        <f t="shared" si="2"/>
        <v>39</v>
      </c>
      <c r="C42">
        <v>167</v>
      </c>
      <c r="D42" s="14" t="s">
        <v>123</v>
      </c>
      <c r="E42" t="s">
        <v>175</v>
      </c>
      <c r="F42" s="10"/>
      <c r="G42" s="9"/>
      <c r="H42" s="287">
        <v>2896</v>
      </c>
      <c r="I42" s="10"/>
      <c r="J42" s="9"/>
      <c r="K42" s="10"/>
      <c r="L42" s="10"/>
      <c r="M42" s="9"/>
      <c r="N42" s="10">
        <v>1987</v>
      </c>
      <c r="O42" s="10"/>
      <c r="P42" s="9"/>
      <c r="Q42" s="10">
        <v>1304</v>
      </c>
      <c r="R42" s="9"/>
      <c r="S42" s="9"/>
      <c r="T42" s="83">
        <f>Modeller!$I$115</f>
        <v>55.287115384615376</v>
      </c>
      <c r="U42" s="83">
        <f>Modeller!$J$115</f>
        <v>728.43124999999998</v>
      </c>
      <c r="V42" s="83">
        <v>3610</v>
      </c>
      <c r="W42" s="83">
        <v>6198</v>
      </c>
      <c r="X42" s="83"/>
      <c r="Y42" s="83"/>
      <c r="Z42" s="295">
        <v>3700</v>
      </c>
      <c r="AA42" s="295">
        <v>3700</v>
      </c>
      <c r="AB42" s="295">
        <v>3700</v>
      </c>
      <c r="AC42" s="295">
        <v>4700</v>
      </c>
      <c r="AD42" s="295">
        <v>4700</v>
      </c>
      <c r="AE42" s="295">
        <v>4700</v>
      </c>
      <c r="AF42" s="295">
        <v>6000</v>
      </c>
      <c r="AG42" s="295">
        <v>6000</v>
      </c>
      <c r="AH42" s="295">
        <v>6000</v>
      </c>
      <c r="AI42" s="295">
        <v>7500</v>
      </c>
      <c r="AJ42" s="295">
        <v>7500</v>
      </c>
      <c r="AK42" s="5">
        <v>7500</v>
      </c>
    </row>
    <row r="43" spans="2:37" customFormat="1" ht="13" x14ac:dyDescent="0.15">
      <c r="B43">
        <f t="shared" si="2"/>
        <v>40</v>
      </c>
      <c r="C43">
        <v>169</v>
      </c>
      <c r="D43" s="14" t="s">
        <v>124</v>
      </c>
      <c r="E43" t="s">
        <v>175</v>
      </c>
      <c r="F43" s="10"/>
      <c r="G43" s="9"/>
      <c r="H43" s="287">
        <v>3238</v>
      </c>
      <c r="I43" s="10"/>
      <c r="J43" s="9"/>
      <c r="K43" s="10"/>
      <c r="L43" s="10"/>
      <c r="M43" s="9"/>
      <c r="N43" s="10">
        <v>1794</v>
      </c>
      <c r="O43" s="10"/>
      <c r="P43" s="9"/>
      <c r="Q43" s="10">
        <v>1477</v>
      </c>
      <c r="R43" s="157"/>
      <c r="S43" s="157"/>
      <c r="T43" s="83">
        <f>Modeller!$I$115</f>
        <v>55.287115384615376</v>
      </c>
      <c r="U43" s="83">
        <f>Modeller!$J$115</f>
        <v>728.43124999999998</v>
      </c>
      <c r="V43" s="83">
        <v>3210</v>
      </c>
      <c r="W43" s="83">
        <v>6209</v>
      </c>
      <c r="X43" s="83"/>
      <c r="Y43" s="83"/>
      <c r="Z43" s="295">
        <v>3700</v>
      </c>
      <c r="AA43" s="295">
        <v>3700</v>
      </c>
      <c r="AB43" s="295">
        <v>3700</v>
      </c>
      <c r="AC43" s="295">
        <v>4700</v>
      </c>
      <c r="AD43" s="295">
        <v>4700</v>
      </c>
      <c r="AE43" s="295">
        <v>4700</v>
      </c>
      <c r="AF43" s="295">
        <v>6000</v>
      </c>
      <c r="AG43" s="295">
        <v>6000</v>
      </c>
      <c r="AH43" s="295">
        <v>6000</v>
      </c>
      <c r="AI43" s="295">
        <v>7500</v>
      </c>
      <c r="AJ43" s="295">
        <v>7500</v>
      </c>
      <c r="AK43" s="5">
        <v>7500</v>
      </c>
    </row>
    <row r="44" spans="2:37" customFormat="1" ht="13" x14ac:dyDescent="0.15">
      <c r="B44">
        <f t="shared" si="2"/>
        <v>41</v>
      </c>
      <c r="C44">
        <v>223</v>
      </c>
      <c r="D44" s="14" t="s">
        <v>125</v>
      </c>
      <c r="E44" t="s">
        <v>175</v>
      </c>
      <c r="F44" s="10"/>
      <c r="G44" s="9"/>
      <c r="H44" s="287">
        <v>3370</v>
      </c>
      <c r="I44" s="10"/>
      <c r="J44" s="9"/>
      <c r="K44" s="10"/>
      <c r="L44" s="10"/>
      <c r="M44" s="9"/>
      <c r="N44" s="10">
        <v>1685</v>
      </c>
      <c r="O44" s="10"/>
      <c r="P44" s="9"/>
      <c r="Q44" s="10">
        <v>1727</v>
      </c>
      <c r="R44" s="9"/>
      <c r="S44" s="168"/>
      <c r="T44" s="83">
        <f>Modeller!$I$115</f>
        <v>55.287115384615376</v>
      </c>
      <c r="U44" s="83">
        <f>Modeller!$J$115</f>
        <v>728.43124999999998</v>
      </c>
      <c r="V44" s="83">
        <v>3644</v>
      </c>
      <c r="W44" s="83">
        <v>6553</v>
      </c>
      <c r="X44" s="83"/>
      <c r="Y44" s="83"/>
      <c r="Z44" s="295">
        <v>3700</v>
      </c>
      <c r="AA44" s="295">
        <v>3700</v>
      </c>
      <c r="AB44" s="295">
        <v>3700</v>
      </c>
      <c r="AC44" s="295">
        <v>4700</v>
      </c>
      <c r="AD44" s="295">
        <v>4700</v>
      </c>
      <c r="AE44" s="295">
        <v>4700</v>
      </c>
      <c r="AF44" s="295">
        <v>6000</v>
      </c>
      <c r="AG44" s="295">
        <v>6000</v>
      </c>
      <c r="AH44" s="295">
        <v>6000</v>
      </c>
      <c r="AI44" s="295">
        <v>7500</v>
      </c>
      <c r="AJ44" s="295">
        <v>7500</v>
      </c>
      <c r="AK44" s="5">
        <v>7500</v>
      </c>
    </row>
    <row r="45" spans="2:37" customFormat="1" ht="13" x14ac:dyDescent="0.15">
      <c r="B45">
        <f t="shared" si="2"/>
        <v>42</v>
      </c>
      <c r="C45">
        <v>756</v>
      </c>
      <c r="D45" s="14" t="s">
        <v>33</v>
      </c>
      <c r="E45" t="s">
        <v>178</v>
      </c>
      <c r="F45" s="10"/>
      <c r="G45" s="9"/>
      <c r="H45" s="287">
        <v>2936</v>
      </c>
      <c r="I45" s="10"/>
      <c r="J45" s="9"/>
      <c r="K45" s="10"/>
      <c r="L45" s="10"/>
      <c r="M45" s="9"/>
      <c r="N45" s="10">
        <v>1798</v>
      </c>
      <c r="O45" s="10"/>
      <c r="P45" s="9"/>
      <c r="Q45" s="10">
        <v>1370</v>
      </c>
      <c r="R45" s="9"/>
      <c r="S45" s="9"/>
      <c r="T45" s="83">
        <f>Modeller!$I$115</f>
        <v>55.287115384615376</v>
      </c>
      <c r="U45" s="83">
        <f>Modeller!$J$115</f>
        <v>728.43124999999998</v>
      </c>
      <c r="V45" s="83">
        <v>2846</v>
      </c>
      <c r="W45" s="83">
        <v>6085</v>
      </c>
      <c r="X45" s="83"/>
      <c r="Y45" s="83"/>
      <c r="Z45" s="295">
        <v>3700</v>
      </c>
      <c r="AA45" s="295">
        <v>3700</v>
      </c>
      <c r="AB45" s="295">
        <v>3700</v>
      </c>
      <c r="AC45" s="295">
        <v>4700</v>
      </c>
      <c r="AD45" s="295">
        <v>4700</v>
      </c>
      <c r="AE45" s="295">
        <v>4700</v>
      </c>
      <c r="AF45" s="295">
        <v>6000</v>
      </c>
      <c r="AG45" s="295">
        <v>6000</v>
      </c>
      <c r="AH45" s="295">
        <v>6000</v>
      </c>
      <c r="AI45" s="295">
        <v>7500</v>
      </c>
      <c r="AJ45" s="295">
        <v>7500</v>
      </c>
      <c r="AK45" s="5">
        <v>7500</v>
      </c>
    </row>
    <row r="46" spans="2:37" customFormat="1" ht="13" x14ac:dyDescent="0.15">
      <c r="B46">
        <f t="shared" si="2"/>
        <v>43</v>
      </c>
      <c r="C46">
        <v>183</v>
      </c>
      <c r="D46" s="14" t="s">
        <v>126</v>
      </c>
      <c r="E46" t="s">
        <v>175</v>
      </c>
      <c r="F46" s="10"/>
      <c r="G46" s="9"/>
      <c r="H46" s="287">
        <v>3148</v>
      </c>
      <c r="I46" s="10"/>
      <c r="J46" s="9"/>
      <c r="K46" s="10"/>
      <c r="L46" s="10"/>
      <c r="M46" s="9"/>
      <c r="N46" s="10">
        <v>2170</v>
      </c>
      <c r="O46" s="10"/>
      <c r="P46" s="9"/>
      <c r="Q46" s="10">
        <v>1431</v>
      </c>
      <c r="R46" s="9"/>
      <c r="S46" s="168"/>
      <c r="T46" s="83">
        <f>Modeller!$I$115</f>
        <v>55.287115384615376</v>
      </c>
      <c r="U46" s="83">
        <f>Modeller!$J$115</f>
        <v>728.43124999999998</v>
      </c>
      <c r="V46" s="83">
        <v>3767</v>
      </c>
      <c r="W46" s="83">
        <v>6173</v>
      </c>
      <c r="X46" s="83"/>
      <c r="Y46" s="83"/>
      <c r="Z46" s="295">
        <v>3700</v>
      </c>
      <c r="AA46" s="295">
        <v>3700</v>
      </c>
      <c r="AB46" s="295">
        <v>3700</v>
      </c>
      <c r="AC46" s="295">
        <v>4700</v>
      </c>
      <c r="AD46" s="295">
        <v>4700</v>
      </c>
      <c r="AE46" s="295">
        <v>4700</v>
      </c>
      <c r="AF46" s="295">
        <v>6000</v>
      </c>
      <c r="AG46" s="295">
        <v>6000</v>
      </c>
      <c r="AH46" s="295">
        <v>6000</v>
      </c>
      <c r="AI46" s="295">
        <v>7500</v>
      </c>
      <c r="AJ46" s="295">
        <v>7500</v>
      </c>
      <c r="AK46" s="5">
        <v>7500</v>
      </c>
    </row>
    <row r="47" spans="2:37" customFormat="1" ht="13" x14ac:dyDescent="0.15">
      <c r="B47">
        <f t="shared" si="2"/>
        <v>44</v>
      </c>
      <c r="C47">
        <v>849</v>
      </c>
      <c r="D47" s="14" t="s">
        <v>50</v>
      </c>
      <c r="E47" t="s">
        <v>179</v>
      </c>
      <c r="F47" s="10"/>
      <c r="G47" s="9"/>
      <c r="H47" s="287">
        <v>2891</v>
      </c>
      <c r="I47" s="10"/>
      <c r="J47" s="9"/>
      <c r="K47" s="10"/>
      <c r="L47" s="10"/>
      <c r="M47" s="9"/>
      <c r="N47" s="10">
        <v>1642</v>
      </c>
      <c r="O47" s="10"/>
      <c r="P47" s="9"/>
      <c r="Q47" s="10">
        <v>1379</v>
      </c>
      <c r="R47" s="9"/>
      <c r="S47" s="168"/>
      <c r="T47" s="83">
        <f>Modeller!$I$115</f>
        <v>55.287115384615376</v>
      </c>
      <c r="U47" s="83">
        <f>Modeller!$J$115</f>
        <v>728.43124999999998</v>
      </c>
      <c r="V47" s="83">
        <v>2263</v>
      </c>
      <c r="W47" s="83">
        <v>5271</v>
      </c>
      <c r="X47" s="83"/>
      <c r="Y47" s="83"/>
      <c r="Z47" s="295">
        <v>3700</v>
      </c>
      <c r="AA47" s="295">
        <v>3700</v>
      </c>
      <c r="AB47" s="295">
        <v>3700</v>
      </c>
      <c r="AC47" s="295">
        <v>4700</v>
      </c>
      <c r="AD47" s="295">
        <v>4700</v>
      </c>
      <c r="AE47" s="295">
        <v>4700</v>
      </c>
      <c r="AF47" s="295">
        <v>6000</v>
      </c>
      <c r="AG47" s="295">
        <v>6000</v>
      </c>
      <c r="AH47" s="295">
        <v>6000</v>
      </c>
      <c r="AI47" s="295">
        <v>7500</v>
      </c>
      <c r="AJ47" s="295">
        <v>7500</v>
      </c>
      <c r="AK47" s="5">
        <v>7500</v>
      </c>
    </row>
    <row r="48" spans="2:37" customFormat="1" ht="13" x14ac:dyDescent="0.15">
      <c r="B48">
        <f t="shared" si="2"/>
        <v>45</v>
      </c>
      <c r="C48">
        <v>326</v>
      </c>
      <c r="D48" s="14" t="s">
        <v>136</v>
      </c>
      <c r="E48" t="s">
        <v>176</v>
      </c>
      <c r="F48" s="10"/>
      <c r="G48" s="9"/>
      <c r="H48" s="287">
        <v>2452</v>
      </c>
      <c r="I48" s="10"/>
      <c r="J48" s="9"/>
      <c r="K48" s="10"/>
      <c r="L48" s="10"/>
      <c r="M48" s="9"/>
      <c r="N48" s="10">
        <v>1926</v>
      </c>
      <c r="O48" s="10"/>
      <c r="P48" s="9"/>
      <c r="Q48" s="10">
        <v>1695</v>
      </c>
      <c r="R48" s="9"/>
      <c r="S48" s="168"/>
      <c r="T48" s="83">
        <f>Modeller!$I$115</f>
        <v>55.287115384615376</v>
      </c>
      <c r="U48" s="83">
        <f>Modeller!$J$115</f>
        <v>728.43124999999998</v>
      </c>
      <c r="V48" s="83">
        <v>2249</v>
      </c>
      <c r="W48" s="83">
        <v>5319</v>
      </c>
      <c r="X48" s="83"/>
      <c r="Y48" s="83"/>
      <c r="Z48" s="295">
        <v>3700</v>
      </c>
      <c r="AA48" s="295">
        <v>3700</v>
      </c>
      <c r="AB48" s="295">
        <v>3700</v>
      </c>
      <c r="AC48" s="295">
        <v>4700</v>
      </c>
      <c r="AD48" s="295">
        <v>4700</v>
      </c>
      <c r="AE48" s="295">
        <v>4700</v>
      </c>
      <c r="AF48" s="295">
        <v>6000</v>
      </c>
      <c r="AG48" s="295">
        <v>6000</v>
      </c>
      <c r="AH48" s="295">
        <v>6000</v>
      </c>
      <c r="AI48" s="295">
        <v>7500</v>
      </c>
      <c r="AJ48" s="295">
        <v>7500</v>
      </c>
      <c r="AK48" s="5">
        <v>7500</v>
      </c>
    </row>
    <row r="49" spans="2:37" customFormat="1" ht="13" x14ac:dyDescent="0.15">
      <c r="B49">
        <f t="shared" si="2"/>
        <v>46</v>
      </c>
      <c r="C49">
        <v>440</v>
      </c>
      <c r="D49" s="14" t="s">
        <v>156</v>
      </c>
      <c r="E49" t="s">
        <v>177</v>
      </c>
      <c r="F49" s="10"/>
      <c r="G49" s="9"/>
      <c r="H49" s="287">
        <v>2744</v>
      </c>
      <c r="I49" s="10"/>
      <c r="J49" s="9"/>
      <c r="K49" s="10"/>
      <c r="L49" s="10"/>
      <c r="M49" s="9"/>
      <c r="N49" s="10">
        <v>1634</v>
      </c>
      <c r="O49" s="10"/>
      <c r="P49" s="9"/>
      <c r="Q49" s="10">
        <v>1759</v>
      </c>
      <c r="R49" s="9"/>
      <c r="S49" s="168"/>
      <c r="T49" s="83">
        <f>Modeller!$I$115</f>
        <v>55.287115384615376</v>
      </c>
      <c r="U49" s="83">
        <f>Modeller!$J$115</f>
        <v>728.43124999999998</v>
      </c>
      <c r="V49" s="83">
        <v>2898</v>
      </c>
      <c r="W49" s="83">
        <v>5238</v>
      </c>
      <c r="X49" s="83"/>
      <c r="Y49" s="83"/>
      <c r="Z49" s="295">
        <v>3700</v>
      </c>
      <c r="AA49" s="295">
        <v>3700</v>
      </c>
      <c r="AB49" s="295">
        <v>3700</v>
      </c>
      <c r="AC49" s="295">
        <v>4700</v>
      </c>
      <c r="AD49" s="295">
        <v>4700</v>
      </c>
      <c r="AE49" s="295">
        <v>4700</v>
      </c>
      <c r="AF49" s="295">
        <v>6000</v>
      </c>
      <c r="AG49" s="295">
        <v>6000</v>
      </c>
      <c r="AH49" s="295">
        <v>6000</v>
      </c>
      <c r="AI49" s="295">
        <v>7500</v>
      </c>
      <c r="AJ49" s="295">
        <v>7500</v>
      </c>
      <c r="AK49" s="5">
        <v>7500</v>
      </c>
    </row>
    <row r="50" spans="2:37" customFormat="1" ht="13" x14ac:dyDescent="0.15">
      <c r="B50">
        <f t="shared" si="2"/>
        <v>47</v>
      </c>
      <c r="C50">
        <v>621</v>
      </c>
      <c r="D50" s="14" t="s">
        <v>157</v>
      </c>
      <c r="E50" t="s">
        <v>177</v>
      </c>
      <c r="F50" s="10"/>
      <c r="G50" s="9"/>
      <c r="H50" s="287">
        <v>3399</v>
      </c>
      <c r="I50" s="10"/>
      <c r="J50" s="9"/>
      <c r="K50" s="10"/>
      <c r="L50" s="10"/>
      <c r="M50" s="9"/>
      <c r="N50" s="10">
        <v>1812</v>
      </c>
      <c r="O50" s="10"/>
      <c r="P50" s="9"/>
      <c r="Q50" s="10">
        <v>1537</v>
      </c>
      <c r="R50" s="157"/>
      <c r="S50" s="168"/>
      <c r="T50" s="83">
        <f>Modeller!$I$115</f>
        <v>55.287115384615376</v>
      </c>
      <c r="U50" s="83">
        <f>Modeller!$J$115</f>
        <v>728.43124999999998</v>
      </c>
      <c r="V50" s="83">
        <v>2988</v>
      </c>
      <c r="W50" s="83">
        <v>5540</v>
      </c>
      <c r="X50" s="83"/>
      <c r="Y50" s="83"/>
      <c r="Z50" s="295">
        <v>3700</v>
      </c>
      <c r="AA50" s="295">
        <v>3700</v>
      </c>
      <c r="AB50" s="295">
        <v>3700</v>
      </c>
      <c r="AC50" s="295">
        <v>4700</v>
      </c>
      <c r="AD50" s="295">
        <v>4700</v>
      </c>
      <c r="AE50" s="295">
        <v>4700</v>
      </c>
      <c r="AF50" s="295">
        <v>6000</v>
      </c>
      <c r="AG50" s="295">
        <v>6000</v>
      </c>
      <c r="AH50" s="295">
        <v>6000</v>
      </c>
      <c r="AI50" s="295">
        <v>7500</v>
      </c>
      <c r="AJ50" s="295">
        <v>7500</v>
      </c>
      <c r="AK50" s="5">
        <v>7500</v>
      </c>
    </row>
    <row r="51" spans="2:37" customFormat="1" ht="13" x14ac:dyDescent="0.15">
      <c r="B51">
        <f t="shared" si="2"/>
        <v>48</v>
      </c>
      <c r="C51">
        <v>101</v>
      </c>
      <c r="D51" s="14" t="s">
        <v>104</v>
      </c>
      <c r="E51" t="s">
        <v>175</v>
      </c>
      <c r="F51" s="10"/>
      <c r="G51" s="9"/>
      <c r="H51" s="287">
        <v>3087</v>
      </c>
      <c r="I51" s="10"/>
      <c r="J51" s="9"/>
      <c r="K51" s="10"/>
      <c r="L51" s="10"/>
      <c r="M51" s="9"/>
      <c r="N51" s="10">
        <v>1783</v>
      </c>
      <c r="O51" s="10"/>
      <c r="P51" s="9"/>
      <c r="Q51" s="10">
        <v>927</v>
      </c>
      <c r="R51" s="9"/>
      <c r="S51" s="168"/>
      <c r="T51" s="83">
        <f>Modeller!$I$115</f>
        <v>55.287115384615376</v>
      </c>
      <c r="U51" s="83">
        <f>Modeller!$J$115</f>
        <v>728.43124999999998</v>
      </c>
      <c r="V51" s="83">
        <v>3606</v>
      </c>
      <c r="W51" s="83">
        <v>5972</v>
      </c>
      <c r="X51" s="83"/>
      <c r="Y51" s="83"/>
      <c r="Z51" s="295">
        <v>3700</v>
      </c>
      <c r="AA51" s="295">
        <v>3700</v>
      </c>
      <c r="AB51" s="295">
        <v>3700</v>
      </c>
      <c r="AC51" s="295">
        <v>4700</v>
      </c>
      <c r="AD51" s="295">
        <v>4700</v>
      </c>
      <c r="AE51" s="295">
        <v>4700</v>
      </c>
      <c r="AF51" s="295">
        <v>6000</v>
      </c>
      <c r="AG51" s="295">
        <v>6000</v>
      </c>
      <c r="AH51" s="295">
        <v>6000</v>
      </c>
      <c r="AI51" s="295">
        <v>7500</v>
      </c>
      <c r="AJ51" s="295">
        <v>7500</v>
      </c>
      <c r="AK51" s="5">
        <v>7500</v>
      </c>
    </row>
    <row r="52" spans="2:37" customFormat="1" ht="13" x14ac:dyDescent="0.15">
      <c r="B52">
        <f t="shared" si="2"/>
        <v>49</v>
      </c>
      <c r="C52">
        <v>259</v>
      </c>
      <c r="D52" s="14" t="s">
        <v>137</v>
      </c>
      <c r="E52" t="s">
        <v>176</v>
      </c>
      <c r="F52" s="10"/>
      <c r="G52" s="9"/>
      <c r="H52" s="287">
        <v>3080</v>
      </c>
      <c r="I52" s="10"/>
      <c r="J52" s="9"/>
      <c r="K52" s="10"/>
      <c r="L52" s="10"/>
      <c r="M52" s="9"/>
      <c r="N52" s="10">
        <v>1850</v>
      </c>
      <c r="O52" s="10"/>
      <c r="P52" s="9"/>
      <c r="Q52" s="10">
        <v>1595</v>
      </c>
      <c r="R52" s="9"/>
      <c r="S52" s="168"/>
      <c r="T52" s="83">
        <f>Modeller!$I$115</f>
        <v>55.287115384615376</v>
      </c>
      <c r="U52" s="83">
        <f>Modeller!$J$115</f>
        <v>728.43124999999998</v>
      </c>
      <c r="V52" s="83">
        <v>3356</v>
      </c>
      <c r="W52" s="83">
        <v>5911</v>
      </c>
      <c r="X52" s="83"/>
      <c r="Y52" s="83"/>
      <c r="Z52" s="295">
        <v>3700</v>
      </c>
      <c r="AA52" s="295">
        <v>3700</v>
      </c>
      <c r="AB52" s="295">
        <v>3700</v>
      </c>
      <c r="AC52" s="295">
        <v>4700</v>
      </c>
      <c r="AD52" s="295">
        <v>4700</v>
      </c>
      <c r="AE52" s="295">
        <v>4700</v>
      </c>
      <c r="AF52" s="295">
        <v>6000</v>
      </c>
      <c r="AG52" s="295">
        <v>6000</v>
      </c>
      <c r="AH52" s="295">
        <v>6000</v>
      </c>
      <c r="AI52" s="295">
        <v>7500</v>
      </c>
      <c r="AJ52" s="295">
        <v>7500</v>
      </c>
      <c r="AK52" s="5">
        <v>7500</v>
      </c>
    </row>
    <row r="53" spans="2:37" customFormat="1" ht="13" x14ac:dyDescent="0.15">
      <c r="B53">
        <f t="shared" si="2"/>
        <v>50</v>
      </c>
      <c r="C53">
        <v>482</v>
      </c>
      <c r="D53" s="14" t="s">
        <v>158</v>
      </c>
      <c r="E53" t="s">
        <v>177</v>
      </c>
      <c r="F53" s="10"/>
      <c r="G53" s="9"/>
      <c r="H53" s="287">
        <v>2558</v>
      </c>
      <c r="I53" s="10"/>
      <c r="J53" s="9"/>
      <c r="K53" s="10"/>
      <c r="L53" s="10"/>
      <c r="M53" s="9"/>
      <c r="N53" s="10">
        <v>2278</v>
      </c>
      <c r="O53" s="10"/>
      <c r="P53" s="9"/>
      <c r="Q53" s="10">
        <v>1890</v>
      </c>
      <c r="R53" s="9"/>
      <c r="S53" s="9"/>
      <c r="T53" s="83">
        <f>Modeller!$I$115</f>
        <v>55.287115384615376</v>
      </c>
      <c r="U53" s="83">
        <f>Modeller!$J$115</f>
        <v>728.43124999999998</v>
      </c>
      <c r="V53" s="83">
        <v>2370</v>
      </c>
      <c r="W53" s="83">
        <v>4935</v>
      </c>
      <c r="X53" s="83"/>
      <c r="Y53" s="83"/>
      <c r="Z53" s="295">
        <v>3700</v>
      </c>
      <c r="AA53" s="295">
        <v>3700</v>
      </c>
      <c r="AB53" s="295">
        <v>3700</v>
      </c>
      <c r="AC53" s="295">
        <v>4700</v>
      </c>
      <c r="AD53" s="295">
        <v>4700</v>
      </c>
      <c r="AE53" s="295">
        <v>4700</v>
      </c>
      <c r="AF53" s="295">
        <v>6000</v>
      </c>
      <c r="AG53" s="295">
        <v>6000</v>
      </c>
      <c r="AH53" s="295">
        <v>6000</v>
      </c>
      <c r="AI53" s="295">
        <v>7500</v>
      </c>
      <c r="AJ53" s="295">
        <v>7500</v>
      </c>
      <c r="AK53" s="5">
        <v>7500</v>
      </c>
    </row>
    <row r="54" spans="2:37" customFormat="1" ht="13" x14ac:dyDescent="0.15">
      <c r="B54">
        <f t="shared" si="2"/>
        <v>51</v>
      </c>
      <c r="C54">
        <v>350</v>
      </c>
      <c r="D54" s="14" t="s">
        <v>138</v>
      </c>
      <c r="E54" t="s">
        <v>176</v>
      </c>
      <c r="F54" s="10"/>
      <c r="G54" s="9"/>
      <c r="H54" s="287">
        <v>3240</v>
      </c>
      <c r="I54" s="10"/>
      <c r="J54" s="9"/>
      <c r="K54" s="10"/>
      <c r="L54" s="10"/>
      <c r="M54" s="9"/>
      <c r="N54" s="10">
        <v>1605</v>
      </c>
      <c r="O54" s="10"/>
      <c r="P54" s="9"/>
      <c r="Q54" s="10">
        <v>1519</v>
      </c>
      <c r="R54" s="9"/>
      <c r="S54" s="168"/>
      <c r="T54" s="83">
        <f>Modeller!$I$115</f>
        <v>55.287115384615376</v>
      </c>
      <c r="U54" s="83">
        <f>Modeller!$J$115</f>
        <v>728.43124999999998</v>
      </c>
      <c r="V54" s="83">
        <v>2461</v>
      </c>
      <c r="W54" s="83">
        <v>5269</v>
      </c>
      <c r="X54" s="83"/>
      <c r="Y54" s="83"/>
      <c r="Z54" s="295">
        <v>3700</v>
      </c>
      <c r="AA54" s="295">
        <v>3700</v>
      </c>
      <c r="AB54" s="295">
        <v>3700</v>
      </c>
      <c r="AC54" s="295">
        <v>4700</v>
      </c>
      <c r="AD54" s="295">
        <v>4700</v>
      </c>
      <c r="AE54" s="295">
        <v>4700</v>
      </c>
      <c r="AF54" s="295">
        <v>6000</v>
      </c>
      <c r="AG54" s="295">
        <v>6000</v>
      </c>
      <c r="AH54" s="295">
        <v>6000</v>
      </c>
      <c r="AI54" s="295">
        <v>7500</v>
      </c>
      <c r="AJ54" s="295">
        <v>7500</v>
      </c>
      <c r="AK54" s="5">
        <v>7500</v>
      </c>
    </row>
    <row r="55" spans="2:37" customFormat="1" ht="13" x14ac:dyDescent="0.15">
      <c r="B55">
        <f t="shared" si="2"/>
        <v>52</v>
      </c>
      <c r="C55">
        <v>665</v>
      </c>
      <c r="D55" s="14" t="s">
        <v>34</v>
      </c>
      <c r="E55" t="s">
        <v>178</v>
      </c>
      <c r="F55" s="10"/>
      <c r="G55" s="9"/>
      <c r="H55" s="287">
        <v>3277</v>
      </c>
      <c r="I55" s="10"/>
      <c r="J55" s="9"/>
      <c r="K55" s="10"/>
      <c r="L55" s="10"/>
      <c r="M55" s="9"/>
      <c r="N55" s="10">
        <v>1977</v>
      </c>
      <c r="O55" s="10"/>
      <c r="P55" s="9"/>
      <c r="Q55" s="10">
        <v>1700</v>
      </c>
      <c r="R55" s="9"/>
      <c r="S55" s="168"/>
      <c r="T55" s="83">
        <f>Modeller!$I$115</f>
        <v>55.287115384615376</v>
      </c>
      <c r="U55" s="83">
        <f>Modeller!$J$115</f>
        <v>728.43124999999998</v>
      </c>
      <c r="V55" s="83">
        <v>2381</v>
      </c>
      <c r="W55" s="83">
        <v>5265</v>
      </c>
      <c r="X55" s="83"/>
      <c r="Y55" s="83"/>
      <c r="Z55" s="295">
        <v>3700</v>
      </c>
      <c r="AA55" s="295">
        <v>3700</v>
      </c>
      <c r="AB55" s="295">
        <v>3700</v>
      </c>
      <c r="AC55" s="295">
        <v>4700</v>
      </c>
      <c r="AD55" s="295">
        <v>4700</v>
      </c>
      <c r="AE55" s="295">
        <v>4700</v>
      </c>
      <c r="AF55" s="295">
        <v>6000</v>
      </c>
      <c r="AG55" s="295">
        <v>6000</v>
      </c>
      <c r="AH55" s="295">
        <v>6000</v>
      </c>
      <c r="AI55" s="295">
        <v>7500</v>
      </c>
      <c r="AJ55" s="295">
        <v>7500</v>
      </c>
      <c r="AK55" s="5">
        <v>7500</v>
      </c>
    </row>
    <row r="56" spans="2:37" customFormat="1" ht="13" x14ac:dyDescent="0.15">
      <c r="B56">
        <f t="shared" si="2"/>
        <v>53</v>
      </c>
      <c r="C56">
        <v>360</v>
      </c>
      <c r="D56" s="14" t="s">
        <v>139</v>
      </c>
      <c r="E56" t="s">
        <v>176</v>
      </c>
      <c r="F56" s="10"/>
      <c r="G56" s="9"/>
      <c r="H56" s="287">
        <v>2929</v>
      </c>
      <c r="I56" s="10"/>
      <c r="J56" s="9"/>
      <c r="K56" s="10"/>
      <c r="L56" s="10"/>
      <c r="M56" s="9"/>
      <c r="N56" s="10">
        <v>1869</v>
      </c>
      <c r="O56" s="10"/>
      <c r="P56" s="9"/>
      <c r="Q56" s="10">
        <v>1541</v>
      </c>
      <c r="R56" s="9"/>
      <c r="S56" s="168"/>
      <c r="T56" s="83">
        <f>Modeller!$I$115</f>
        <v>55.287115384615376</v>
      </c>
      <c r="U56" s="83">
        <f>Modeller!$J$115</f>
        <v>728.43124999999998</v>
      </c>
      <c r="V56" s="83">
        <v>2300</v>
      </c>
      <c r="W56" s="83">
        <v>5564</v>
      </c>
      <c r="X56" s="83"/>
      <c r="Y56" s="83"/>
      <c r="Z56" s="295">
        <v>3700</v>
      </c>
      <c r="AA56" s="295">
        <v>3700</v>
      </c>
      <c r="AB56" s="295">
        <v>3700</v>
      </c>
      <c r="AC56" s="295">
        <v>4700</v>
      </c>
      <c r="AD56" s="295">
        <v>4700</v>
      </c>
      <c r="AE56" s="295">
        <v>4700</v>
      </c>
      <c r="AF56" s="295">
        <v>6000</v>
      </c>
      <c r="AG56" s="295">
        <v>6000</v>
      </c>
      <c r="AH56" s="295">
        <v>6000</v>
      </c>
      <c r="AI56" s="295">
        <v>7500</v>
      </c>
      <c r="AJ56" s="295">
        <v>7500</v>
      </c>
      <c r="AK56" s="5">
        <v>7500</v>
      </c>
    </row>
    <row r="57" spans="2:37" customFormat="1" ht="13" x14ac:dyDescent="0.15">
      <c r="B57">
        <f t="shared" si="2"/>
        <v>54</v>
      </c>
      <c r="C57">
        <v>173</v>
      </c>
      <c r="D57" s="14" t="s">
        <v>127</v>
      </c>
      <c r="E57" t="s">
        <v>175</v>
      </c>
      <c r="F57" s="10"/>
      <c r="G57" s="9"/>
      <c r="H57" s="287">
        <v>3085</v>
      </c>
      <c r="I57" s="10"/>
      <c r="J57" s="9"/>
      <c r="K57" s="10"/>
      <c r="L57" s="10"/>
      <c r="M57" s="9"/>
      <c r="N57" s="10">
        <v>1797</v>
      </c>
      <c r="O57" s="10"/>
      <c r="P57" s="9"/>
      <c r="Q57" s="10">
        <v>1888</v>
      </c>
      <c r="R57" s="9"/>
      <c r="S57" s="168"/>
      <c r="T57" s="83">
        <f>Modeller!$I$115</f>
        <v>55.287115384615376</v>
      </c>
      <c r="U57" s="83">
        <f>Modeller!$J$115</f>
        <v>728.43124999999998</v>
      </c>
      <c r="V57" s="83">
        <v>3458</v>
      </c>
      <c r="W57" s="83">
        <v>6109</v>
      </c>
      <c r="X57" s="83"/>
      <c r="Y57" s="83"/>
      <c r="Z57" s="295">
        <v>3700</v>
      </c>
      <c r="AA57" s="295">
        <v>3700</v>
      </c>
      <c r="AB57" s="295">
        <v>3700</v>
      </c>
      <c r="AC57" s="295">
        <v>4700</v>
      </c>
      <c r="AD57" s="295">
        <v>4700</v>
      </c>
      <c r="AE57" s="295">
        <v>4700</v>
      </c>
      <c r="AF57" s="295">
        <v>6000</v>
      </c>
      <c r="AG57" s="295">
        <v>6000</v>
      </c>
      <c r="AH57" s="295">
        <v>6000</v>
      </c>
      <c r="AI57" s="295">
        <v>7500</v>
      </c>
      <c r="AJ57" s="295">
        <v>7500</v>
      </c>
      <c r="AK57" s="5">
        <v>7500</v>
      </c>
    </row>
    <row r="58" spans="2:37" customFormat="1" ht="13" x14ac:dyDescent="0.15">
      <c r="B58">
        <f t="shared" si="2"/>
        <v>55</v>
      </c>
      <c r="C58">
        <v>825</v>
      </c>
      <c r="D58" s="14" t="s">
        <v>51</v>
      </c>
      <c r="E58" t="s">
        <v>179</v>
      </c>
      <c r="F58" s="10"/>
      <c r="G58" s="9"/>
      <c r="H58" s="287">
        <v>3636</v>
      </c>
      <c r="I58" s="10"/>
      <c r="J58" s="9"/>
      <c r="K58" s="10"/>
      <c r="L58" s="10"/>
      <c r="M58" s="9"/>
      <c r="N58" s="10">
        <v>2066</v>
      </c>
      <c r="O58" s="10"/>
      <c r="P58" s="9"/>
      <c r="Q58" s="10">
        <v>1388</v>
      </c>
      <c r="R58" s="9"/>
      <c r="S58" s="168"/>
      <c r="T58" s="83">
        <f>Modeller!$I$115</f>
        <v>55.287115384615376</v>
      </c>
      <c r="U58" s="83">
        <f>Modeller!$J$115</f>
        <v>728.43124999999998</v>
      </c>
      <c r="V58" s="83">
        <v>2155</v>
      </c>
      <c r="W58" s="83">
        <v>5275</v>
      </c>
      <c r="X58" s="83"/>
      <c r="Y58" s="83"/>
      <c r="Z58" s="295">
        <v>3700</v>
      </c>
      <c r="AA58" s="295">
        <v>3700</v>
      </c>
      <c r="AB58" s="295">
        <v>3700</v>
      </c>
      <c r="AC58" s="295">
        <v>4700</v>
      </c>
      <c r="AD58" s="295">
        <v>4700</v>
      </c>
      <c r="AE58" s="295">
        <v>4700</v>
      </c>
      <c r="AF58" s="295">
        <v>6000</v>
      </c>
      <c r="AG58" s="295">
        <v>6000</v>
      </c>
      <c r="AH58" s="295">
        <v>6000</v>
      </c>
      <c r="AI58" s="295">
        <v>7500</v>
      </c>
      <c r="AJ58" s="295">
        <v>7500</v>
      </c>
      <c r="AK58" s="5">
        <v>7500</v>
      </c>
    </row>
    <row r="59" spans="2:37" customFormat="1" ht="13" x14ac:dyDescent="0.15">
      <c r="B59">
        <f t="shared" si="2"/>
        <v>56</v>
      </c>
      <c r="C59">
        <v>846</v>
      </c>
      <c r="D59" s="14" t="s">
        <v>52</v>
      </c>
      <c r="E59" t="s">
        <v>179</v>
      </c>
      <c r="F59" s="10"/>
      <c r="G59" s="9"/>
      <c r="H59" s="287">
        <v>3130</v>
      </c>
      <c r="I59" s="10"/>
      <c r="J59" s="9"/>
      <c r="K59" s="10"/>
      <c r="L59" s="10"/>
      <c r="M59" s="9"/>
      <c r="N59" s="10">
        <v>1832</v>
      </c>
      <c r="O59" s="10"/>
      <c r="P59" s="9"/>
      <c r="Q59" s="10">
        <v>1600</v>
      </c>
      <c r="R59" s="9"/>
      <c r="S59" s="9"/>
      <c r="T59" s="83">
        <f>Modeller!$I$115</f>
        <v>55.287115384615376</v>
      </c>
      <c r="U59" s="83">
        <f>Modeller!$J$115</f>
        <v>728.43124999999998</v>
      </c>
      <c r="V59" s="83">
        <v>2220</v>
      </c>
      <c r="W59" s="83">
        <v>5240</v>
      </c>
      <c r="X59" s="83"/>
      <c r="Y59" s="83"/>
      <c r="Z59" s="295">
        <v>3700</v>
      </c>
      <c r="AA59" s="295">
        <v>3700</v>
      </c>
      <c r="AB59" s="295">
        <v>3700</v>
      </c>
      <c r="AC59" s="295">
        <v>4700</v>
      </c>
      <c r="AD59" s="295">
        <v>4700</v>
      </c>
      <c r="AE59" s="295">
        <v>4700</v>
      </c>
      <c r="AF59" s="295">
        <v>6000</v>
      </c>
      <c r="AG59" s="295">
        <v>6000</v>
      </c>
      <c r="AH59" s="295">
        <v>6000</v>
      </c>
      <c r="AI59" s="295">
        <v>7500</v>
      </c>
      <c r="AJ59" s="295">
        <v>7500</v>
      </c>
      <c r="AK59" s="5">
        <v>7500</v>
      </c>
    </row>
    <row r="60" spans="2:37" customFormat="1" ht="13" x14ac:dyDescent="0.15">
      <c r="B60">
        <f t="shared" si="2"/>
        <v>57</v>
      </c>
      <c r="C60">
        <v>410</v>
      </c>
      <c r="D60" s="14" t="s">
        <v>159</v>
      </c>
      <c r="E60" t="s">
        <v>177</v>
      </c>
      <c r="F60" s="10"/>
      <c r="G60" s="9"/>
      <c r="H60" s="287">
        <v>3084</v>
      </c>
      <c r="I60" s="10"/>
      <c r="J60" s="9"/>
      <c r="K60" s="10"/>
      <c r="L60" s="10"/>
      <c r="M60" s="9"/>
      <c r="N60" s="10">
        <v>1756</v>
      </c>
      <c r="O60" s="10"/>
      <c r="P60" s="9"/>
      <c r="Q60" s="10">
        <v>1645</v>
      </c>
      <c r="R60" s="9"/>
      <c r="S60" s="168"/>
      <c r="T60" s="83">
        <f>Modeller!$I$115</f>
        <v>55.287115384615376</v>
      </c>
      <c r="U60" s="83">
        <f>Modeller!$J$115</f>
        <v>728.43124999999998</v>
      </c>
      <c r="V60" s="83">
        <v>2700</v>
      </c>
      <c r="W60" s="83">
        <v>5520</v>
      </c>
      <c r="X60" s="83"/>
      <c r="Y60" s="83"/>
      <c r="Z60" s="295">
        <v>3700</v>
      </c>
      <c r="AA60" s="295">
        <v>3700</v>
      </c>
      <c r="AB60" s="295">
        <v>3700</v>
      </c>
      <c r="AC60" s="295">
        <v>4700</v>
      </c>
      <c r="AD60" s="295">
        <v>4700</v>
      </c>
      <c r="AE60" s="295">
        <v>4700</v>
      </c>
      <c r="AF60" s="295">
        <v>6000</v>
      </c>
      <c r="AG60" s="295">
        <v>6000</v>
      </c>
      <c r="AH60" s="295">
        <v>6000</v>
      </c>
      <c r="AI60" s="295">
        <v>7500</v>
      </c>
      <c r="AJ60" s="295">
        <v>7500</v>
      </c>
      <c r="AK60" s="5">
        <v>7500</v>
      </c>
    </row>
    <row r="61" spans="2:37" customFormat="1" ht="13" x14ac:dyDescent="0.15">
      <c r="B61">
        <f t="shared" si="2"/>
        <v>58</v>
      </c>
      <c r="C61">
        <v>773</v>
      </c>
      <c r="D61" s="14" t="s">
        <v>53</v>
      </c>
      <c r="E61" t="s">
        <v>179</v>
      </c>
      <c r="F61" s="10"/>
      <c r="G61" s="9"/>
      <c r="H61" s="287">
        <v>2640</v>
      </c>
      <c r="I61" s="10"/>
      <c r="J61" s="9"/>
      <c r="K61" s="10"/>
      <c r="L61" s="10"/>
      <c r="M61" s="9"/>
      <c r="N61" s="10">
        <v>1742</v>
      </c>
      <c r="O61" s="10"/>
      <c r="P61" s="9"/>
      <c r="Q61" s="10">
        <v>1215</v>
      </c>
      <c r="R61" s="9"/>
      <c r="S61" s="168"/>
      <c r="T61" s="83">
        <f>Modeller!$I$115</f>
        <v>55.287115384615376</v>
      </c>
      <c r="U61" s="83">
        <f>Modeller!$J$115</f>
        <v>728.43124999999998</v>
      </c>
      <c r="V61" s="83">
        <v>2589</v>
      </c>
      <c r="W61" s="83">
        <v>5346</v>
      </c>
      <c r="X61" s="83"/>
      <c r="Y61" s="83"/>
      <c r="Z61" s="295">
        <v>3700</v>
      </c>
      <c r="AA61" s="295">
        <v>3700</v>
      </c>
      <c r="AB61" s="295">
        <v>3700</v>
      </c>
      <c r="AC61" s="295">
        <v>4700</v>
      </c>
      <c r="AD61" s="295">
        <v>4700</v>
      </c>
      <c r="AE61" s="295">
        <v>4700</v>
      </c>
      <c r="AF61" s="295">
        <v>6000</v>
      </c>
      <c r="AG61" s="295">
        <v>6000</v>
      </c>
      <c r="AH61" s="295">
        <v>6000</v>
      </c>
      <c r="AI61" s="295">
        <v>7500</v>
      </c>
      <c r="AJ61" s="295">
        <v>7500</v>
      </c>
      <c r="AK61" s="5">
        <v>7500</v>
      </c>
    </row>
    <row r="62" spans="2:37" customFormat="1" ht="13" x14ac:dyDescent="0.15">
      <c r="B62">
        <f t="shared" si="2"/>
        <v>59</v>
      </c>
      <c r="C62">
        <v>707</v>
      </c>
      <c r="D62" s="14" t="s">
        <v>35</v>
      </c>
      <c r="E62" t="s">
        <v>178</v>
      </c>
      <c r="F62" s="10"/>
      <c r="G62" s="9"/>
      <c r="H62" s="287">
        <v>2902</v>
      </c>
      <c r="I62" s="10"/>
      <c r="J62" s="9"/>
      <c r="K62" s="10"/>
      <c r="L62" s="10"/>
      <c r="M62" s="9"/>
      <c r="N62" s="10">
        <v>1586</v>
      </c>
      <c r="O62" s="10"/>
      <c r="P62" s="9"/>
      <c r="Q62" s="10">
        <v>1635</v>
      </c>
      <c r="R62" s="9"/>
      <c r="S62" s="168"/>
      <c r="T62" s="83">
        <f>Modeller!$I$115</f>
        <v>55.287115384615376</v>
      </c>
      <c r="U62" s="83">
        <f>Modeller!$J$115</f>
        <v>728.43124999999998</v>
      </c>
      <c r="V62" s="83">
        <v>2770</v>
      </c>
      <c r="W62" s="83">
        <v>5189</v>
      </c>
      <c r="X62" s="83"/>
      <c r="Y62" s="83"/>
      <c r="Z62" s="295">
        <v>3700</v>
      </c>
      <c r="AA62" s="295">
        <v>3700</v>
      </c>
      <c r="AB62" s="295">
        <v>3700</v>
      </c>
      <c r="AC62" s="295">
        <v>4700</v>
      </c>
      <c r="AD62" s="295">
        <v>4700</v>
      </c>
      <c r="AE62" s="295">
        <v>4700</v>
      </c>
      <c r="AF62" s="295">
        <v>6000</v>
      </c>
      <c r="AG62" s="295">
        <v>6000</v>
      </c>
      <c r="AH62" s="295">
        <v>6000</v>
      </c>
      <c r="AI62" s="295">
        <v>7500</v>
      </c>
      <c r="AJ62" s="295">
        <v>7500</v>
      </c>
      <c r="AK62" s="5">
        <v>7500</v>
      </c>
    </row>
    <row r="63" spans="2:37" customFormat="1" ht="13" x14ac:dyDescent="0.15">
      <c r="B63">
        <f t="shared" si="2"/>
        <v>60</v>
      </c>
      <c r="C63">
        <v>480</v>
      </c>
      <c r="D63" s="14" t="s">
        <v>342</v>
      </c>
      <c r="E63" t="s">
        <v>177</v>
      </c>
      <c r="F63" s="10"/>
      <c r="G63" s="9"/>
      <c r="H63" s="287">
        <v>3034</v>
      </c>
      <c r="I63" s="10"/>
      <c r="J63" s="9"/>
      <c r="K63" s="10"/>
      <c r="L63" s="10"/>
      <c r="M63" s="9"/>
      <c r="N63" s="10">
        <v>1732</v>
      </c>
      <c r="O63" s="10"/>
      <c r="P63" s="9"/>
      <c r="Q63" s="10">
        <v>1604</v>
      </c>
      <c r="R63" s="9"/>
      <c r="S63" s="168"/>
      <c r="T63" s="83">
        <f>Modeller!$I$115</f>
        <v>55.287115384615376</v>
      </c>
      <c r="U63" s="83">
        <f>Modeller!$J$115</f>
        <v>728.43124999999998</v>
      </c>
      <c r="V63" s="83">
        <v>2528</v>
      </c>
      <c r="W63" s="83">
        <v>5167</v>
      </c>
      <c r="X63" s="83"/>
      <c r="Y63" s="83"/>
      <c r="Z63" s="295">
        <v>3700</v>
      </c>
      <c r="AA63" s="295">
        <v>3700</v>
      </c>
      <c r="AB63" s="295">
        <v>3700</v>
      </c>
      <c r="AC63" s="295">
        <v>4700</v>
      </c>
      <c r="AD63" s="295">
        <v>4700</v>
      </c>
      <c r="AE63" s="295">
        <v>4700</v>
      </c>
      <c r="AF63" s="295">
        <v>6000</v>
      </c>
      <c r="AG63" s="295">
        <v>6000</v>
      </c>
      <c r="AH63" s="295">
        <v>6000</v>
      </c>
      <c r="AI63" s="295">
        <v>7500</v>
      </c>
      <c r="AJ63" s="295">
        <v>7500</v>
      </c>
      <c r="AK63" s="5">
        <v>7500</v>
      </c>
    </row>
    <row r="64" spans="2:37" customFormat="1" ht="13" x14ac:dyDescent="0.15">
      <c r="B64">
        <f t="shared" si="2"/>
        <v>61</v>
      </c>
      <c r="C64">
        <v>450</v>
      </c>
      <c r="D64" s="14" t="s">
        <v>160</v>
      </c>
      <c r="E64" t="s">
        <v>177</v>
      </c>
      <c r="F64" s="10"/>
      <c r="G64" s="9"/>
      <c r="H64" s="287">
        <v>3121</v>
      </c>
      <c r="I64" s="10"/>
      <c r="J64" s="9"/>
      <c r="K64" s="10"/>
      <c r="L64" s="10"/>
      <c r="M64" s="9"/>
      <c r="N64" s="10">
        <v>1701</v>
      </c>
      <c r="O64" s="10"/>
      <c r="P64" s="9"/>
      <c r="Q64" s="10">
        <v>1170</v>
      </c>
      <c r="R64" s="9"/>
      <c r="S64" s="168"/>
      <c r="T64" s="83">
        <f>Modeller!$I$115</f>
        <v>55.287115384615376</v>
      </c>
      <c r="U64" s="83">
        <f>Modeller!$J$115</f>
        <v>728.43124999999998</v>
      </c>
      <c r="V64" s="83">
        <v>2499</v>
      </c>
      <c r="W64" s="83">
        <v>4957</v>
      </c>
      <c r="X64" s="83"/>
      <c r="Y64" s="83"/>
      <c r="Z64" s="295">
        <v>3700</v>
      </c>
      <c r="AA64" s="295">
        <v>3700</v>
      </c>
      <c r="AB64" s="295">
        <v>3700</v>
      </c>
      <c r="AC64" s="295">
        <v>4700</v>
      </c>
      <c r="AD64" s="295">
        <v>4700</v>
      </c>
      <c r="AE64" s="295">
        <v>4700</v>
      </c>
      <c r="AF64" s="295">
        <v>6000</v>
      </c>
      <c r="AG64" s="295">
        <v>6000</v>
      </c>
      <c r="AH64" s="295">
        <v>6000</v>
      </c>
      <c r="AI64" s="295">
        <v>7500</v>
      </c>
      <c r="AJ64" s="295">
        <v>7500</v>
      </c>
      <c r="AK64" s="5">
        <v>7500</v>
      </c>
    </row>
    <row r="65" spans="2:37" customFormat="1" ht="13" x14ac:dyDescent="0.15">
      <c r="B65">
        <f t="shared" si="2"/>
        <v>62</v>
      </c>
      <c r="C65">
        <v>370</v>
      </c>
      <c r="D65" s="14" t="s">
        <v>140</v>
      </c>
      <c r="E65" t="s">
        <v>176</v>
      </c>
      <c r="F65" s="10"/>
      <c r="G65" s="9"/>
      <c r="H65" s="287">
        <v>3028</v>
      </c>
      <c r="I65" s="10"/>
      <c r="J65" s="9"/>
      <c r="K65" s="10"/>
      <c r="L65" s="10"/>
      <c r="M65" s="9"/>
      <c r="N65" s="10">
        <v>1826</v>
      </c>
      <c r="O65" s="10"/>
      <c r="P65" s="9"/>
      <c r="Q65" s="10">
        <v>1766</v>
      </c>
      <c r="R65" s="9"/>
      <c r="S65" s="168"/>
      <c r="T65" s="83">
        <f>Modeller!$I$115</f>
        <v>55.287115384615376</v>
      </c>
      <c r="U65" s="83">
        <f>Modeller!$J$115</f>
        <v>728.43124999999998</v>
      </c>
      <c r="V65" s="83">
        <v>2527</v>
      </c>
      <c r="W65" s="83">
        <v>4820</v>
      </c>
      <c r="X65" s="83"/>
      <c r="Y65" s="83"/>
      <c r="Z65" s="295">
        <v>3700</v>
      </c>
      <c r="AA65" s="295">
        <v>3700</v>
      </c>
      <c r="AB65" s="295">
        <v>3700</v>
      </c>
      <c r="AC65" s="295">
        <v>4700</v>
      </c>
      <c r="AD65" s="295">
        <v>4700</v>
      </c>
      <c r="AE65" s="295">
        <v>4700</v>
      </c>
      <c r="AF65" s="295">
        <v>6000</v>
      </c>
      <c r="AG65" s="295">
        <v>6000</v>
      </c>
      <c r="AH65" s="295">
        <v>6000</v>
      </c>
      <c r="AI65" s="295">
        <v>7500</v>
      </c>
      <c r="AJ65" s="295">
        <v>7500</v>
      </c>
      <c r="AK65" s="5">
        <v>7500</v>
      </c>
    </row>
    <row r="66" spans="2:37" customFormat="1" ht="13" x14ac:dyDescent="0.15">
      <c r="B66">
        <f t="shared" si="2"/>
        <v>63</v>
      </c>
      <c r="C66">
        <v>727</v>
      </c>
      <c r="D66" s="14" t="s">
        <v>36</v>
      </c>
      <c r="E66" t="s">
        <v>178</v>
      </c>
      <c r="F66" s="10"/>
      <c r="G66" s="9"/>
      <c r="H66" s="287">
        <v>2872</v>
      </c>
      <c r="I66" s="10"/>
      <c r="J66" s="9"/>
      <c r="K66" s="10"/>
      <c r="L66" s="10"/>
      <c r="M66" s="9"/>
      <c r="N66" s="10">
        <v>1473</v>
      </c>
      <c r="O66" s="10"/>
      <c r="P66" s="9"/>
      <c r="Q66" s="10">
        <v>1723</v>
      </c>
      <c r="R66" s="9"/>
      <c r="S66" s="168"/>
      <c r="T66" s="83">
        <f>Modeller!$I$115</f>
        <v>55.287115384615376</v>
      </c>
      <c r="U66" s="83">
        <f>Modeller!$J$115</f>
        <v>728.43124999999998</v>
      </c>
      <c r="V66" s="83">
        <v>3232</v>
      </c>
      <c r="W66" s="83">
        <v>5508</v>
      </c>
      <c r="X66" s="83"/>
      <c r="Y66" s="83"/>
      <c r="Z66" s="295">
        <v>3700</v>
      </c>
      <c r="AA66" s="295">
        <v>3700</v>
      </c>
      <c r="AB66" s="295">
        <v>3700</v>
      </c>
      <c r="AC66" s="295">
        <v>4700</v>
      </c>
      <c r="AD66" s="295">
        <v>4700</v>
      </c>
      <c r="AE66" s="295">
        <v>4700</v>
      </c>
      <c r="AF66" s="295">
        <v>6000</v>
      </c>
      <c r="AG66" s="295">
        <v>6000</v>
      </c>
      <c r="AH66" s="295">
        <v>6000</v>
      </c>
      <c r="AI66" s="295">
        <v>7500</v>
      </c>
      <c r="AJ66" s="295">
        <v>7500</v>
      </c>
      <c r="AK66" s="5">
        <v>7500</v>
      </c>
    </row>
    <row r="67" spans="2:37" customFormat="1" ht="13" x14ac:dyDescent="0.15">
      <c r="B67">
        <f t="shared" si="2"/>
        <v>64</v>
      </c>
      <c r="C67">
        <v>461</v>
      </c>
      <c r="D67" s="14" t="s">
        <v>161</v>
      </c>
      <c r="E67" t="s">
        <v>177</v>
      </c>
      <c r="F67" s="10"/>
      <c r="G67" s="9"/>
      <c r="H67" s="287">
        <v>2951</v>
      </c>
      <c r="I67" s="10"/>
      <c r="J67" s="9"/>
      <c r="K67" s="10"/>
      <c r="L67" s="10"/>
      <c r="M67" s="9"/>
      <c r="N67" s="10">
        <v>1693</v>
      </c>
      <c r="O67" s="10"/>
      <c r="P67" s="9"/>
      <c r="Q67" s="10">
        <v>2030</v>
      </c>
      <c r="R67" s="9"/>
      <c r="S67" s="168"/>
      <c r="T67" s="83">
        <f>Modeller!$I$115</f>
        <v>55.287115384615376</v>
      </c>
      <c r="U67" s="83">
        <f>Modeller!$J$115</f>
        <v>728.43124999999998</v>
      </c>
      <c r="V67" s="83">
        <v>3025</v>
      </c>
      <c r="W67" s="83">
        <v>5442</v>
      </c>
      <c r="X67" s="83"/>
      <c r="Y67" s="83"/>
      <c r="Z67" s="295">
        <v>3700</v>
      </c>
      <c r="AA67" s="295">
        <v>3700</v>
      </c>
      <c r="AB67" s="295">
        <v>3700</v>
      </c>
      <c r="AC67" s="295">
        <v>4700</v>
      </c>
      <c r="AD67" s="295">
        <v>4700</v>
      </c>
      <c r="AE67" s="295">
        <v>4700</v>
      </c>
      <c r="AF67" s="295">
        <v>6000</v>
      </c>
      <c r="AG67" s="295">
        <v>6000</v>
      </c>
      <c r="AH67" s="295">
        <v>6000</v>
      </c>
      <c r="AI67" s="295">
        <v>7500</v>
      </c>
      <c r="AJ67" s="295">
        <v>7500</v>
      </c>
      <c r="AK67" s="5">
        <v>7500</v>
      </c>
    </row>
    <row r="68" spans="2:37" customFormat="1" ht="13" x14ac:dyDescent="0.15">
      <c r="B68">
        <f t="shared" si="2"/>
        <v>65</v>
      </c>
      <c r="C68">
        <v>306</v>
      </c>
      <c r="D68" s="14" t="s">
        <v>141</v>
      </c>
      <c r="E68" t="s">
        <v>176</v>
      </c>
      <c r="F68" s="10"/>
      <c r="G68" s="9"/>
      <c r="H68" s="287">
        <v>3039</v>
      </c>
      <c r="I68" s="10"/>
      <c r="J68" s="9"/>
      <c r="K68" s="10"/>
      <c r="L68" s="10"/>
      <c r="M68" s="9"/>
      <c r="N68" s="10">
        <v>1913</v>
      </c>
      <c r="O68" s="10"/>
      <c r="P68" s="9"/>
      <c r="Q68" s="10">
        <v>1778</v>
      </c>
      <c r="R68" s="9"/>
      <c r="S68" s="168"/>
      <c r="T68" s="83">
        <f>Modeller!$I$115</f>
        <v>55.287115384615376</v>
      </c>
      <c r="U68" s="83">
        <f>Modeller!$J$115</f>
        <v>728.43124999999998</v>
      </c>
      <c r="V68" s="83">
        <v>2351</v>
      </c>
      <c r="W68" s="83">
        <v>4882</v>
      </c>
      <c r="X68" s="83"/>
      <c r="Y68" s="83"/>
      <c r="Z68" s="295">
        <v>3700</v>
      </c>
      <c r="AA68" s="295">
        <v>3700</v>
      </c>
      <c r="AB68" s="295">
        <v>3700</v>
      </c>
      <c r="AC68" s="295">
        <v>4700</v>
      </c>
      <c r="AD68" s="295">
        <v>4700</v>
      </c>
      <c r="AE68" s="295">
        <v>4700</v>
      </c>
      <c r="AF68" s="295">
        <v>6000</v>
      </c>
      <c r="AG68" s="295">
        <v>6000</v>
      </c>
      <c r="AH68" s="295">
        <v>6000</v>
      </c>
      <c r="AI68" s="295">
        <v>7500</v>
      </c>
      <c r="AJ68" s="295">
        <v>7500</v>
      </c>
      <c r="AK68" s="5">
        <v>7500</v>
      </c>
    </row>
    <row r="69" spans="2:37" customFormat="1" ht="13" x14ac:dyDescent="0.15">
      <c r="B69">
        <f t="shared" ref="B69:B101" si="3">B68+1</f>
        <v>66</v>
      </c>
      <c r="C69">
        <v>730</v>
      </c>
      <c r="D69" s="14" t="s">
        <v>37</v>
      </c>
      <c r="E69" t="s">
        <v>178</v>
      </c>
      <c r="F69" s="10"/>
      <c r="G69" s="9"/>
      <c r="H69" s="287">
        <v>2644</v>
      </c>
      <c r="I69" s="10"/>
      <c r="J69" s="9"/>
      <c r="K69" s="10"/>
      <c r="L69" s="10"/>
      <c r="M69" s="9"/>
      <c r="N69" s="10">
        <v>1669</v>
      </c>
      <c r="O69" s="10"/>
      <c r="P69" s="9"/>
      <c r="Q69" s="10">
        <v>1742</v>
      </c>
      <c r="R69" s="9"/>
      <c r="S69" s="168"/>
      <c r="T69" s="83">
        <f>Modeller!$I$115</f>
        <v>55.287115384615376</v>
      </c>
      <c r="U69" s="83">
        <f>Modeller!$J$115</f>
        <v>728.43124999999998</v>
      </c>
      <c r="V69" s="83">
        <v>2944</v>
      </c>
      <c r="W69" s="83">
        <v>4817</v>
      </c>
      <c r="X69" s="83"/>
      <c r="Y69" s="83"/>
      <c r="Z69" s="295">
        <v>3700</v>
      </c>
      <c r="AA69" s="295">
        <v>3700</v>
      </c>
      <c r="AB69" s="295">
        <v>3700</v>
      </c>
      <c r="AC69" s="295">
        <v>4700</v>
      </c>
      <c r="AD69" s="295">
        <v>4700</v>
      </c>
      <c r="AE69" s="295">
        <v>4700</v>
      </c>
      <c r="AF69" s="295">
        <v>6000</v>
      </c>
      <c r="AG69" s="295">
        <v>6000</v>
      </c>
      <c r="AH69" s="295">
        <v>6000</v>
      </c>
      <c r="AI69" s="295">
        <v>7500</v>
      </c>
      <c r="AJ69" s="295">
        <v>7500</v>
      </c>
      <c r="AK69" s="5">
        <v>7500</v>
      </c>
    </row>
    <row r="70" spans="2:37" customFormat="1" ht="13" x14ac:dyDescent="0.15">
      <c r="B70">
        <f t="shared" si="3"/>
        <v>67</v>
      </c>
      <c r="C70">
        <v>840</v>
      </c>
      <c r="D70" s="14" t="s">
        <v>54</v>
      </c>
      <c r="E70" t="s">
        <v>179</v>
      </c>
      <c r="F70" s="10"/>
      <c r="G70" s="9"/>
      <c r="H70" s="287">
        <v>3006</v>
      </c>
      <c r="I70" s="10"/>
      <c r="J70" s="9"/>
      <c r="K70" s="10"/>
      <c r="L70" s="10"/>
      <c r="M70" s="9"/>
      <c r="N70" s="10">
        <v>1769</v>
      </c>
      <c r="O70" s="10"/>
      <c r="P70" s="9"/>
      <c r="Q70" s="10">
        <v>1731</v>
      </c>
      <c r="R70" s="9"/>
      <c r="S70" s="168"/>
      <c r="T70" s="83">
        <f>Modeller!$I$115</f>
        <v>55.287115384615376</v>
      </c>
      <c r="U70" s="83">
        <f>Modeller!$J$115</f>
        <v>728.43124999999998</v>
      </c>
      <c r="V70" s="83">
        <v>2080</v>
      </c>
      <c r="W70" s="83">
        <v>5343</v>
      </c>
      <c r="X70" s="83"/>
      <c r="Y70" s="83"/>
      <c r="Z70" s="295">
        <v>3700</v>
      </c>
      <c r="AA70" s="295">
        <v>3700</v>
      </c>
      <c r="AB70" s="295">
        <v>3700</v>
      </c>
      <c r="AC70" s="295">
        <v>4700</v>
      </c>
      <c r="AD70" s="295">
        <v>4700</v>
      </c>
      <c r="AE70" s="295">
        <v>4700</v>
      </c>
      <c r="AF70" s="295">
        <v>6000</v>
      </c>
      <c r="AG70" s="295">
        <v>6000</v>
      </c>
      <c r="AH70" s="295">
        <v>6000</v>
      </c>
      <c r="AI70" s="295">
        <v>7500</v>
      </c>
      <c r="AJ70" s="295">
        <v>7500</v>
      </c>
      <c r="AK70" s="5">
        <v>7500</v>
      </c>
    </row>
    <row r="71" spans="2:37" customFormat="1" ht="13" x14ac:dyDescent="0.15">
      <c r="B71">
        <f t="shared" si="3"/>
        <v>68</v>
      </c>
      <c r="C71">
        <v>760</v>
      </c>
      <c r="D71" s="14" t="s">
        <v>38</v>
      </c>
      <c r="E71" t="s">
        <v>178</v>
      </c>
      <c r="F71" s="10"/>
      <c r="G71" s="9"/>
      <c r="H71" s="287">
        <v>2744</v>
      </c>
      <c r="I71" s="10"/>
      <c r="J71" s="9"/>
      <c r="K71" s="10"/>
      <c r="L71" s="10"/>
      <c r="M71" s="9"/>
      <c r="N71" s="10">
        <v>1687</v>
      </c>
      <c r="O71" s="10"/>
      <c r="P71" s="9"/>
      <c r="Q71" s="10">
        <v>1388</v>
      </c>
      <c r="R71" s="9"/>
      <c r="S71" s="168"/>
      <c r="T71" s="83">
        <f>Modeller!$I$115</f>
        <v>55.287115384615376</v>
      </c>
      <c r="U71" s="83">
        <f>Modeller!$J$115</f>
        <v>728.43124999999998</v>
      </c>
      <c r="V71" s="83">
        <v>2329</v>
      </c>
      <c r="W71" s="83">
        <v>5020</v>
      </c>
      <c r="X71" s="83"/>
      <c r="Y71" s="83"/>
      <c r="Z71" s="295">
        <v>3700</v>
      </c>
      <c r="AA71" s="295">
        <v>3700</v>
      </c>
      <c r="AB71" s="295">
        <v>3700</v>
      </c>
      <c r="AC71" s="295">
        <v>4700</v>
      </c>
      <c r="AD71" s="295">
        <v>4700</v>
      </c>
      <c r="AE71" s="295">
        <v>4700</v>
      </c>
      <c r="AF71" s="295">
        <v>6000</v>
      </c>
      <c r="AG71" s="295">
        <v>6000</v>
      </c>
      <c r="AH71" s="295">
        <v>6000</v>
      </c>
      <c r="AI71" s="295">
        <v>7500</v>
      </c>
      <c r="AJ71" s="295">
        <v>7500</v>
      </c>
      <c r="AK71" s="5">
        <v>7500</v>
      </c>
    </row>
    <row r="72" spans="2:37" customFormat="1" ht="13" x14ac:dyDescent="0.15">
      <c r="B72">
        <f t="shared" si="3"/>
        <v>69</v>
      </c>
      <c r="C72">
        <v>329</v>
      </c>
      <c r="D72" s="14" t="s">
        <v>142</v>
      </c>
      <c r="E72" t="s">
        <v>176</v>
      </c>
      <c r="F72" s="10"/>
      <c r="G72" s="9"/>
      <c r="H72" s="287">
        <v>3069</v>
      </c>
      <c r="I72" s="10"/>
      <c r="J72" s="9"/>
      <c r="K72" s="10"/>
      <c r="L72" s="10"/>
      <c r="M72" s="9"/>
      <c r="N72" s="10">
        <v>1741</v>
      </c>
      <c r="O72" s="10"/>
      <c r="P72" s="9"/>
      <c r="Q72" s="10">
        <v>1588</v>
      </c>
      <c r="R72" s="9"/>
      <c r="S72" s="168"/>
      <c r="T72" s="83">
        <f>Modeller!$I$115</f>
        <v>55.287115384615376</v>
      </c>
      <c r="U72" s="83">
        <f>Modeller!$J$115</f>
        <v>728.43124999999998</v>
      </c>
      <c r="V72" s="83">
        <v>2324</v>
      </c>
      <c r="W72" s="83">
        <v>5214</v>
      </c>
      <c r="X72" s="83"/>
      <c r="Y72" s="83"/>
      <c r="Z72" s="295">
        <v>3700</v>
      </c>
      <c r="AA72" s="295">
        <v>3700</v>
      </c>
      <c r="AB72" s="295">
        <v>3700</v>
      </c>
      <c r="AC72" s="295">
        <v>4700</v>
      </c>
      <c r="AD72" s="295">
        <v>4700</v>
      </c>
      <c r="AE72" s="295">
        <v>4700</v>
      </c>
      <c r="AF72" s="295">
        <v>6000</v>
      </c>
      <c r="AG72" s="295">
        <v>6000</v>
      </c>
      <c r="AH72" s="295">
        <v>6000</v>
      </c>
      <c r="AI72" s="295">
        <v>7500</v>
      </c>
      <c r="AJ72" s="295">
        <v>7500</v>
      </c>
      <c r="AK72" s="5">
        <v>7500</v>
      </c>
    </row>
    <row r="73" spans="2:37" customFormat="1" ht="13" x14ac:dyDescent="0.15">
      <c r="B73">
        <f t="shared" si="3"/>
        <v>70</v>
      </c>
      <c r="C73">
        <v>265</v>
      </c>
      <c r="D73" s="14" t="s">
        <v>143</v>
      </c>
      <c r="E73" t="s">
        <v>176</v>
      </c>
      <c r="F73" s="10"/>
      <c r="G73" s="9"/>
      <c r="H73" s="287">
        <v>3337</v>
      </c>
      <c r="I73" s="10"/>
      <c r="J73" s="9"/>
      <c r="K73" s="10"/>
      <c r="L73" s="10"/>
      <c r="M73" s="9"/>
      <c r="N73" s="10">
        <v>1752</v>
      </c>
      <c r="O73" s="10"/>
      <c r="P73" s="9"/>
      <c r="Q73" s="10">
        <v>1786</v>
      </c>
      <c r="R73" s="9"/>
      <c r="S73" s="168"/>
      <c r="T73" s="83">
        <f>Modeller!$I$115</f>
        <v>55.287115384615376</v>
      </c>
      <c r="U73" s="83">
        <f>Modeller!$J$115</f>
        <v>728.43124999999998</v>
      </c>
      <c r="V73" s="83">
        <v>2244</v>
      </c>
      <c r="W73" s="83">
        <v>5634</v>
      </c>
      <c r="X73" s="83"/>
      <c r="Y73" s="83"/>
      <c r="Z73" s="295">
        <v>3700</v>
      </c>
      <c r="AA73" s="295">
        <v>3700</v>
      </c>
      <c r="AB73" s="295">
        <v>3700</v>
      </c>
      <c r="AC73" s="295">
        <v>4700</v>
      </c>
      <c r="AD73" s="295">
        <v>4700</v>
      </c>
      <c r="AE73" s="295">
        <v>4700</v>
      </c>
      <c r="AF73" s="295">
        <v>6000</v>
      </c>
      <c r="AG73" s="295">
        <v>6000</v>
      </c>
      <c r="AH73" s="295">
        <v>6000</v>
      </c>
      <c r="AI73" s="295">
        <v>7500</v>
      </c>
      <c r="AJ73" s="295">
        <v>7500</v>
      </c>
      <c r="AK73" s="5">
        <v>7500</v>
      </c>
    </row>
    <row r="74" spans="2:37" customFormat="1" ht="13" x14ac:dyDescent="0.15">
      <c r="B74">
        <f t="shared" si="3"/>
        <v>71</v>
      </c>
      <c r="C74">
        <v>230</v>
      </c>
      <c r="D74" s="14" t="s">
        <v>128</v>
      </c>
      <c r="E74" t="s">
        <v>175</v>
      </c>
      <c r="F74" s="10"/>
      <c r="G74" s="9"/>
      <c r="H74" s="287">
        <v>2979</v>
      </c>
      <c r="I74" s="10"/>
      <c r="J74" s="9"/>
      <c r="K74" s="10"/>
      <c r="L74" s="10"/>
      <c r="M74" s="9"/>
      <c r="N74" s="10">
        <v>1742</v>
      </c>
      <c r="O74" s="10"/>
      <c r="P74" s="9"/>
      <c r="Q74" s="10">
        <v>1632</v>
      </c>
      <c r="R74" s="9"/>
      <c r="S74" s="168"/>
      <c r="T74" s="83">
        <f>Modeller!$I$115</f>
        <v>55.287115384615376</v>
      </c>
      <c r="U74" s="83">
        <f>Modeller!$J$115</f>
        <v>728.43124999999998</v>
      </c>
      <c r="V74" s="83">
        <v>3704</v>
      </c>
      <c r="W74" s="83">
        <v>6926</v>
      </c>
      <c r="X74" s="83"/>
      <c r="Y74" s="83"/>
      <c r="Z74" s="295">
        <v>3700</v>
      </c>
      <c r="AA74" s="295">
        <v>3700</v>
      </c>
      <c r="AB74" s="295">
        <v>3700</v>
      </c>
      <c r="AC74" s="295">
        <v>4700</v>
      </c>
      <c r="AD74" s="295">
        <v>4700</v>
      </c>
      <c r="AE74" s="295">
        <v>4700</v>
      </c>
      <c r="AF74" s="295">
        <v>6000</v>
      </c>
      <c r="AG74" s="295">
        <v>6000</v>
      </c>
      <c r="AH74" s="295">
        <v>6000</v>
      </c>
      <c r="AI74" s="295">
        <v>7500</v>
      </c>
      <c r="AJ74" s="295">
        <v>7500</v>
      </c>
      <c r="AK74" s="5">
        <v>7500</v>
      </c>
    </row>
    <row r="75" spans="2:37" customFormat="1" ht="13" x14ac:dyDescent="0.15">
      <c r="B75">
        <f t="shared" si="3"/>
        <v>72</v>
      </c>
      <c r="C75">
        <v>175</v>
      </c>
      <c r="D75" s="14" t="s">
        <v>129</v>
      </c>
      <c r="E75" t="s">
        <v>175</v>
      </c>
      <c r="F75" s="10"/>
      <c r="G75" s="9"/>
      <c r="H75" s="287">
        <v>3241</v>
      </c>
      <c r="I75" s="10"/>
      <c r="J75" s="9"/>
      <c r="K75" s="10"/>
      <c r="L75" s="10"/>
      <c r="M75" s="9"/>
      <c r="N75" s="10">
        <v>1793</v>
      </c>
      <c r="O75" s="10"/>
      <c r="P75" s="9"/>
      <c r="Q75" s="10">
        <v>1616</v>
      </c>
      <c r="R75" s="9"/>
      <c r="S75" s="168"/>
      <c r="T75" s="83">
        <f>Modeller!$I$115</f>
        <v>55.287115384615376</v>
      </c>
      <c r="U75" s="83">
        <f>Modeller!$J$115</f>
        <v>728.43124999999998</v>
      </c>
      <c r="V75" s="83">
        <v>3723</v>
      </c>
      <c r="W75" s="83">
        <v>5681</v>
      </c>
      <c r="X75" s="83"/>
      <c r="Y75" s="83"/>
      <c r="Z75" s="295">
        <v>3700</v>
      </c>
      <c r="AA75" s="295">
        <v>3700</v>
      </c>
      <c r="AB75" s="295">
        <v>3700</v>
      </c>
      <c r="AC75" s="295">
        <v>4700</v>
      </c>
      <c r="AD75" s="295">
        <v>4700</v>
      </c>
      <c r="AE75" s="295">
        <v>4700</v>
      </c>
      <c r="AF75" s="295">
        <v>6000</v>
      </c>
      <c r="AG75" s="295">
        <v>6000</v>
      </c>
      <c r="AH75" s="295">
        <v>6000</v>
      </c>
      <c r="AI75" s="295">
        <v>7500</v>
      </c>
      <c r="AJ75" s="295">
        <v>7500</v>
      </c>
      <c r="AK75" s="5">
        <v>7500</v>
      </c>
    </row>
    <row r="76" spans="2:37" customFormat="1" ht="13" x14ac:dyDescent="0.15">
      <c r="B76">
        <f t="shared" si="3"/>
        <v>73</v>
      </c>
      <c r="C76">
        <v>741</v>
      </c>
      <c r="D76" s="14" t="s">
        <v>39</v>
      </c>
      <c r="E76" t="s">
        <v>178</v>
      </c>
      <c r="F76" s="10"/>
      <c r="G76" s="9"/>
      <c r="H76" s="288"/>
      <c r="I76" s="10"/>
      <c r="J76" s="9"/>
      <c r="K76" s="10"/>
      <c r="L76" s="10"/>
      <c r="M76" s="9"/>
      <c r="N76" s="10">
        <v>1911</v>
      </c>
      <c r="O76" s="10"/>
      <c r="P76" s="9"/>
      <c r="Q76" s="10">
        <v>1467</v>
      </c>
      <c r="R76" s="9"/>
      <c r="S76" s="168"/>
      <c r="T76" s="83">
        <f>Modeller!$I$115</f>
        <v>55.287115384615376</v>
      </c>
      <c r="U76" s="83">
        <f>Modeller!$J$115</f>
        <v>728.43124999999998</v>
      </c>
      <c r="V76" s="83">
        <v>2593</v>
      </c>
      <c r="W76" s="83">
        <v>5248</v>
      </c>
      <c r="X76" s="83"/>
      <c r="Y76" s="83"/>
      <c r="Z76" s="295">
        <v>3700</v>
      </c>
      <c r="AA76" s="295">
        <v>3700</v>
      </c>
      <c r="AB76" s="295">
        <v>3700</v>
      </c>
      <c r="AC76" s="295">
        <v>4700</v>
      </c>
      <c r="AD76" s="295">
        <v>4700</v>
      </c>
      <c r="AE76" s="295">
        <v>4700</v>
      </c>
      <c r="AF76" s="295">
        <v>6000</v>
      </c>
      <c r="AG76" s="295">
        <v>6000</v>
      </c>
      <c r="AH76" s="295">
        <v>6000</v>
      </c>
      <c r="AI76" s="295">
        <v>7500</v>
      </c>
      <c r="AJ76" s="295">
        <v>7500</v>
      </c>
      <c r="AK76" s="5">
        <v>7500</v>
      </c>
    </row>
    <row r="77" spans="2:37" customFormat="1" ht="13" x14ac:dyDescent="0.15">
      <c r="B77">
        <f t="shared" si="3"/>
        <v>74</v>
      </c>
      <c r="C77">
        <v>740</v>
      </c>
      <c r="D77" s="14" t="s">
        <v>40</v>
      </c>
      <c r="E77" t="s">
        <v>178</v>
      </c>
      <c r="F77" s="10"/>
      <c r="G77" s="9"/>
      <c r="H77" s="287">
        <v>3007</v>
      </c>
      <c r="I77" s="10"/>
      <c r="J77" s="9"/>
      <c r="K77" s="10"/>
      <c r="L77" s="10"/>
      <c r="M77" s="9"/>
      <c r="N77" s="10">
        <v>1659</v>
      </c>
      <c r="O77" s="10"/>
      <c r="P77" s="9"/>
      <c r="Q77" s="10">
        <v>1728</v>
      </c>
      <c r="R77" s="9"/>
      <c r="S77" s="168"/>
      <c r="T77" s="83">
        <f>Modeller!$I$115</f>
        <v>55.287115384615376</v>
      </c>
      <c r="U77" s="83">
        <f>Modeller!$J$115</f>
        <v>728.43124999999998</v>
      </c>
      <c r="V77" s="83">
        <v>2808</v>
      </c>
      <c r="W77" s="83">
        <v>5131</v>
      </c>
      <c r="X77" s="83"/>
      <c r="Y77" s="83"/>
      <c r="Z77" s="295">
        <v>3700</v>
      </c>
      <c r="AA77" s="295">
        <v>3700</v>
      </c>
      <c r="AB77" s="295">
        <v>3700</v>
      </c>
      <c r="AC77" s="295">
        <v>4700</v>
      </c>
      <c r="AD77" s="295">
        <v>4700</v>
      </c>
      <c r="AE77" s="295">
        <v>4700</v>
      </c>
      <c r="AF77" s="295">
        <v>6000</v>
      </c>
      <c r="AG77" s="295">
        <v>6000</v>
      </c>
      <c r="AH77" s="295">
        <v>6000</v>
      </c>
      <c r="AI77" s="295">
        <v>7500</v>
      </c>
      <c r="AJ77" s="295">
        <v>7500</v>
      </c>
      <c r="AK77" s="5">
        <v>7500</v>
      </c>
    </row>
    <row r="78" spans="2:37" customFormat="1" ht="13" x14ac:dyDescent="0.15">
      <c r="B78">
        <f t="shared" si="3"/>
        <v>75</v>
      </c>
      <c r="C78">
        <v>746</v>
      </c>
      <c r="D78" s="14" t="s">
        <v>41</v>
      </c>
      <c r="E78" t="s">
        <v>178</v>
      </c>
      <c r="F78" s="10"/>
      <c r="G78" s="9"/>
      <c r="H78" s="287">
        <v>3002</v>
      </c>
      <c r="I78" s="10"/>
      <c r="J78" s="9"/>
      <c r="K78" s="10"/>
      <c r="L78" s="10"/>
      <c r="M78" s="9"/>
      <c r="N78" s="10">
        <v>1643</v>
      </c>
      <c r="O78" s="10"/>
      <c r="P78" s="9"/>
      <c r="Q78" s="10">
        <v>1666</v>
      </c>
      <c r="R78" s="9"/>
      <c r="S78" s="168"/>
      <c r="T78" s="83">
        <f>Modeller!$I$115</f>
        <v>55.287115384615376</v>
      </c>
      <c r="U78" s="83">
        <f>Modeller!$J$115</f>
        <v>728.43124999999998</v>
      </c>
      <c r="V78" s="83">
        <v>2736</v>
      </c>
      <c r="W78" s="83">
        <v>5388</v>
      </c>
      <c r="X78" s="83"/>
      <c r="Y78" s="83"/>
      <c r="Z78" s="295">
        <v>3700</v>
      </c>
      <c r="AA78" s="295">
        <v>3700</v>
      </c>
      <c r="AB78" s="295">
        <v>3700</v>
      </c>
      <c r="AC78" s="295">
        <v>4700</v>
      </c>
      <c r="AD78" s="295">
        <v>4700</v>
      </c>
      <c r="AE78" s="295">
        <v>4700</v>
      </c>
      <c r="AF78" s="295">
        <v>6000</v>
      </c>
      <c r="AG78" s="295">
        <v>6000</v>
      </c>
      <c r="AH78" s="295">
        <v>6000</v>
      </c>
      <c r="AI78" s="295">
        <v>7500</v>
      </c>
      <c r="AJ78" s="295">
        <v>7500</v>
      </c>
      <c r="AK78" s="5">
        <v>7500</v>
      </c>
    </row>
    <row r="79" spans="2:37" customFormat="1" ht="13" x14ac:dyDescent="0.15">
      <c r="B79">
        <f t="shared" si="3"/>
        <v>76</v>
      </c>
      <c r="C79">
        <v>779</v>
      </c>
      <c r="D79" s="14" t="s">
        <v>42</v>
      </c>
      <c r="E79" t="s">
        <v>178</v>
      </c>
      <c r="F79" s="10"/>
      <c r="G79" s="9"/>
      <c r="H79" s="287">
        <v>3365</v>
      </c>
      <c r="I79" s="10"/>
      <c r="J79" s="9"/>
      <c r="K79" s="10"/>
      <c r="L79" s="10"/>
      <c r="M79" s="9"/>
      <c r="N79" s="10">
        <v>1816</v>
      </c>
      <c r="O79" s="10"/>
      <c r="P79" s="9"/>
      <c r="Q79" s="10">
        <v>1673</v>
      </c>
      <c r="R79" s="9"/>
      <c r="S79" s="168"/>
      <c r="T79" s="83">
        <f>Modeller!$I$115</f>
        <v>55.287115384615376</v>
      </c>
      <c r="U79" s="83">
        <f>Modeller!$J$115</f>
        <v>728.43124999999998</v>
      </c>
      <c r="V79" s="83">
        <v>2588</v>
      </c>
      <c r="W79" s="83">
        <v>5493</v>
      </c>
      <c r="X79" s="83"/>
      <c r="Y79" s="83"/>
      <c r="Z79" s="295">
        <v>3700</v>
      </c>
      <c r="AA79" s="295">
        <v>3700</v>
      </c>
      <c r="AB79" s="295">
        <v>3700</v>
      </c>
      <c r="AC79" s="295">
        <v>4700</v>
      </c>
      <c r="AD79" s="295">
        <v>4700</v>
      </c>
      <c r="AE79" s="295">
        <v>4700</v>
      </c>
      <c r="AF79" s="295">
        <v>6000</v>
      </c>
      <c r="AG79" s="295">
        <v>6000</v>
      </c>
      <c r="AH79" s="295">
        <v>6000</v>
      </c>
      <c r="AI79" s="295">
        <v>7500</v>
      </c>
      <c r="AJ79" s="295">
        <v>7500</v>
      </c>
      <c r="AK79" s="5">
        <v>7500</v>
      </c>
    </row>
    <row r="80" spans="2:37" customFormat="1" ht="13" x14ac:dyDescent="0.15">
      <c r="B80">
        <f t="shared" si="3"/>
        <v>77</v>
      </c>
      <c r="C80">
        <v>330</v>
      </c>
      <c r="D80" s="14" t="s">
        <v>144</v>
      </c>
      <c r="E80" t="s">
        <v>176</v>
      </c>
      <c r="F80" s="10"/>
      <c r="G80" s="9"/>
      <c r="H80" s="287">
        <v>2951</v>
      </c>
      <c r="I80" s="10"/>
      <c r="J80" s="9"/>
      <c r="K80" s="10"/>
      <c r="L80" s="10"/>
      <c r="M80" s="9"/>
      <c r="N80" s="10">
        <v>1405</v>
      </c>
      <c r="O80" s="10"/>
      <c r="P80" s="9"/>
      <c r="Q80" s="10">
        <v>1438</v>
      </c>
      <c r="R80" s="9"/>
      <c r="S80" s="168"/>
      <c r="T80" s="83">
        <f>Modeller!$I$115</f>
        <v>55.287115384615376</v>
      </c>
      <c r="U80" s="83">
        <f>Modeller!$J$115</f>
        <v>728.43124999999998</v>
      </c>
      <c r="V80" s="83">
        <v>2816</v>
      </c>
      <c r="W80" s="83">
        <v>5821</v>
      </c>
      <c r="X80" s="83"/>
      <c r="Y80" s="83"/>
      <c r="Z80" s="295">
        <v>3700</v>
      </c>
      <c r="AA80" s="295">
        <v>3700</v>
      </c>
      <c r="AB80" s="295">
        <v>3700</v>
      </c>
      <c r="AC80" s="295">
        <v>4700</v>
      </c>
      <c r="AD80" s="295">
        <v>4700</v>
      </c>
      <c r="AE80" s="295">
        <v>4700</v>
      </c>
      <c r="AF80" s="295">
        <v>6000</v>
      </c>
      <c r="AG80" s="295">
        <v>6000</v>
      </c>
      <c r="AH80" s="295">
        <v>6000</v>
      </c>
      <c r="AI80" s="295">
        <v>7500</v>
      </c>
      <c r="AJ80" s="295">
        <v>7500</v>
      </c>
      <c r="AK80" s="5">
        <v>7500</v>
      </c>
    </row>
    <row r="81" spans="2:37" customFormat="1" ht="13" x14ac:dyDescent="0.15">
      <c r="B81">
        <f t="shared" si="3"/>
        <v>78</v>
      </c>
      <c r="C81">
        <v>269</v>
      </c>
      <c r="D81" s="14" t="s">
        <v>145</v>
      </c>
      <c r="E81" t="s">
        <v>176</v>
      </c>
      <c r="F81" s="10"/>
      <c r="G81" s="9"/>
      <c r="H81" s="287">
        <v>3086</v>
      </c>
      <c r="I81" s="10"/>
      <c r="J81" s="9"/>
      <c r="K81" s="10"/>
      <c r="L81" s="10"/>
      <c r="M81" s="9"/>
      <c r="N81" s="10">
        <v>1603</v>
      </c>
      <c r="O81" s="10"/>
      <c r="P81" s="9"/>
      <c r="Q81" s="10">
        <v>1843</v>
      </c>
      <c r="R81" s="9"/>
      <c r="S81" s="168"/>
      <c r="T81" s="83">
        <f>Modeller!$I$115</f>
        <v>55.287115384615376</v>
      </c>
      <c r="U81" s="83">
        <f>Modeller!$J$115</f>
        <v>728.43124999999998</v>
      </c>
      <c r="V81" s="83">
        <v>3655</v>
      </c>
      <c r="W81" s="83">
        <v>6253</v>
      </c>
      <c r="X81" s="83"/>
      <c r="Y81" s="83"/>
      <c r="Z81" s="295">
        <v>3700</v>
      </c>
      <c r="AA81" s="295">
        <v>3700</v>
      </c>
      <c r="AB81" s="295">
        <v>3700</v>
      </c>
      <c r="AC81" s="295">
        <v>4700</v>
      </c>
      <c r="AD81" s="295">
        <v>4700</v>
      </c>
      <c r="AE81" s="295">
        <v>4700</v>
      </c>
      <c r="AF81" s="295">
        <v>6000</v>
      </c>
      <c r="AG81" s="295">
        <v>6000</v>
      </c>
      <c r="AH81" s="295">
        <v>6000</v>
      </c>
      <c r="AI81" s="295">
        <v>7500</v>
      </c>
      <c r="AJ81" s="295">
        <v>7500</v>
      </c>
      <c r="AK81" s="5">
        <v>7500</v>
      </c>
    </row>
    <row r="82" spans="2:37" customFormat="1" ht="13" x14ac:dyDescent="0.15">
      <c r="B82">
        <f t="shared" si="3"/>
        <v>79</v>
      </c>
      <c r="C82">
        <v>340</v>
      </c>
      <c r="D82" s="14" t="s">
        <v>146</v>
      </c>
      <c r="E82" t="s">
        <v>176</v>
      </c>
      <c r="F82" s="10"/>
      <c r="G82" s="9"/>
      <c r="H82" s="287">
        <v>2776</v>
      </c>
      <c r="I82" s="10"/>
      <c r="J82" s="9"/>
      <c r="K82" s="10"/>
      <c r="L82" s="10"/>
      <c r="M82" s="9"/>
      <c r="N82" s="10">
        <v>1616</v>
      </c>
      <c r="O82" s="10"/>
      <c r="P82" s="9"/>
      <c r="Q82" s="10">
        <v>1380</v>
      </c>
      <c r="R82" s="9"/>
      <c r="S82" s="168"/>
      <c r="T82" s="83">
        <f>Modeller!$I$115</f>
        <v>55.287115384615376</v>
      </c>
      <c r="U82" s="83">
        <f>Modeller!$J$115</f>
        <v>728.43124999999998</v>
      </c>
      <c r="V82" s="83">
        <v>2367</v>
      </c>
      <c r="W82" s="83">
        <v>5007</v>
      </c>
      <c r="X82" s="83"/>
      <c r="Y82" s="83"/>
      <c r="Z82" s="295">
        <v>3700</v>
      </c>
      <c r="AA82" s="295">
        <v>3700</v>
      </c>
      <c r="AB82" s="295">
        <v>3700</v>
      </c>
      <c r="AC82" s="295">
        <v>4700</v>
      </c>
      <c r="AD82" s="295">
        <v>4700</v>
      </c>
      <c r="AE82" s="295">
        <v>4700</v>
      </c>
      <c r="AF82" s="295">
        <v>6000</v>
      </c>
      <c r="AG82" s="295">
        <v>6000</v>
      </c>
      <c r="AH82" s="295">
        <v>6000</v>
      </c>
      <c r="AI82" s="295">
        <v>7500</v>
      </c>
      <c r="AJ82" s="295">
        <v>7500</v>
      </c>
      <c r="AK82" s="5">
        <v>7500</v>
      </c>
    </row>
    <row r="83" spans="2:37" customFormat="1" ht="13" x14ac:dyDescent="0.15">
      <c r="B83">
        <f t="shared" si="3"/>
        <v>80</v>
      </c>
      <c r="C83">
        <v>336</v>
      </c>
      <c r="D83" s="14" t="s">
        <v>147</v>
      </c>
      <c r="E83" t="s">
        <v>176</v>
      </c>
      <c r="F83" s="10"/>
      <c r="G83" s="9"/>
      <c r="H83" s="287">
        <v>3176</v>
      </c>
      <c r="I83" s="10"/>
      <c r="J83" s="9"/>
      <c r="K83" s="10"/>
      <c r="L83" s="10"/>
      <c r="M83" s="9"/>
      <c r="N83" s="10">
        <v>1831</v>
      </c>
      <c r="O83" s="10"/>
      <c r="P83" s="9"/>
      <c r="Q83" s="10">
        <v>1765</v>
      </c>
      <c r="R83" s="9"/>
      <c r="S83" s="168"/>
      <c r="T83" s="83">
        <f>Modeller!$I$115</f>
        <v>55.287115384615376</v>
      </c>
      <c r="U83" s="83">
        <f>Modeller!$J$115</f>
        <v>728.43124999999998</v>
      </c>
      <c r="V83" s="83">
        <v>3356</v>
      </c>
      <c r="W83" s="83">
        <v>5911</v>
      </c>
      <c r="X83" s="83"/>
      <c r="Y83" s="83"/>
      <c r="Z83" s="295">
        <v>3700</v>
      </c>
      <c r="AA83" s="295">
        <v>3700</v>
      </c>
      <c r="AB83" s="295">
        <v>3700</v>
      </c>
      <c r="AC83" s="295">
        <v>4700</v>
      </c>
      <c r="AD83" s="295">
        <v>4700</v>
      </c>
      <c r="AE83" s="295">
        <v>4700</v>
      </c>
      <c r="AF83" s="295">
        <v>6000</v>
      </c>
      <c r="AG83" s="295">
        <v>6000</v>
      </c>
      <c r="AH83" s="295">
        <v>6000</v>
      </c>
      <c r="AI83" s="295">
        <v>7500</v>
      </c>
      <c r="AJ83" s="295">
        <v>7500</v>
      </c>
      <c r="AK83" s="5">
        <v>7500</v>
      </c>
    </row>
    <row r="84" spans="2:37" customFormat="1" ht="13" x14ac:dyDescent="0.15">
      <c r="B84">
        <f t="shared" si="3"/>
        <v>81</v>
      </c>
      <c r="C84">
        <v>671</v>
      </c>
      <c r="D84" s="14" t="s">
        <v>43</v>
      </c>
      <c r="E84" t="s">
        <v>178</v>
      </c>
      <c r="F84" s="10"/>
      <c r="G84" s="9"/>
      <c r="H84" s="287">
        <v>3325</v>
      </c>
      <c r="I84" s="10"/>
      <c r="J84" s="9"/>
      <c r="K84" s="10"/>
      <c r="L84" s="10"/>
      <c r="M84" s="9"/>
      <c r="N84" s="10">
        <v>1704</v>
      </c>
      <c r="O84" s="10"/>
      <c r="P84" s="9"/>
      <c r="Q84" s="10">
        <v>1669</v>
      </c>
      <c r="R84" s="9"/>
      <c r="S84" s="168"/>
      <c r="T84" s="83">
        <f>Modeller!$I$115</f>
        <v>55.287115384615376</v>
      </c>
      <c r="U84" s="83">
        <f>Modeller!$J$115</f>
        <v>728.43124999999998</v>
      </c>
      <c r="V84" s="83">
        <v>2377</v>
      </c>
      <c r="W84" s="83">
        <v>5413</v>
      </c>
      <c r="X84" s="83"/>
      <c r="Y84" s="83"/>
      <c r="Z84" s="295">
        <v>3700</v>
      </c>
      <c r="AA84" s="295">
        <v>3700</v>
      </c>
      <c r="AB84" s="295">
        <v>3700</v>
      </c>
      <c r="AC84" s="295">
        <v>4700</v>
      </c>
      <c r="AD84" s="295">
        <v>4700</v>
      </c>
      <c r="AE84" s="295">
        <v>4700</v>
      </c>
      <c r="AF84" s="295">
        <v>6000</v>
      </c>
      <c r="AG84" s="295">
        <v>6000</v>
      </c>
      <c r="AH84" s="295">
        <v>6000</v>
      </c>
      <c r="AI84" s="295">
        <v>7500</v>
      </c>
      <c r="AJ84" s="295">
        <v>7500</v>
      </c>
      <c r="AK84" s="5">
        <v>7500</v>
      </c>
    </row>
    <row r="85" spans="2:37" customFormat="1" ht="13" x14ac:dyDescent="0.15">
      <c r="B85">
        <f t="shared" si="3"/>
        <v>82</v>
      </c>
      <c r="C85">
        <v>479</v>
      </c>
      <c r="D85" s="14" t="s">
        <v>162</v>
      </c>
      <c r="E85" t="s">
        <v>177</v>
      </c>
      <c r="F85" s="10"/>
      <c r="G85" s="9"/>
      <c r="H85" s="287">
        <v>3149</v>
      </c>
      <c r="I85" s="10"/>
      <c r="J85" s="9"/>
      <c r="K85" s="10"/>
      <c r="L85" s="10"/>
      <c r="M85" s="9"/>
      <c r="N85" s="10">
        <v>1741</v>
      </c>
      <c r="O85" s="10"/>
      <c r="P85" s="9"/>
      <c r="Q85" s="10">
        <v>1565</v>
      </c>
      <c r="R85" s="9"/>
      <c r="S85" s="168"/>
      <c r="T85" s="83">
        <f>Modeller!$I$115</f>
        <v>55.287115384615376</v>
      </c>
      <c r="U85" s="83">
        <f>Modeller!$J$115</f>
        <v>728.43124999999998</v>
      </c>
      <c r="V85" s="83">
        <v>2568</v>
      </c>
      <c r="W85" s="83">
        <v>5338</v>
      </c>
      <c r="X85" s="83"/>
      <c r="Y85" s="83"/>
      <c r="Z85" s="295">
        <v>3700</v>
      </c>
      <c r="AA85" s="295">
        <v>3700</v>
      </c>
      <c r="AB85" s="295">
        <v>3700</v>
      </c>
      <c r="AC85" s="295">
        <v>4700</v>
      </c>
      <c r="AD85" s="295">
        <v>4700</v>
      </c>
      <c r="AE85" s="295">
        <v>4700</v>
      </c>
      <c r="AF85" s="295">
        <v>6000</v>
      </c>
      <c r="AG85" s="295">
        <v>6000</v>
      </c>
      <c r="AH85" s="295">
        <v>6000</v>
      </c>
      <c r="AI85" s="295">
        <v>7500</v>
      </c>
      <c r="AJ85" s="295">
        <v>7500</v>
      </c>
      <c r="AK85" s="5">
        <v>7500</v>
      </c>
    </row>
    <row r="86" spans="2:37" customFormat="1" ht="13" x14ac:dyDescent="0.15">
      <c r="B86">
        <f t="shared" si="3"/>
        <v>83</v>
      </c>
      <c r="C86">
        <v>706</v>
      </c>
      <c r="D86" s="14" t="s">
        <v>44</v>
      </c>
      <c r="E86" t="s">
        <v>178</v>
      </c>
      <c r="F86" s="10"/>
      <c r="G86" s="9"/>
      <c r="H86" s="287">
        <v>2868</v>
      </c>
      <c r="I86" s="10"/>
      <c r="J86" s="9"/>
      <c r="K86" s="10"/>
      <c r="L86" s="10"/>
      <c r="M86" s="9"/>
      <c r="N86" s="10">
        <v>1580</v>
      </c>
      <c r="O86" s="10"/>
      <c r="P86" s="9"/>
      <c r="Q86" s="10">
        <v>1654</v>
      </c>
      <c r="R86" s="9"/>
      <c r="S86" s="168"/>
      <c r="T86" s="83">
        <f>Modeller!$I$115</f>
        <v>55.287115384615376</v>
      </c>
      <c r="U86" s="83">
        <f>Modeller!$J$115</f>
        <v>728.43124999999998</v>
      </c>
      <c r="V86" s="83">
        <v>3173</v>
      </c>
      <c r="W86" s="83">
        <v>4993</v>
      </c>
      <c r="X86" s="83"/>
      <c r="Y86" s="83"/>
      <c r="Z86" s="295">
        <v>3700</v>
      </c>
      <c r="AA86" s="295">
        <v>3700</v>
      </c>
      <c r="AB86" s="295">
        <v>3700</v>
      </c>
      <c r="AC86" s="295">
        <v>4700</v>
      </c>
      <c r="AD86" s="295">
        <v>4700</v>
      </c>
      <c r="AE86" s="295">
        <v>4700</v>
      </c>
      <c r="AF86" s="295">
        <v>6000</v>
      </c>
      <c r="AG86" s="295">
        <v>6000</v>
      </c>
      <c r="AH86" s="295">
        <v>6000</v>
      </c>
      <c r="AI86" s="295">
        <v>7500</v>
      </c>
      <c r="AJ86" s="295">
        <v>7500</v>
      </c>
      <c r="AK86" s="5">
        <v>7500</v>
      </c>
    </row>
    <row r="87" spans="2:37" customFormat="1" ht="13" x14ac:dyDescent="0.15">
      <c r="B87">
        <f t="shared" si="3"/>
        <v>84</v>
      </c>
      <c r="C87">
        <v>540</v>
      </c>
      <c r="D87" s="14" t="s">
        <v>163</v>
      </c>
      <c r="E87" t="s">
        <v>177</v>
      </c>
      <c r="F87" s="10"/>
      <c r="G87" s="9"/>
      <c r="H87" s="287">
        <v>2373</v>
      </c>
      <c r="I87" s="10"/>
      <c r="J87" s="9"/>
      <c r="K87" s="10"/>
      <c r="L87" s="10"/>
      <c r="M87" s="9"/>
      <c r="N87" s="10">
        <v>1995</v>
      </c>
      <c r="O87" s="10"/>
      <c r="P87" s="9"/>
      <c r="Q87" s="10">
        <v>1866</v>
      </c>
      <c r="R87" s="9"/>
      <c r="S87" s="168"/>
      <c r="T87" s="83">
        <f>Modeller!$I$115</f>
        <v>55.287115384615376</v>
      </c>
      <c r="U87" s="83">
        <f>Modeller!$J$115</f>
        <v>728.43124999999998</v>
      </c>
      <c r="V87" s="83">
        <v>2992</v>
      </c>
      <c r="W87" s="83">
        <v>5958</v>
      </c>
      <c r="X87" s="83"/>
      <c r="Y87" s="83"/>
      <c r="Z87" s="295">
        <v>3700</v>
      </c>
      <c r="AA87" s="295">
        <v>3700</v>
      </c>
      <c r="AB87" s="295">
        <v>3700</v>
      </c>
      <c r="AC87" s="295">
        <v>4700</v>
      </c>
      <c r="AD87" s="295">
        <v>4700</v>
      </c>
      <c r="AE87" s="295">
        <v>4700</v>
      </c>
      <c r="AF87" s="295">
        <v>6000</v>
      </c>
      <c r="AG87" s="295">
        <v>6000</v>
      </c>
      <c r="AH87" s="295">
        <v>6000</v>
      </c>
      <c r="AI87" s="295">
        <v>7500</v>
      </c>
      <c r="AJ87" s="295">
        <v>7500</v>
      </c>
      <c r="AK87" s="5">
        <v>7500</v>
      </c>
    </row>
    <row r="88" spans="2:37" customFormat="1" ht="13" x14ac:dyDescent="0.15">
      <c r="B88">
        <f t="shared" si="3"/>
        <v>85</v>
      </c>
      <c r="C88">
        <v>787</v>
      </c>
      <c r="D88" s="14" t="s">
        <v>55</v>
      </c>
      <c r="E88" t="s">
        <v>179</v>
      </c>
      <c r="F88" s="10"/>
      <c r="G88" s="9"/>
      <c r="H88" s="287">
        <v>3494</v>
      </c>
      <c r="I88" s="10"/>
      <c r="J88" s="9"/>
      <c r="K88" s="10"/>
      <c r="L88" s="10"/>
      <c r="M88" s="9"/>
      <c r="N88" s="10">
        <v>1747</v>
      </c>
      <c r="O88" s="10"/>
      <c r="P88" s="9"/>
      <c r="Q88" s="10">
        <v>1490</v>
      </c>
      <c r="R88" s="9"/>
      <c r="S88" s="168"/>
      <c r="T88" s="83">
        <f>Modeller!$I$115</f>
        <v>55.287115384615376</v>
      </c>
      <c r="U88" s="83">
        <f>Modeller!$J$115</f>
        <v>728.43124999999998</v>
      </c>
      <c r="V88" s="83">
        <v>2328</v>
      </c>
      <c r="W88" s="83">
        <v>5293</v>
      </c>
      <c r="X88" s="83"/>
      <c r="Y88" s="83"/>
      <c r="Z88" s="295">
        <v>3700</v>
      </c>
      <c r="AA88" s="295">
        <v>3700</v>
      </c>
      <c r="AB88" s="295">
        <v>3700</v>
      </c>
      <c r="AC88" s="295">
        <v>4700</v>
      </c>
      <c r="AD88" s="295">
        <v>4700</v>
      </c>
      <c r="AE88" s="295">
        <v>4700</v>
      </c>
      <c r="AF88" s="295">
        <v>6000</v>
      </c>
      <c r="AG88" s="295">
        <v>6000</v>
      </c>
      <c r="AH88" s="295">
        <v>6000</v>
      </c>
      <c r="AI88" s="295">
        <v>7500</v>
      </c>
      <c r="AJ88" s="295">
        <v>7500</v>
      </c>
      <c r="AK88" s="5">
        <v>7500</v>
      </c>
    </row>
    <row r="89" spans="2:37" customFormat="1" ht="13" x14ac:dyDescent="0.15">
      <c r="B89">
        <f t="shared" si="3"/>
        <v>86</v>
      </c>
      <c r="C89">
        <v>550</v>
      </c>
      <c r="D89" s="14" t="s">
        <v>164</v>
      </c>
      <c r="E89" t="s">
        <v>177</v>
      </c>
      <c r="F89" s="10"/>
      <c r="G89" s="9"/>
      <c r="H89" s="287">
        <v>2663</v>
      </c>
      <c r="I89" s="10"/>
      <c r="J89" s="9"/>
      <c r="K89" s="10"/>
      <c r="L89" s="10"/>
      <c r="M89" s="9"/>
      <c r="N89" s="10">
        <v>1926</v>
      </c>
      <c r="O89" s="10"/>
      <c r="P89" s="9"/>
      <c r="Q89" s="10">
        <v>1775</v>
      </c>
      <c r="R89" s="9"/>
      <c r="S89" s="168"/>
      <c r="T89" s="83">
        <f>Modeller!$I$115</f>
        <v>55.287115384615376</v>
      </c>
      <c r="U89" s="83">
        <f>Modeller!$J$115</f>
        <v>728.43124999999998</v>
      </c>
      <c r="V89" s="83">
        <v>2567</v>
      </c>
      <c r="W89" s="83">
        <v>5400</v>
      </c>
      <c r="X89" s="83"/>
      <c r="Y89" s="83"/>
      <c r="Z89" s="295">
        <v>3700</v>
      </c>
      <c r="AA89" s="295">
        <v>3700</v>
      </c>
      <c r="AB89" s="295">
        <v>3700</v>
      </c>
      <c r="AC89" s="295">
        <v>4700</v>
      </c>
      <c r="AD89" s="295">
        <v>4700</v>
      </c>
      <c r="AE89" s="295">
        <v>4700</v>
      </c>
      <c r="AF89" s="295">
        <v>6000</v>
      </c>
      <c r="AG89" s="295">
        <v>6000</v>
      </c>
      <c r="AH89" s="295">
        <v>6000</v>
      </c>
      <c r="AI89" s="295">
        <v>7500</v>
      </c>
      <c r="AJ89" s="295">
        <v>7500</v>
      </c>
      <c r="AK89" s="5">
        <v>7500</v>
      </c>
    </row>
    <row r="90" spans="2:37" customFormat="1" ht="13" x14ac:dyDescent="0.15">
      <c r="B90">
        <f t="shared" si="3"/>
        <v>87</v>
      </c>
      <c r="C90">
        <v>185</v>
      </c>
      <c r="D90" s="14" t="s">
        <v>130</v>
      </c>
      <c r="E90" t="s">
        <v>175</v>
      </c>
      <c r="F90" s="10"/>
      <c r="G90" s="9"/>
      <c r="H90" s="287">
        <v>3343</v>
      </c>
      <c r="I90" s="10"/>
      <c r="J90" s="9"/>
      <c r="K90" s="10"/>
      <c r="L90" s="10"/>
      <c r="M90" s="9"/>
      <c r="N90" s="10">
        <v>1690</v>
      </c>
      <c r="O90" s="10"/>
      <c r="P90" s="9"/>
      <c r="Q90" s="10">
        <v>1042</v>
      </c>
      <c r="R90" s="9"/>
      <c r="S90" s="168"/>
      <c r="T90" s="83">
        <f>Modeller!$I$115</f>
        <v>55.287115384615376</v>
      </c>
      <c r="U90" s="83">
        <f>Modeller!$J$115</f>
        <v>728.43124999999998</v>
      </c>
      <c r="V90" s="83">
        <v>3193</v>
      </c>
      <c r="W90" s="83">
        <v>5917</v>
      </c>
      <c r="X90" s="83"/>
      <c r="Y90" s="83"/>
      <c r="Z90" s="295">
        <v>3700</v>
      </c>
      <c r="AA90" s="295">
        <v>3700</v>
      </c>
      <c r="AB90" s="295">
        <v>3700</v>
      </c>
      <c r="AC90" s="295">
        <v>4700</v>
      </c>
      <c r="AD90" s="295">
        <v>4700</v>
      </c>
      <c r="AE90" s="295">
        <v>4700</v>
      </c>
      <c r="AF90" s="295">
        <v>6000</v>
      </c>
      <c r="AG90" s="295">
        <v>6000</v>
      </c>
      <c r="AH90" s="295">
        <v>6000</v>
      </c>
      <c r="AI90" s="295">
        <v>7500</v>
      </c>
      <c r="AJ90" s="295">
        <v>7500</v>
      </c>
      <c r="AK90" s="5">
        <v>7500</v>
      </c>
    </row>
    <row r="91" spans="2:37" customFormat="1" ht="13" x14ac:dyDescent="0.15">
      <c r="B91">
        <f t="shared" si="3"/>
        <v>88</v>
      </c>
      <c r="C91">
        <v>187</v>
      </c>
      <c r="D91" s="14" t="s">
        <v>131</v>
      </c>
      <c r="E91" t="s">
        <v>175</v>
      </c>
      <c r="F91" s="10"/>
      <c r="G91" s="9"/>
      <c r="H91" s="287">
        <v>2989</v>
      </c>
      <c r="I91" s="10"/>
      <c r="J91" s="9"/>
      <c r="K91" s="10"/>
      <c r="L91" s="10"/>
      <c r="M91" s="9"/>
      <c r="N91" s="10">
        <v>1693</v>
      </c>
      <c r="O91" s="10"/>
      <c r="P91" s="9"/>
      <c r="Q91" s="10">
        <v>1657</v>
      </c>
      <c r="R91" s="9"/>
      <c r="S91" s="168"/>
      <c r="T91" s="83">
        <f>Modeller!$I$115</f>
        <v>55.287115384615376</v>
      </c>
      <c r="U91" s="83">
        <f>Modeller!$J$115</f>
        <v>728.43124999999998</v>
      </c>
      <c r="V91" s="83">
        <v>3767</v>
      </c>
      <c r="W91" s="83">
        <v>6173</v>
      </c>
      <c r="X91" s="83"/>
      <c r="Y91" s="83"/>
      <c r="Z91" s="295">
        <v>3700</v>
      </c>
      <c r="AA91" s="295">
        <v>3700</v>
      </c>
      <c r="AB91" s="295">
        <v>3700</v>
      </c>
      <c r="AC91" s="295">
        <v>4700</v>
      </c>
      <c r="AD91" s="295">
        <v>4700</v>
      </c>
      <c r="AE91" s="295">
        <v>4700</v>
      </c>
      <c r="AF91" s="295">
        <v>6000</v>
      </c>
      <c r="AG91" s="295">
        <v>6000</v>
      </c>
      <c r="AH91" s="295">
        <v>6000</v>
      </c>
      <c r="AI91" s="295">
        <v>7500</v>
      </c>
      <c r="AJ91" s="295">
        <v>7500</v>
      </c>
      <c r="AK91" s="5">
        <v>7500</v>
      </c>
    </row>
    <row r="92" spans="2:37" customFormat="1" ht="13" x14ac:dyDescent="0.15">
      <c r="B92">
        <f t="shared" si="3"/>
        <v>89</v>
      </c>
      <c r="C92">
        <v>573</v>
      </c>
      <c r="D92" s="14" t="s">
        <v>165</v>
      </c>
      <c r="E92" t="s">
        <v>177</v>
      </c>
      <c r="F92" s="10"/>
      <c r="G92" s="9"/>
      <c r="H92" s="287">
        <v>3062</v>
      </c>
      <c r="I92" s="10"/>
      <c r="J92" s="9"/>
      <c r="K92" s="10"/>
      <c r="L92" s="10"/>
      <c r="M92" s="9"/>
      <c r="N92" s="10">
        <v>1568</v>
      </c>
      <c r="O92" s="10"/>
      <c r="P92" s="9"/>
      <c r="Q92" s="10">
        <v>1549</v>
      </c>
      <c r="R92" s="9"/>
      <c r="S92" s="168"/>
      <c r="T92" s="83">
        <f>Modeller!$I$115</f>
        <v>55.287115384615376</v>
      </c>
      <c r="U92" s="83">
        <f>Modeller!$J$115</f>
        <v>728.43124999999998</v>
      </c>
      <c r="V92" s="83">
        <v>2747</v>
      </c>
      <c r="W92" s="83">
        <v>5199</v>
      </c>
      <c r="X92" s="83"/>
      <c r="Y92" s="83"/>
      <c r="Z92" s="295">
        <v>3700</v>
      </c>
      <c r="AA92" s="295">
        <v>3700</v>
      </c>
      <c r="AB92" s="295">
        <v>3700</v>
      </c>
      <c r="AC92" s="295">
        <v>4700</v>
      </c>
      <c r="AD92" s="295">
        <v>4700</v>
      </c>
      <c r="AE92" s="295">
        <v>4700</v>
      </c>
      <c r="AF92" s="295">
        <v>6000</v>
      </c>
      <c r="AG92" s="295">
        <v>6000</v>
      </c>
      <c r="AH92" s="295">
        <v>6000</v>
      </c>
      <c r="AI92" s="295">
        <v>7500</v>
      </c>
      <c r="AJ92" s="295">
        <v>7500</v>
      </c>
      <c r="AK92" s="5">
        <v>7500</v>
      </c>
    </row>
    <row r="93" spans="2:37" customFormat="1" ht="13" x14ac:dyDescent="0.15">
      <c r="B93">
        <f t="shared" si="3"/>
        <v>90</v>
      </c>
      <c r="C93">
        <v>575</v>
      </c>
      <c r="D93" s="14" t="s">
        <v>166</v>
      </c>
      <c r="E93" t="s">
        <v>177</v>
      </c>
      <c r="F93" s="10"/>
      <c r="G93" s="9"/>
      <c r="H93" s="287">
        <v>2756</v>
      </c>
      <c r="I93" s="10"/>
      <c r="J93" s="9"/>
      <c r="K93" s="10"/>
      <c r="L93" s="10"/>
      <c r="M93" s="9"/>
      <c r="N93" s="10">
        <v>1710</v>
      </c>
      <c r="O93" s="10"/>
      <c r="P93" s="9"/>
      <c r="Q93" s="10">
        <v>1588</v>
      </c>
      <c r="R93" s="9"/>
      <c r="S93" s="168"/>
      <c r="T93" s="83">
        <f>Modeller!$I$115</f>
        <v>55.287115384615376</v>
      </c>
      <c r="U93" s="83">
        <f>Modeller!$J$115</f>
        <v>728.43124999999998</v>
      </c>
      <c r="V93" s="83">
        <v>3119</v>
      </c>
      <c r="W93" s="83">
        <v>5446</v>
      </c>
      <c r="X93" s="83"/>
      <c r="Y93" s="83"/>
      <c r="Z93" s="295">
        <v>3700</v>
      </c>
      <c r="AA93" s="295">
        <v>3700</v>
      </c>
      <c r="AB93" s="295">
        <v>3700</v>
      </c>
      <c r="AC93" s="295">
        <v>4700</v>
      </c>
      <c r="AD93" s="295">
        <v>4700</v>
      </c>
      <c r="AE93" s="295">
        <v>4700</v>
      </c>
      <c r="AF93" s="295">
        <v>6000</v>
      </c>
      <c r="AG93" s="295">
        <v>6000</v>
      </c>
      <c r="AH93" s="295">
        <v>6000</v>
      </c>
      <c r="AI93" s="295">
        <v>7500</v>
      </c>
      <c r="AJ93" s="295">
        <v>7500</v>
      </c>
      <c r="AK93" s="5">
        <v>7500</v>
      </c>
    </row>
    <row r="94" spans="2:37" customFormat="1" ht="13" x14ac:dyDescent="0.15">
      <c r="B94">
        <f t="shared" si="3"/>
        <v>91</v>
      </c>
      <c r="C94">
        <v>630</v>
      </c>
      <c r="D94" s="14" t="s">
        <v>25</v>
      </c>
      <c r="E94" t="s">
        <v>177</v>
      </c>
      <c r="F94" s="10"/>
      <c r="G94" s="9"/>
      <c r="H94" s="287">
        <v>3410</v>
      </c>
      <c r="I94" s="10"/>
      <c r="J94" s="9"/>
      <c r="K94" s="10"/>
      <c r="L94" s="10"/>
      <c r="M94" s="9"/>
      <c r="N94" s="10">
        <v>2035</v>
      </c>
      <c r="O94" s="10"/>
      <c r="P94" s="9"/>
      <c r="Q94" s="10">
        <v>2026</v>
      </c>
      <c r="R94" s="9"/>
      <c r="S94" s="168"/>
      <c r="T94" s="83">
        <f>Modeller!$I$115</f>
        <v>55.287115384615376</v>
      </c>
      <c r="U94" s="83">
        <f>Modeller!$J$115</f>
        <v>728.43124999999998</v>
      </c>
      <c r="V94" s="83">
        <v>2971</v>
      </c>
      <c r="W94" s="83">
        <v>6150</v>
      </c>
      <c r="X94" s="83"/>
      <c r="Y94" s="83"/>
      <c r="Z94" s="295">
        <v>3700</v>
      </c>
      <c r="AA94" s="295">
        <v>3700</v>
      </c>
      <c r="AB94" s="295">
        <v>3700</v>
      </c>
      <c r="AC94" s="295">
        <v>4700</v>
      </c>
      <c r="AD94" s="295">
        <v>4700</v>
      </c>
      <c r="AE94" s="295">
        <v>4700</v>
      </c>
      <c r="AF94" s="295">
        <v>6000</v>
      </c>
      <c r="AG94" s="295">
        <v>6000</v>
      </c>
      <c r="AH94" s="295">
        <v>6000</v>
      </c>
      <c r="AI94" s="295">
        <v>7500</v>
      </c>
      <c r="AJ94" s="295">
        <v>7500</v>
      </c>
      <c r="AK94" s="5">
        <v>7500</v>
      </c>
    </row>
    <row r="95" spans="2:37" customFormat="1" ht="13" x14ac:dyDescent="0.15">
      <c r="B95">
        <f t="shared" si="3"/>
        <v>92</v>
      </c>
      <c r="C95">
        <v>820</v>
      </c>
      <c r="D95" s="14" t="s">
        <v>343</v>
      </c>
      <c r="E95" t="s">
        <v>179</v>
      </c>
      <c r="F95" s="10"/>
      <c r="G95" s="9"/>
      <c r="H95" s="287">
        <v>3040</v>
      </c>
      <c r="I95" s="10"/>
      <c r="J95" s="9"/>
      <c r="K95" s="10"/>
      <c r="L95" s="10"/>
      <c r="M95" s="9"/>
      <c r="N95" s="10">
        <v>1946</v>
      </c>
      <c r="O95" s="10"/>
      <c r="P95" s="9"/>
      <c r="Q95" s="10">
        <v>1222</v>
      </c>
      <c r="R95" s="9"/>
      <c r="S95" s="168"/>
      <c r="T95" s="83">
        <f>Modeller!$I$115</f>
        <v>55.287115384615376</v>
      </c>
      <c r="U95" s="83">
        <f>Modeller!$J$115</f>
        <v>728.43124999999998</v>
      </c>
      <c r="V95" s="83">
        <v>2355</v>
      </c>
      <c r="W95" s="83">
        <v>5272</v>
      </c>
      <c r="X95" s="83"/>
      <c r="Y95" s="83"/>
      <c r="Z95" s="295">
        <v>3700</v>
      </c>
      <c r="AA95" s="295">
        <v>3700</v>
      </c>
      <c r="AB95" s="295">
        <v>3700</v>
      </c>
      <c r="AC95" s="295">
        <v>4700</v>
      </c>
      <c r="AD95" s="295">
        <v>4700</v>
      </c>
      <c r="AE95" s="295">
        <v>4700</v>
      </c>
      <c r="AF95" s="295">
        <v>6000</v>
      </c>
      <c r="AG95" s="295">
        <v>6000</v>
      </c>
      <c r="AH95" s="295">
        <v>6000</v>
      </c>
      <c r="AI95" s="295">
        <v>7500</v>
      </c>
      <c r="AJ95" s="295">
        <v>7500</v>
      </c>
      <c r="AK95" s="5">
        <v>7500</v>
      </c>
    </row>
    <row r="96" spans="2:37" customFormat="1" ht="13" x14ac:dyDescent="0.15">
      <c r="B96">
        <f t="shared" si="3"/>
        <v>93</v>
      </c>
      <c r="C96">
        <v>791</v>
      </c>
      <c r="D96" s="14" t="s">
        <v>45</v>
      </c>
      <c r="E96" t="s">
        <v>178</v>
      </c>
      <c r="F96" s="10"/>
      <c r="G96" s="9"/>
      <c r="H96" s="287">
        <v>3130</v>
      </c>
      <c r="I96" s="10"/>
      <c r="J96" s="9"/>
      <c r="K96" s="10"/>
      <c r="L96" s="10"/>
      <c r="M96" s="9"/>
      <c r="N96" s="10">
        <v>1700</v>
      </c>
      <c r="O96" s="10"/>
      <c r="P96" s="9"/>
      <c r="Q96" s="10">
        <v>1651</v>
      </c>
      <c r="R96" s="9"/>
      <c r="S96" s="168"/>
      <c r="T96" s="83">
        <f>Modeller!$I$115</f>
        <v>55.287115384615376</v>
      </c>
      <c r="U96" s="83">
        <f>Modeller!$J$115</f>
        <v>728.43124999999998</v>
      </c>
      <c r="V96" s="83">
        <v>3144</v>
      </c>
      <c r="W96" s="83">
        <v>4894</v>
      </c>
      <c r="X96" s="83"/>
      <c r="Y96" s="83"/>
      <c r="Z96" s="295">
        <v>3700</v>
      </c>
      <c r="AA96" s="295">
        <v>3700</v>
      </c>
      <c r="AB96" s="295">
        <v>3700</v>
      </c>
      <c r="AC96" s="295">
        <v>4700</v>
      </c>
      <c r="AD96" s="295">
        <v>4700</v>
      </c>
      <c r="AE96" s="295">
        <v>4700</v>
      </c>
      <c r="AF96" s="295">
        <v>6000</v>
      </c>
      <c r="AG96" s="295">
        <v>6000</v>
      </c>
      <c r="AH96" s="295">
        <v>6000</v>
      </c>
      <c r="AI96" s="295">
        <v>7500</v>
      </c>
      <c r="AJ96" s="295">
        <v>7500</v>
      </c>
      <c r="AK96" s="5">
        <v>7500</v>
      </c>
    </row>
    <row r="97" spans="2:37" customFormat="1" ht="13" x14ac:dyDescent="0.15">
      <c r="B97">
        <f t="shared" si="3"/>
        <v>94</v>
      </c>
      <c r="C97">
        <v>390</v>
      </c>
      <c r="D97" s="14" t="s">
        <v>148</v>
      </c>
      <c r="E97" t="s">
        <v>176</v>
      </c>
      <c r="F97" s="10"/>
      <c r="G97" s="9"/>
      <c r="H97" s="287">
        <v>2805</v>
      </c>
      <c r="I97" s="10"/>
      <c r="J97" s="9"/>
      <c r="K97" s="10"/>
      <c r="L97" s="10"/>
      <c r="M97" s="9"/>
      <c r="N97" s="10">
        <v>1626</v>
      </c>
      <c r="O97" s="10"/>
      <c r="P97" s="9"/>
      <c r="Q97" s="10">
        <v>917</v>
      </c>
      <c r="R97" s="9"/>
      <c r="S97" s="168"/>
      <c r="T97" s="83">
        <f>Modeller!$I$115</f>
        <v>55.287115384615376</v>
      </c>
      <c r="U97" s="83">
        <f>Modeller!$J$115</f>
        <v>728.43124999999998</v>
      </c>
      <c r="V97" s="83">
        <v>2740</v>
      </c>
      <c r="W97" s="83">
        <v>5191</v>
      </c>
      <c r="X97" s="83"/>
      <c r="Y97" s="83"/>
      <c r="Z97" s="295">
        <v>3700</v>
      </c>
      <c r="AA97" s="295">
        <v>3700</v>
      </c>
      <c r="AB97" s="295">
        <v>3700</v>
      </c>
      <c r="AC97" s="295">
        <v>4700</v>
      </c>
      <c r="AD97" s="295">
        <v>4700</v>
      </c>
      <c r="AE97" s="295">
        <v>4700</v>
      </c>
      <c r="AF97" s="295">
        <v>6000</v>
      </c>
      <c r="AG97" s="295">
        <v>6000</v>
      </c>
      <c r="AH97" s="295">
        <v>6000</v>
      </c>
      <c r="AI97" s="295">
        <v>7500</v>
      </c>
      <c r="AJ97" s="295">
        <v>7500</v>
      </c>
      <c r="AK97" s="5">
        <v>7500</v>
      </c>
    </row>
    <row r="98" spans="2:37" customFormat="1" ht="13" x14ac:dyDescent="0.15">
      <c r="B98">
        <f t="shared" si="3"/>
        <v>95</v>
      </c>
      <c r="C98">
        <v>492</v>
      </c>
      <c r="D98" s="14" t="s">
        <v>26</v>
      </c>
      <c r="E98" t="s">
        <v>177</v>
      </c>
      <c r="F98" s="10"/>
      <c r="G98" s="9"/>
      <c r="H98" s="287">
        <v>2830</v>
      </c>
      <c r="I98" s="10"/>
      <c r="J98" s="9"/>
      <c r="K98" s="10"/>
      <c r="L98" s="10"/>
      <c r="M98" s="9"/>
      <c r="N98" s="10">
        <v>2246</v>
      </c>
      <c r="O98" s="10"/>
      <c r="P98" s="9"/>
      <c r="Q98" s="10"/>
      <c r="R98" s="9"/>
      <c r="S98" s="168"/>
      <c r="T98" s="83">
        <f>Modeller!$I$115</f>
        <v>55.287115384615376</v>
      </c>
      <c r="U98" s="83">
        <f>Modeller!$J$115</f>
        <v>728.43124999999998</v>
      </c>
      <c r="V98" s="83">
        <v>2140</v>
      </c>
      <c r="W98" s="83">
        <v>5028</v>
      </c>
      <c r="X98" s="83"/>
      <c r="Y98" s="83"/>
      <c r="Z98" s="295">
        <v>3700</v>
      </c>
      <c r="AA98" s="295">
        <v>3700</v>
      </c>
      <c r="AB98" s="295">
        <v>3700</v>
      </c>
      <c r="AC98" s="295">
        <v>4700</v>
      </c>
      <c r="AD98" s="295">
        <v>4700</v>
      </c>
      <c r="AE98" s="295">
        <v>4700</v>
      </c>
      <c r="AF98" s="295">
        <v>6000</v>
      </c>
      <c r="AG98" s="295">
        <v>6000</v>
      </c>
      <c r="AH98" s="295">
        <v>6000</v>
      </c>
      <c r="AI98" s="295">
        <v>7500</v>
      </c>
      <c r="AJ98" s="295">
        <v>7500</v>
      </c>
      <c r="AK98" s="5">
        <v>7500</v>
      </c>
    </row>
    <row r="99" spans="2:37" customFormat="1" ht="13" x14ac:dyDescent="0.15">
      <c r="B99">
        <f t="shared" si="3"/>
        <v>96</v>
      </c>
      <c r="C99">
        <v>580</v>
      </c>
      <c r="D99" s="14" t="s">
        <v>27</v>
      </c>
      <c r="E99" t="s">
        <v>177</v>
      </c>
      <c r="F99" s="10"/>
      <c r="G99" s="9"/>
      <c r="H99" s="287">
        <v>3057</v>
      </c>
      <c r="I99" s="10"/>
      <c r="J99" s="9"/>
      <c r="K99" s="10"/>
      <c r="L99" s="10"/>
      <c r="M99" s="9"/>
      <c r="N99" s="10">
        <v>1747</v>
      </c>
      <c r="O99" s="10"/>
      <c r="P99" s="9"/>
      <c r="Q99" s="10">
        <v>1622</v>
      </c>
      <c r="R99" s="9"/>
      <c r="S99" s="168"/>
      <c r="T99" s="83">
        <f>Modeller!$I$115</f>
        <v>55.287115384615376</v>
      </c>
      <c r="U99" s="83">
        <f>Modeller!$J$115</f>
        <v>728.43124999999998</v>
      </c>
      <c r="V99" s="83">
        <v>2779</v>
      </c>
      <c r="W99" s="83">
        <v>6040</v>
      </c>
      <c r="X99" s="83"/>
      <c r="Y99" s="83"/>
      <c r="Z99" s="295">
        <v>3700</v>
      </c>
      <c r="AA99" s="295">
        <v>3700</v>
      </c>
      <c r="AB99" s="295">
        <v>3700</v>
      </c>
      <c r="AC99" s="295">
        <v>4700</v>
      </c>
      <c r="AD99" s="295">
        <v>4700</v>
      </c>
      <c r="AE99" s="295">
        <v>4700</v>
      </c>
      <c r="AF99" s="295">
        <v>6000</v>
      </c>
      <c r="AG99" s="295">
        <v>6000</v>
      </c>
      <c r="AH99" s="295">
        <v>6000</v>
      </c>
      <c r="AI99" s="295">
        <v>7500</v>
      </c>
      <c r="AJ99" s="295">
        <v>7500</v>
      </c>
      <c r="AK99" s="5">
        <v>7500</v>
      </c>
    </row>
    <row r="100" spans="2:37" customFormat="1" ht="13" x14ac:dyDescent="0.15">
      <c r="B100">
        <f t="shared" si="3"/>
        <v>97</v>
      </c>
      <c r="C100">
        <v>851</v>
      </c>
      <c r="D100" s="14" t="s">
        <v>56</v>
      </c>
      <c r="E100" t="s">
        <v>179</v>
      </c>
      <c r="F100" s="10"/>
      <c r="G100" s="9"/>
      <c r="H100" s="287">
        <v>3181</v>
      </c>
      <c r="I100" s="10"/>
      <c r="J100" s="9"/>
      <c r="K100" s="10"/>
      <c r="L100" s="10"/>
      <c r="M100" s="9"/>
      <c r="N100" s="10">
        <v>1829</v>
      </c>
      <c r="O100" s="10"/>
      <c r="P100" s="9"/>
      <c r="Q100" s="10">
        <v>1528</v>
      </c>
      <c r="R100" s="9"/>
      <c r="S100" s="168"/>
      <c r="T100" s="83">
        <f>Modeller!$I$115</f>
        <v>55.287115384615376</v>
      </c>
      <c r="U100" s="83">
        <f>Modeller!$J$115</f>
        <v>728.43124999999998</v>
      </c>
      <c r="V100" s="83">
        <v>3653</v>
      </c>
      <c r="W100" s="83">
        <v>5689</v>
      </c>
      <c r="X100" s="83"/>
      <c r="Y100" s="83"/>
      <c r="Z100" s="295">
        <v>3700</v>
      </c>
      <c r="AA100" s="295">
        <v>3700</v>
      </c>
      <c r="AB100" s="295">
        <v>3700</v>
      </c>
      <c r="AC100" s="295">
        <v>4700</v>
      </c>
      <c r="AD100" s="295">
        <v>4700</v>
      </c>
      <c r="AE100" s="295">
        <v>4700</v>
      </c>
      <c r="AF100" s="295">
        <v>6000</v>
      </c>
      <c r="AG100" s="295">
        <v>6000</v>
      </c>
      <c r="AH100" s="295">
        <v>6000</v>
      </c>
      <c r="AI100" s="295">
        <v>7500</v>
      </c>
      <c r="AJ100" s="295">
        <v>7500</v>
      </c>
      <c r="AK100" s="5">
        <v>7500</v>
      </c>
    </row>
    <row r="101" spans="2:37" customFormat="1" ht="13" x14ac:dyDescent="0.15">
      <c r="B101">
        <f t="shared" si="3"/>
        <v>98</v>
      </c>
      <c r="C101">
        <v>751</v>
      </c>
      <c r="D101" s="14" t="s">
        <v>599</v>
      </c>
      <c r="E101" t="s">
        <v>178</v>
      </c>
      <c r="F101" s="10"/>
      <c r="G101" s="9"/>
      <c r="H101" s="287">
        <v>3401</v>
      </c>
      <c r="I101" s="10"/>
      <c r="J101" s="9"/>
      <c r="K101" s="10"/>
      <c r="L101" s="10"/>
      <c r="M101" s="9"/>
      <c r="N101" s="10">
        <v>1738</v>
      </c>
      <c r="O101" s="10"/>
      <c r="P101" s="9"/>
      <c r="Q101" s="10">
        <v>1674</v>
      </c>
      <c r="R101" s="9"/>
      <c r="S101" s="168"/>
      <c r="T101" s="83">
        <f>Modeller!$I$115</f>
        <v>55.287115384615376</v>
      </c>
      <c r="U101" s="83">
        <f>Modeller!$J$115</f>
        <v>728.43124999999998</v>
      </c>
      <c r="V101" s="83">
        <v>2971</v>
      </c>
      <c r="W101" s="83">
        <v>5846</v>
      </c>
      <c r="X101" s="83"/>
      <c r="Y101" s="83"/>
      <c r="Z101" s="295">
        <v>3700</v>
      </c>
      <c r="AA101" s="295">
        <v>3700</v>
      </c>
      <c r="AB101" s="295">
        <v>3700</v>
      </c>
      <c r="AC101" s="295">
        <v>4700</v>
      </c>
      <c r="AD101" s="295">
        <v>4700</v>
      </c>
      <c r="AE101" s="295">
        <v>4700</v>
      </c>
      <c r="AF101" s="295">
        <v>6000</v>
      </c>
      <c r="AG101" s="295">
        <v>6000</v>
      </c>
      <c r="AH101" s="295">
        <v>6000</v>
      </c>
      <c r="AI101" s="295">
        <v>7500</v>
      </c>
      <c r="AJ101" s="295">
        <v>7500</v>
      </c>
      <c r="AK101" s="5">
        <v>7500</v>
      </c>
    </row>
    <row r="103" spans="2:37" x14ac:dyDescent="0.15">
      <c r="F103" s="10"/>
      <c r="G103" s="10"/>
      <c r="H103" s="10"/>
      <c r="T103" s="10">
        <f>SUM(T4:T101)/98</f>
        <v>55.287115384615383</v>
      </c>
    </row>
    <row r="104" spans="2:37" x14ac:dyDescent="0.15">
      <c r="F104" s="10"/>
      <c r="G104" s="10"/>
      <c r="H104" s="10"/>
      <c r="AE104" s="83"/>
    </row>
  </sheetData>
  <phoneticPr fontId="0" type="noConversion"/>
  <pageMargins left="0.75" right="0.75" top="1" bottom="1" header="0" footer="0"/>
  <pageSetup orientation="portrait"/>
  <legacyDrawing r:id="rId1"/>
  <extLst>
    <ext xmlns:mx="http://schemas.microsoft.com/office/mac/excel/2008/main" uri="{64002731-A6B0-56B0-2670-7721B7C09600}">
      <mx:PLV Mode="0" OnePage="0" WScale="0"/>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B8BF6-1C02-604B-B237-4597AD81F99B}">
  <dimension ref="B1:AK104"/>
  <sheetViews>
    <sheetView topLeftCell="E1" zoomScale="125" zoomScaleNormal="125" workbookViewId="0">
      <pane ySplit="3" topLeftCell="A23" activePane="bottomLeft" state="frozen"/>
      <selection pane="bottomLeft" activeCell="J10" sqref="J10"/>
    </sheetView>
  </sheetViews>
  <sheetFormatPr baseColWidth="10" defaultColWidth="9" defaultRowHeight="12" x14ac:dyDescent="0.15"/>
  <cols>
    <col min="1" max="1" width="3.6640625" style="3" customWidth="1"/>
    <col min="2" max="2" width="4.83203125" style="3" customWidth="1"/>
    <col min="3" max="3" width="5.5" style="3" customWidth="1"/>
    <col min="4" max="4" width="15.6640625" style="3" customWidth="1"/>
    <col min="5" max="5" width="19" style="3" customWidth="1"/>
    <col min="6" max="6" width="9.6640625" style="3" customWidth="1"/>
    <col min="7" max="7" width="7.83203125" style="3" customWidth="1"/>
    <col min="8" max="8" width="8.5" style="3" customWidth="1"/>
    <col min="9" max="9" width="7.83203125" style="3" customWidth="1"/>
    <col min="10" max="10" width="8" style="3" customWidth="1"/>
    <col min="11" max="11" width="8.5" style="3" customWidth="1"/>
    <col min="12" max="12" width="10" style="3" customWidth="1"/>
    <col min="13" max="13" width="7.1640625" style="3" customWidth="1"/>
    <col min="14" max="14" width="7.5" style="3" customWidth="1"/>
    <col min="15" max="15" width="8.1640625" style="3" customWidth="1"/>
    <col min="16" max="16" width="6.6640625" style="3" customWidth="1"/>
    <col min="17" max="17" width="8" style="3" customWidth="1"/>
    <col min="18" max="18" width="4.33203125" style="3" customWidth="1"/>
    <col min="19" max="19" width="5.6640625" style="3" customWidth="1"/>
    <col min="20" max="20" width="12.33203125" style="3" customWidth="1"/>
    <col min="21" max="21" width="13" style="3" customWidth="1"/>
    <col min="22" max="22" width="14.1640625" style="3" customWidth="1"/>
    <col min="23" max="23" width="11.83203125" style="3" customWidth="1"/>
    <col min="24" max="24" width="5.33203125" style="3" customWidth="1"/>
    <col min="25" max="25" width="8" style="3" customWidth="1"/>
    <col min="26" max="26" width="10.33203125" style="3" customWidth="1"/>
    <col min="27" max="27" width="10" style="3" customWidth="1"/>
    <col min="28" max="29" width="10.5" style="3" customWidth="1"/>
    <col min="30" max="30" width="11.5" style="3" customWidth="1"/>
    <col min="31" max="31" width="9.83203125" style="3" customWidth="1"/>
    <col min="32" max="32" width="10.33203125" style="3" customWidth="1"/>
    <col min="33" max="33" width="9.6640625" style="3" customWidth="1"/>
    <col min="34" max="34" width="9.83203125" style="3" customWidth="1"/>
    <col min="35" max="35" width="11" style="3" customWidth="1"/>
    <col min="36" max="36" width="9.33203125" style="3" customWidth="1"/>
    <col min="37" max="16384" width="9" style="3"/>
  </cols>
  <sheetData>
    <row r="1" spans="2:37" x14ac:dyDescent="0.15">
      <c r="B1" s="3">
        <v>1</v>
      </c>
      <c r="C1" s="3">
        <v>2</v>
      </c>
      <c r="D1" s="3">
        <v>3</v>
      </c>
      <c r="E1" s="3">
        <v>4</v>
      </c>
      <c r="F1" s="3">
        <v>5</v>
      </c>
      <c r="G1" s="3">
        <v>6</v>
      </c>
      <c r="H1" s="3">
        <v>7</v>
      </c>
      <c r="I1" s="3">
        <v>8</v>
      </c>
      <c r="J1" s="3">
        <v>9</v>
      </c>
      <c r="K1" s="3">
        <v>10</v>
      </c>
      <c r="L1" s="3">
        <v>11</v>
      </c>
      <c r="M1" s="3">
        <v>12</v>
      </c>
      <c r="N1" s="3">
        <v>13</v>
      </c>
      <c r="O1" s="3">
        <v>14</v>
      </c>
      <c r="P1" s="3">
        <v>15</v>
      </c>
      <c r="Q1" s="3">
        <v>16</v>
      </c>
      <c r="R1" s="3">
        <v>17</v>
      </c>
      <c r="S1" s="3">
        <v>18</v>
      </c>
      <c r="T1" s="3">
        <v>19</v>
      </c>
      <c r="U1" s="3">
        <v>20</v>
      </c>
      <c r="V1" s="3">
        <v>21</v>
      </c>
      <c r="W1" s="3">
        <v>22</v>
      </c>
      <c r="X1" s="3">
        <v>23</v>
      </c>
      <c r="Y1" s="3">
        <v>24</v>
      </c>
      <c r="Z1" s="3">
        <v>25</v>
      </c>
      <c r="AA1" s="3">
        <v>26</v>
      </c>
      <c r="AB1" s="3">
        <v>27</v>
      </c>
      <c r="AC1" s="3">
        <v>28</v>
      </c>
      <c r="AD1" s="3">
        <v>29</v>
      </c>
      <c r="AE1" s="3">
        <v>30</v>
      </c>
      <c r="AF1" s="3">
        <v>31</v>
      </c>
      <c r="AG1" s="3">
        <v>32</v>
      </c>
      <c r="AH1" s="3">
        <v>33</v>
      </c>
      <c r="AI1" s="3">
        <v>34</v>
      </c>
      <c r="AJ1" s="3">
        <v>35</v>
      </c>
      <c r="AK1" s="3">
        <v>36</v>
      </c>
    </row>
    <row r="2" spans="2:37" ht="34" customHeight="1" thickBot="1" x14ac:dyDescent="0.2">
      <c r="B2" s="159">
        <v>2020</v>
      </c>
      <c r="C2" s="159" t="s">
        <v>562</v>
      </c>
      <c r="D2" s="159" t="s">
        <v>180</v>
      </c>
      <c r="E2" s="159" t="s">
        <v>181</v>
      </c>
      <c r="F2" s="176" t="s">
        <v>311</v>
      </c>
      <c r="G2" s="175" t="s">
        <v>596</v>
      </c>
      <c r="H2" s="175" t="s">
        <v>236</v>
      </c>
      <c r="I2" s="177" t="s">
        <v>172</v>
      </c>
      <c r="J2" s="174" t="s">
        <v>596</v>
      </c>
      <c r="K2" s="174" t="s">
        <v>236</v>
      </c>
      <c r="L2" s="178" t="s">
        <v>173</v>
      </c>
      <c r="M2" s="159" t="s">
        <v>596</v>
      </c>
      <c r="N2" s="159" t="s">
        <v>236</v>
      </c>
      <c r="O2" s="176" t="s">
        <v>312</v>
      </c>
      <c r="P2" s="175" t="s">
        <v>595</v>
      </c>
      <c r="Q2" s="175" t="s">
        <v>236</v>
      </c>
      <c r="R2" s="10"/>
      <c r="S2" s="10"/>
      <c r="T2" s="159" t="s">
        <v>1138</v>
      </c>
      <c r="U2" s="159" t="s">
        <v>1138</v>
      </c>
      <c r="V2" s="159" t="s">
        <v>94</v>
      </c>
      <c r="W2" s="159" t="s">
        <v>353</v>
      </c>
      <c r="X2" s="159"/>
      <c r="Y2" s="159" t="s">
        <v>689</v>
      </c>
      <c r="Z2" s="159" t="s">
        <v>563</v>
      </c>
      <c r="AA2" s="159" t="s">
        <v>568</v>
      </c>
      <c r="AB2" s="159" t="s">
        <v>403</v>
      </c>
      <c r="AC2" s="159" t="s">
        <v>564</v>
      </c>
      <c r="AD2" s="159" t="s">
        <v>306</v>
      </c>
      <c r="AE2" s="159" t="s">
        <v>307</v>
      </c>
      <c r="AF2" s="159" t="s">
        <v>565</v>
      </c>
      <c r="AG2" s="159" t="s">
        <v>308</v>
      </c>
      <c r="AH2" s="159" t="s">
        <v>566</v>
      </c>
      <c r="AI2" s="159" t="s">
        <v>567</v>
      </c>
      <c r="AJ2" s="159" t="s">
        <v>309</v>
      </c>
      <c r="AK2" s="159" t="s">
        <v>310</v>
      </c>
    </row>
    <row r="3" spans="2:37" ht="24" customHeight="1" x14ac:dyDescent="0.15">
      <c r="B3" s="159"/>
      <c r="C3" s="7"/>
      <c r="D3" s="159" t="s">
        <v>1295</v>
      </c>
      <c r="E3" s="8"/>
      <c r="F3" s="159" t="s">
        <v>193</v>
      </c>
      <c r="G3" s="159"/>
      <c r="H3" s="159"/>
      <c r="I3" s="159" t="s">
        <v>193</v>
      </c>
      <c r="J3" s="159"/>
      <c r="K3" s="159"/>
      <c r="L3" s="159" t="s">
        <v>62</v>
      </c>
      <c r="M3" s="159"/>
      <c r="N3" s="159"/>
      <c r="O3" s="159" t="s">
        <v>63</v>
      </c>
      <c r="P3" s="159"/>
      <c r="Q3" s="159"/>
      <c r="R3" s="10"/>
      <c r="S3" s="10"/>
      <c r="T3" s="159" t="s">
        <v>401</v>
      </c>
      <c r="U3" s="159" t="s">
        <v>402</v>
      </c>
      <c r="V3" s="159"/>
      <c r="W3" s="159"/>
      <c r="X3" s="159"/>
      <c r="Y3" s="159"/>
      <c r="Z3" s="159" t="s">
        <v>2</v>
      </c>
      <c r="AA3" s="159" t="s">
        <v>2</v>
      </c>
      <c r="AB3" s="159" t="s">
        <v>2</v>
      </c>
      <c r="AC3" s="159" t="s">
        <v>3</v>
      </c>
      <c r="AD3" s="159" t="s">
        <v>3</v>
      </c>
      <c r="AE3" s="159" t="s">
        <v>3</v>
      </c>
      <c r="AF3" s="159" t="s">
        <v>316</v>
      </c>
      <c r="AG3" s="159" t="s">
        <v>316</v>
      </c>
      <c r="AH3" s="159" t="s">
        <v>316</v>
      </c>
      <c r="AI3" s="159" t="s">
        <v>317</v>
      </c>
      <c r="AJ3" s="159" t="s">
        <v>317</v>
      </c>
      <c r="AK3" s="159" t="s">
        <v>317</v>
      </c>
    </row>
    <row r="4" spans="2:37" customFormat="1" ht="13" x14ac:dyDescent="0.15">
      <c r="B4">
        <v>48</v>
      </c>
      <c r="C4">
        <v>101</v>
      </c>
      <c r="D4" s="14" t="s">
        <v>104</v>
      </c>
      <c r="E4" t="s">
        <v>175</v>
      </c>
      <c r="F4" s="10"/>
      <c r="G4" s="9"/>
      <c r="H4" s="287">
        <v>3087</v>
      </c>
      <c r="I4" s="10"/>
      <c r="J4" s="9"/>
      <c r="K4" s="10"/>
      <c r="L4" s="10"/>
      <c r="M4" s="9"/>
      <c r="N4" s="10">
        <v>1783</v>
      </c>
      <c r="O4" s="10"/>
      <c r="P4" s="9"/>
      <c r="Q4" s="10">
        <v>927</v>
      </c>
      <c r="R4" s="9"/>
      <c r="S4" s="168"/>
      <c r="T4" s="83">
        <v>55.287115384615376</v>
      </c>
      <c r="U4" s="83">
        <v>728.43124999999998</v>
      </c>
      <c r="V4" s="83">
        <v>3606</v>
      </c>
      <c r="W4" s="83">
        <v>5972</v>
      </c>
      <c r="X4" s="83"/>
      <c r="Y4" s="83"/>
      <c r="Z4" s="83">
        <v>3700</v>
      </c>
      <c r="AA4" s="83">
        <v>3700</v>
      </c>
      <c r="AB4" s="83">
        <v>3700</v>
      </c>
      <c r="AC4" s="83">
        <v>4700</v>
      </c>
      <c r="AD4" s="83">
        <v>4700</v>
      </c>
      <c r="AE4" s="83">
        <v>4700</v>
      </c>
      <c r="AF4" s="83">
        <v>6000</v>
      </c>
      <c r="AG4" s="83">
        <v>6000</v>
      </c>
      <c r="AH4" s="83">
        <v>6000</v>
      </c>
      <c r="AI4" s="83">
        <v>7500</v>
      </c>
      <c r="AJ4" s="83">
        <v>7500</v>
      </c>
      <c r="AK4">
        <v>7500</v>
      </c>
    </row>
    <row r="5" spans="2:37" customFormat="1" ht="13" x14ac:dyDescent="0.15">
      <c r="B5">
        <v>17</v>
      </c>
      <c r="C5">
        <v>147</v>
      </c>
      <c r="D5" s="14" t="s">
        <v>105</v>
      </c>
      <c r="E5" t="s">
        <v>175</v>
      </c>
      <c r="F5" s="10"/>
      <c r="G5" s="9"/>
      <c r="H5" s="287">
        <v>3068</v>
      </c>
      <c r="I5" s="10"/>
      <c r="J5" s="9"/>
      <c r="K5" s="10"/>
      <c r="L5" s="10"/>
      <c r="M5" s="9"/>
      <c r="N5" s="10">
        <v>1703</v>
      </c>
      <c r="O5" s="10"/>
      <c r="P5" s="9"/>
      <c r="Q5" s="10">
        <v>1847</v>
      </c>
      <c r="R5" s="9"/>
      <c r="S5" s="168"/>
      <c r="T5" s="83">
        <v>55.287115384615376</v>
      </c>
      <c r="U5" s="83">
        <v>728.43124999999998</v>
      </c>
      <c r="V5" s="83">
        <v>3644</v>
      </c>
      <c r="W5" s="83">
        <v>5761</v>
      </c>
      <c r="X5" s="83"/>
      <c r="Y5" s="83"/>
      <c r="Z5" s="83">
        <v>3700</v>
      </c>
      <c r="AA5" s="83">
        <v>3700</v>
      </c>
      <c r="AB5" s="83">
        <v>3700</v>
      </c>
      <c r="AC5" s="83">
        <v>4700</v>
      </c>
      <c r="AD5" s="83">
        <v>4700</v>
      </c>
      <c r="AE5" s="83">
        <v>4700</v>
      </c>
      <c r="AF5" s="83">
        <v>6000</v>
      </c>
      <c r="AG5" s="83">
        <v>6000</v>
      </c>
      <c r="AH5" s="83">
        <v>6000</v>
      </c>
      <c r="AI5" s="83">
        <v>7500</v>
      </c>
      <c r="AJ5" s="83">
        <v>7500</v>
      </c>
      <c r="AK5">
        <v>7500</v>
      </c>
    </row>
    <row r="6" spans="2:37" customFormat="1" ht="13" x14ac:dyDescent="0.15">
      <c r="B6">
        <v>4</v>
      </c>
      <c r="C6">
        <v>151</v>
      </c>
      <c r="D6" s="14" t="s">
        <v>108</v>
      </c>
      <c r="E6" t="s">
        <v>175</v>
      </c>
      <c r="F6" s="10"/>
      <c r="G6" s="9"/>
      <c r="H6" s="287">
        <v>3106</v>
      </c>
      <c r="I6" s="10"/>
      <c r="J6" s="9"/>
      <c r="K6" s="10"/>
      <c r="L6" s="10"/>
      <c r="M6" s="9"/>
      <c r="N6" s="10">
        <v>2070</v>
      </c>
      <c r="O6" s="10"/>
      <c r="P6" s="9"/>
      <c r="Q6" s="10">
        <v>1350</v>
      </c>
      <c r="R6" s="9"/>
      <c r="S6" s="180"/>
      <c r="T6" s="83">
        <v>55.287115384615376</v>
      </c>
      <c r="U6" s="83">
        <v>728.43124999999998</v>
      </c>
      <c r="V6" s="83">
        <v>3222</v>
      </c>
      <c r="W6" s="83">
        <v>6166</v>
      </c>
      <c r="X6" s="83"/>
      <c r="Y6" s="83"/>
      <c r="Z6" s="83">
        <v>3700</v>
      </c>
      <c r="AA6" s="83">
        <v>3700</v>
      </c>
      <c r="AB6" s="83">
        <v>3700</v>
      </c>
      <c r="AC6" s="83">
        <v>4700</v>
      </c>
      <c r="AD6" s="83">
        <v>4700</v>
      </c>
      <c r="AE6" s="83">
        <v>4700</v>
      </c>
      <c r="AF6" s="83">
        <v>6000</v>
      </c>
      <c r="AG6" s="83">
        <v>6000</v>
      </c>
      <c r="AH6" s="83">
        <v>6000</v>
      </c>
      <c r="AI6" s="83">
        <v>7500</v>
      </c>
      <c r="AJ6" s="83">
        <v>7500</v>
      </c>
      <c r="AK6">
        <v>7500</v>
      </c>
    </row>
    <row r="7" spans="2:37" customFormat="1" ht="13" x14ac:dyDescent="0.15">
      <c r="B7">
        <v>7</v>
      </c>
      <c r="C7">
        <v>153</v>
      </c>
      <c r="D7" s="14" t="s">
        <v>110</v>
      </c>
      <c r="E7" t="s">
        <v>175</v>
      </c>
      <c r="F7" s="10"/>
      <c r="G7" s="9"/>
      <c r="H7" s="287">
        <v>3265</v>
      </c>
      <c r="I7" s="10"/>
      <c r="J7" s="9"/>
      <c r="K7" s="10"/>
      <c r="L7" s="10"/>
      <c r="M7" s="9"/>
      <c r="N7" s="10">
        <v>1834</v>
      </c>
      <c r="O7" s="252"/>
      <c r="P7" s="9"/>
      <c r="Q7" s="10">
        <v>1509</v>
      </c>
      <c r="R7" s="9"/>
      <c r="S7" s="9"/>
      <c r="T7" s="83">
        <v>55.287115384615376</v>
      </c>
      <c r="U7" s="83">
        <v>728.43124999999998</v>
      </c>
      <c r="V7" s="83">
        <v>3768</v>
      </c>
      <c r="W7" s="83">
        <v>5920</v>
      </c>
      <c r="X7" s="83"/>
      <c r="Y7" s="83"/>
      <c r="Z7" s="83">
        <v>3700</v>
      </c>
      <c r="AA7" s="83">
        <v>3700</v>
      </c>
      <c r="AB7" s="83">
        <v>3700</v>
      </c>
      <c r="AC7" s="83">
        <v>4700</v>
      </c>
      <c r="AD7" s="83">
        <v>4700</v>
      </c>
      <c r="AE7" s="83">
        <v>4700</v>
      </c>
      <c r="AF7" s="83">
        <v>6000</v>
      </c>
      <c r="AG7" s="83">
        <v>6000</v>
      </c>
      <c r="AH7" s="83">
        <v>6000</v>
      </c>
      <c r="AI7" s="83">
        <v>7500</v>
      </c>
      <c r="AJ7" s="83">
        <v>7500</v>
      </c>
      <c r="AK7">
        <v>7500</v>
      </c>
    </row>
    <row r="8" spans="2:37" customFormat="1" ht="13" x14ac:dyDescent="0.15">
      <c r="B8">
        <v>9</v>
      </c>
      <c r="C8">
        <v>155</v>
      </c>
      <c r="D8" s="14" t="s">
        <v>111</v>
      </c>
      <c r="E8" t="s">
        <v>175</v>
      </c>
      <c r="F8" s="10"/>
      <c r="G8" s="9"/>
      <c r="H8" s="287">
        <v>3203</v>
      </c>
      <c r="I8" s="10"/>
      <c r="J8" s="9"/>
      <c r="K8" s="10"/>
      <c r="L8" s="10"/>
      <c r="M8" s="9"/>
      <c r="N8" s="10">
        <v>1605</v>
      </c>
      <c r="O8" s="10"/>
      <c r="P8" s="9"/>
      <c r="Q8" s="10">
        <v>1506</v>
      </c>
      <c r="R8" s="9"/>
      <c r="S8" s="168"/>
      <c r="T8" s="83">
        <v>55.287115384615376</v>
      </c>
      <c r="U8" s="83">
        <v>728.43124999999998</v>
      </c>
      <c r="V8" s="83">
        <v>3193</v>
      </c>
      <c r="W8" s="83">
        <v>5917</v>
      </c>
      <c r="X8" s="83"/>
      <c r="Y8" s="83"/>
      <c r="Z8" s="83">
        <v>3700</v>
      </c>
      <c r="AA8" s="83">
        <v>3700</v>
      </c>
      <c r="AB8" s="83">
        <v>3700</v>
      </c>
      <c r="AC8" s="83">
        <v>4700</v>
      </c>
      <c r="AD8" s="83">
        <v>4700</v>
      </c>
      <c r="AE8" s="83">
        <v>4700</v>
      </c>
      <c r="AF8" s="83">
        <v>6000</v>
      </c>
      <c r="AG8" s="83">
        <v>6000</v>
      </c>
      <c r="AH8" s="83">
        <v>6000</v>
      </c>
      <c r="AI8" s="83">
        <v>7500</v>
      </c>
      <c r="AJ8" s="83">
        <v>7500</v>
      </c>
      <c r="AK8">
        <v>7500</v>
      </c>
    </row>
    <row r="9" spans="2:37" customFormat="1" ht="13" x14ac:dyDescent="0.15">
      <c r="B9">
        <v>22</v>
      </c>
      <c r="C9">
        <v>157</v>
      </c>
      <c r="D9" s="14" t="s">
        <v>115</v>
      </c>
      <c r="E9" t="s">
        <v>175</v>
      </c>
      <c r="F9" s="10"/>
      <c r="G9" s="9"/>
      <c r="H9" s="287">
        <v>3212</v>
      </c>
      <c r="I9" s="10"/>
      <c r="J9" s="9"/>
      <c r="K9" s="10"/>
      <c r="L9" s="10"/>
      <c r="M9" s="9"/>
      <c r="N9" s="10">
        <v>1692</v>
      </c>
      <c r="O9" s="10"/>
      <c r="P9" s="9"/>
      <c r="Q9" s="10">
        <v>1724</v>
      </c>
      <c r="R9" s="157"/>
      <c r="S9" s="157"/>
      <c r="T9" s="83">
        <v>55.287115384615376</v>
      </c>
      <c r="U9" s="83">
        <v>728.43124999999998</v>
      </c>
      <c r="V9" s="83">
        <v>3536</v>
      </c>
      <c r="W9" s="83">
        <v>6618</v>
      </c>
      <c r="X9" s="83"/>
      <c r="Y9" s="83"/>
      <c r="Z9" s="83">
        <v>3700</v>
      </c>
      <c r="AA9" s="83">
        <v>3700</v>
      </c>
      <c r="AB9" s="83">
        <v>3700</v>
      </c>
      <c r="AC9" s="83">
        <v>4700</v>
      </c>
      <c r="AD9" s="83">
        <v>4700</v>
      </c>
      <c r="AE9" s="83">
        <v>4700</v>
      </c>
      <c r="AF9" s="83">
        <v>6000</v>
      </c>
      <c r="AG9" s="83">
        <v>6000</v>
      </c>
      <c r="AH9" s="83">
        <v>6000</v>
      </c>
      <c r="AI9" s="83">
        <v>7500</v>
      </c>
      <c r="AJ9" s="83">
        <v>7500</v>
      </c>
      <c r="AK9">
        <v>7500</v>
      </c>
    </row>
    <row r="10" spans="2:37" customFormat="1" ht="13" x14ac:dyDescent="0.15">
      <c r="B10">
        <v>23</v>
      </c>
      <c r="C10">
        <v>159</v>
      </c>
      <c r="D10" s="14" t="s">
        <v>116</v>
      </c>
      <c r="E10" t="s">
        <v>175</v>
      </c>
      <c r="F10" s="10"/>
      <c r="G10" s="9"/>
      <c r="H10" s="287">
        <v>3440</v>
      </c>
      <c r="I10" s="10"/>
      <c r="J10" s="9"/>
      <c r="K10" s="10"/>
      <c r="L10" s="10"/>
      <c r="M10" s="9"/>
      <c r="N10" s="10">
        <v>2070</v>
      </c>
      <c r="O10" s="10"/>
      <c r="P10" s="9"/>
      <c r="Q10" s="10">
        <v>1616</v>
      </c>
      <c r="R10" s="9"/>
      <c r="S10" s="168"/>
      <c r="T10" s="83">
        <v>55.287115384615376</v>
      </c>
      <c r="U10" s="83">
        <v>728.43124999999998</v>
      </c>
      <c r="V10" s="83">
        <v>3689</v>
      </c>
      <c r="W10" s="83">
        <v>6142</v>
      </c>
      <c r="X10" s="83"/>
      <c r="Y10" s="83"/>
      <c r="Z10" s="83">
        <v>3700</v>
      </c>
      <c r="AA10" s="83">
        <v>3700</v>
      </c>
      <c r="AB10" s="83">
        <v>3700</v>
      </c>
      <c r="AC10" s="83">
        <v>4700</v>
      </c>
      <c r="AD10" s="83">
        <v>4700</v>
      </c>
      <c r="AE10" s="83">
        <v>4700</v>
      </c>
      <c r="AF10" s="83">
        <v>6000</v>
      </c>
      <c r="AG10" s="83">
        <v>6000</v>
      </c>
      <c r="AH10" s="83">
        <v>6000</v>
      </c>
      <c r="AI10" s="83">
        <v>7500</v>
      </c>
      <c r="AJ10" s="83">
        <v>7500</v>
      </c>
      <c r="AK10">
        <v>7500</v>
      </c>
    </row>
    <row r="11" spans="2:37" customFormat="1" ht="13" x14ac:dyDescent="0.15">
      <c r="B11">
        <v>24</v>
      </c>
      <c r="C11">
        <v>161</v>
      </c>
      <c r="D11" s="14" t="s">
        <v>117</v>
      </c>
      <c r="E11" t="s">
        <v>175</v>
      </c>
      <c r="F11" s="10"/>
      <c r="G11" s="9"/>
      <c r="H11" s="287">
        <v>3348</v>
      </c>
      <c r="I11" s="10"/>
      <c r="J11" s="9"/>
      <c r="K11" s="10"/>
      <c r="L11" s="10"/>
      <c r="M11" s="9"/>
      <c r="N11" s="10">
        <v>1644</v>
      </c>
      <c r="O11" s="10"/>
      <c r="P11" s="9"/>
      <c r="Q11" s="10">
        <v>1314</v>
      </c>
      <c r="R11" s="9"/>
      <c r="S11" s="168"/>
      <c r="T11" s="83">
        <v>55.287115384615376</v>
      </c>
      <c r="U11" s="83">
        <v>728.43124999999998</v>
      </c>
      <c r="V11" s="83">
        <v>3434</v>
      </c>
      <c r="W11" s="83">
        <v>5764</v>
      </c>
      <c r="X11" s="83"/>
      <c r="Y11" s="83"/>
      <c r="Z11" s="83">
        <v>3700</v>
      </c>
      <c r="AA11" s="83">
        <v>3700</v>
      </c>
      <c r="AB11" s="83">
        <v>3700</v>
      </c>
      <c r="AC11" s="83">
        <v>4700</v>
      </c>
      <c r="AD11" s="83">
        <v>4700</v>
      </c>
      <c r="AE11" s="83">
        <v>4700</v>
      </c>
      <c r="AF11" s="83">
        <v>6000</v>
      </c>
      <c r="AG11" s="83">
        <v>6000</v>
      </c>
      <c r="AH11" s="83">
        <v>6000</v>
      </c>
      <c r="AI11" s="83">
        <v>7500</v>
      </c>
      <c r="AJ11" s="83">
        <v>7500</v>
      </c>
      <c r="AK11">
        <v>7500</v>
      </c>
    </row>
    <row r="12" spans="2:37" customFormat="1" ht="13" x14ac:dyDescent="0.15">
      <c r="B12">
        <v>32</v>
      </c>
      <c r="C12">
        <v>163</v>
      </c>
      <c r="D12" s="14" t="s">
        <v>121</v>
      </c>
      <c r="E12" t="s">
        <v>175</v>
      </c>
      <c r="F12" s="10"/>
      <c r="G12" s="9"/>
      <c r="H12" s="287">
        <v>2981</v>
      </c>
      <c r="I12" s="10"/>
      <c r="J12" s="9"/>
      <c r="K12" s="10"/>
      <c r="L12" s="10"/>
      <c r="M12" s="9"/>
      <c r="N12" s="10">
        <v>1938</v>
      </c>
      <c r="O12" s="10"/>
      <c r="P12" s="9"/>
      <c r="Q12" s="10">
        <v>1730</v>
      </c>
      <c r="R12" s="9"/>
      <c r="S12" s="9"/>
      <c r="T12" s="83">
        <v>55.287115384615376</v>
      </c>
      <c r="U12" s="83">
        <v>728.43124999999998</v>
      </c>
      <c r="V12" s="83">
        <v>3488</v>
      </c>
      <c r="W12" s="83">
        <v>5617</v>
      </c>
      <c r="X12" s="83"/>
      <c r="Y12" s="83"/>
      <c r="Z12" s="83">
        <v>3700</v>
      </c>
      <c r="AA12" s="83">
        <v>3700</v>
      </c>
      <c r="AB12" s="83">
        <v>3700</v>
      </c>
      <c r="AC12" s="83">
        <v>4700</v>
      </c>
      <c r="AD12" s="83">
        <v>4700</v>
      </c>
      <c r="AE12" s="83">
        <v>4700</v>
      </c>
      <c r="AF12" s="83">
        <v>6000</v>
      </c>
      <c r="AG12" s="83">
        <v>6000</v>
      </c>
      <c r="AH12" s="83">
        <v>6000</v>
      </c>
      <c r="AI12" s="83">
        <v>7500</v>
      </c>
      <c r="AJ12" s="83">
        <v>7500</v>
      </c>
      <c r="AK12">
        <v>7500</v>
      </c>
    </row>
    <row r="13" spans="2:37" customFormat="1" ht="13" x14ac:dyDescent="0.15">
      <c r="B13">
        <v>1</v>
      </c>
      <c r="C13">
        <v>165</v>
      </c>
      <c r="D13" s="14" t="s">
        <v>106</v>
      </c>
      <c r="E13" t="s">
        <v>175</v>
      </c>
      <c r="F13" s="10"/>
      <c r="G13" s="9"/>
      <c r="H13" s="287">
        <v>3489</v>
      </c>
      <c r="I13" s="10"/>
      <c r="J13" s="9"/>
      <c r="K13" s="10"/>
      <c r="L13" s="10"/>
      <c r="M13" s="9"/>
      <c r="N13" s="10">
        <v>2001</v>
      </c>
      <c r="O13" s="10"/>
      <c r="P13" s="9"/>
      <c r="Q13" s="10">
        <v>1673</v>
      </c>
      <c r="R13" s="9"/>
      <c r="S13" s="168"/>
      <c r="T13" s="83">
        <v>55.287115384615376</v>
      </c>
      <c r="U13" s="83">
        <v>728.43124999999998</v>
      </c>
      <c r="V13" s="83">
        <v>3434</v>
      </c>
      <c r="W13" s="83">
        <v>5764</v>
      </c>
      <c r="X13" s="83"/>
      <c r="Y13" s="83"/>
      <c r="Z13" s="83">
        <v>3700</v>
      </c>
      <c r="AA13" s="83">
        <v>3700</v>
      </c>
      <c r="AB13" s="83">
        <v>3700</v>
      </c>
      <c r="AC13" s="83">
        <v>4700</v>
      </c>
      <c r="AD13" s="83">
        <v>4700</v>
      </c>
      <c r="AE13" s="83">
        <v>4700</v>
      </c>
      <c r="AF13" s="83">
        <v>6000</v>
      </c>
      <c r="AG13" s="83">
        <v>6000</v>
      </c>
      <c r="AH13" s="83">
        <v>6000</v>
      </c>
      <c r="AI13" s="83">
        <v>7500</v>
      </c>
      <c r="AJ13" s="83">
        <v>7500</v>
      </c>
      <c r="AK13">
        <v>7500</v>
      </c>
    </row>
    <row r="14" spans="2:37" customFormat="1" ht="13" x14ac:dyDescent="0.15">
      <c r="B14">
        <v>39</v>
      </c>
      <c r="C14">
        <v>167</v>
      </c>
      <c r="D14" s="14" t="s">
        <v>123</v>
      </c>
      <c r="E14" t="s">
        <v>175</v>
      </c>
      <c r="F14" s="10"/>
      <c r="G14" s="9"/>
      <c r="H14" s="287">
        <v>2896</v>
      </c>
      <c r="I14" s="10"/>
      <c r="J14" s="9"/>
      <c r="K14" s="10"/>
      <c r="L14" s="10"/>
      <c r="M14" s="9"/>
      <c r="N14" s="10">
        <v>1987</v>
      </c>
      <c r="O14" s="10"/>
      <c r="P14" s="9"/>
      <c r="Q14" s="10">
        <v>1304</v>
      </c>
      <c r="R14" s="9"/>
      <c r="S14" s="168"/>
      <c r="T14" s="83">
        <v>55.287115384615376</v>
      </c>
      <c r="U14" s="83">
        <v>728.43124999999998</v>
      </c>
      <c r="V14" s="83">
        <v>3610</v>
      </c>
      <c r="W14" s="83">
        <v>6198</v>
      </c>
      <c r="X14" s="83"/>
      <c r="Y14" s="83"/>
      <c r="Z14" s="83">
        <v>3700</v>
      </c>
      <c r="AA14" s="83">
        <v>3700</v>
      </c>
      <c r="AB14" s="83">
        <v>3700</v>
      </c>
      <c r="AC14" s="83">
        <v>4700</v>
      </c>
      <c r="AD14" s="83">
        <v>4700</v>
      </c>
      <c r="AE14" s="83">
        <v>4700</v>
      </c>
      <c r="AF14" s="83">
        <v>6000</v>
      </c>
      <c r="AG14" s="83">
        <v>6000</v>
      </c>
      <c r="AH14" s="83">
        <v>6000</v>
      </c>
      <c r="AI14" s="83">
        <v>7500</v>
      </c>
      <c r="AJ14" s="83">
        <v>7500</v>
      </c>
      <c r="AK14">
        <v>7500</v>
      </c>
    </row>
    <row r="15" spans="2:37" customFormat="1" ht="13" x14ac:dyDescent="0.15">
      <c r="B15">
        <v>40</v>
      </c>
      <c r="C15">
        <v>169</v>
      </c>
      <c r="D15" s="14" t="s">
        <v>124</v>
      </c>
      <c r="E15" t="s">
        <v>175</v>
      </c>
      <c r="F15" s="10"/>
      <c r="G15" s="9"/>
      <c r="H15" s="287">
        <v>3238</v>
      </c>
      <c r="I15" s="10"/>
      <c r="J15" s="9"/>
      <c r="K15" s="10"/>
      <c r="L15" s="10"/>
      <c r="M15" s="9"/>
      <c r="N15" s="10">
        <v>1794</v>
      </c>
      <c r="O15" s="10"/>
      <c r="P15" s="9"/>
      <c r="Q15" s="10">
        <v>1477</v>
      </c>
      <c r="R15" s="9"/>
      <c r="S15" s="168"/>
      <c r="T15" s="83">
        <v>55.287115384615376</v>
      </c>
      <c r="U15" s="83">
        <v>728.43124999999998</v>
      </c>
      <c r="V15" s="83">
        <v>3210</v>
      </c>
      <c r="W15" s="83">
        <v>6209</v>
      </c>
      <c r="X15" s="83"/>
      <c r="Y15" s="83"/>
      <c r="Z15" s="83">
        <v>3700</v>
      </c>
      <c r="AA15" s="83">
        <v>3700</v>
      </c>
      <c r="AB15" s="83">
        <v>3700</v>
      </c>
      <c r="AC15" s="83">
        <v>4700</v>
      </c>
      <c r="AD15" s="83">
        <v>4700</v>
      </c>
      <c r="AE15" s="83">
        <v>4700</v>
      </c>
      <c r="AF15" s="83">
        <v>6000</v>
      </c>
      <c r="AG15" s="83">
        <v>6000</v>
      </c>
      <c r="AH15" s="83">
        <v>6000</v>
      </c>
      <c r="AI15" s="83">
        <v>7500</v>
      </c>
      <c r="AJ15" s="83">
        <v>7500</v>
      </c>
      <c r="AK15">
        <v>7500</v>
      </c>
    </row>
    <row r="16" spans="2:37" customFormat="1" ht="13" x14ac:dyDescent="0.15">
      <c r="B16">
        <v>54</v>
      </c>
      <c r="C16">
        <v>173</v>
      </c>
      <c r="D16" s="14" t="s">
        <v>127</v>
      </c>
      <c r="E16" t="s">
        <v>175</v>
      </c>
      <c r="F16" s="10"/>
      <c r="G16" s="9"/>
      <c r="H16" s="287">
        <v>3085</v>
      </c>
      <c r="I16" s="10"/>
      <c r="J16" s="9"/>
      <c r="K16" s="10"/>
      <c r="L16" s="10"/>
      <c r="M16" s="9"/>
      <c r="N16" s="10">
        <v>1797</v>
      </c>
      <c r="O16" s="10"/>
      <c r="P16" s="9"/>
      <c r="Q16" s="10">
        <v>1888</v>
      </c>
      <c r="R16" s="9"/>
      <c r="S16" s="168"/>
      <c r="T16" s="83">
        <v>55.287115384615376</v>
      </c>
      <c r="U16" s="83">
        <v>728.43124999999998</v>
      </c>
      <c r="V16" s="83">
        <v>3458</v>
      </c>
      <c r="W16" s="83">
        <v>6109</v>
      </c>
      <c r="X16" s="83"/>
      <c r="Y16" s="83"/>
      <c r="Z16" s="83">
        <v>3700</v>
      </c>
      <c r="AA16" s="83">
        <v>3700</v>
      </c>
      <c r="AB16" s="83">
        <v>3700</v>
      </c>
      <c r="AC16" s="83">
        <v>4700</v>
      </c>
      <c r="AD16" s="83">
        <v>4700</v>
      </c>
      <c r="AE16" s="83">
        <v>4700</v>
      </c>
      <c r="AF16" s="83">
        <v>6000</v>
      </c>
      <c r="AG16" s="83">
        <v>6000</v>
      </c>
      <c r="AH16" s="83">
        <v>6000</v>
      </c>
      <c r="AI16" s="83">
        <v>7500</v>
      </c>
      <c r="AJ16" s="83">
        <v>7500</v>
      </c>
      <c r="AK16">
        <v>7500</v>
      </c>
    </row>
    <row r="17" spans="2:37" customFormat="1" ht="13" x14ac:dyDescent="0.15">
      <c r="B17">
        <v>72</v>
      </c>
      <c r="C17">
        <v>175</v>
      </c>
      <c r="D17" s="14" t="s">
        <v>129</v>
      </c>
      <c r="E17" t="s">
        <v>175</v>
      </c>
      <c r="F17" s="10"/>
      <c r="G17" s="9"/>
      <c r="H17" s="287">
        <v>3241</v>
      </c>
      <c r="I17" s="10"/>
      <c r="J17" s="9"/>
      <c r="K17" s="10"/>
      <c r="L17" s="10"/>
      <c r="M17" s="9"/>
      <c r="N17" s="10">
        <v>1793</v>
      </c>
      <c r="O17" s="10"/>
      <c r="P17" s="9"/>
      <c r="Q17" s="10">
        <v>1616</v>
      </c>
      <c r="R17" s="9"/>
      <c r="S17" s="168"/>
      <c r="T17" s="83">
        <v>55.287115384615376</v>
      </c>
      <c r="U17" s="83">
        <v>728.43124999999998</v>
      </c>
      <c r="V17" s="83">
        <v>3723</v>
      </c>
      <c r="W17" s="83">
        <v>5681</v>
      </c>
      <c r="X17" s="83"/>
      <c r="Y17" s="83"/>
      <c r="Z17" s="83">
        <v>3700</v>
      </c>
      <c r="AA17" s="83">
        <v>3700</v>
      </c>
      <c r="AB17" s="83">
        <v>3700</v>
      </c>
      <c r="AC17" s="83">
        <v>4700</v>
      </c>
      <c r="AD17" s="83">
        <v>4700</v>
      </c>
      <c r="AE17" s="83">
        <v>4700</v>
      </c>
      <c r="AF17" s="83">
        <v>6000</v>
      </c>
      <c r="AG17" s="83">
        <v>6000</v>
      </c>
      <c r="AH17" s="83">
        <v>6000</v>
      </c>
      <c r="AI17" s="83">
        <v>7500</v>
      </c>
      <c r="AJ17" s="83">
        <v>7500</v>
      </c>
      <c r="AK17">
        <v>7500</v>
      </c>
    </row>
    <row r="18" spans="2:37" customFormat="1" ht="13" x14ac:dyDescent="0.15">
      <c r="B18">
        <v>43</v>
      </c>
      <c r="C18">
        <v>183</v>
      </c>
      <c r="D18" s="14" t="s">
        <v>126</v>
      </c>
      <c r="E18" t="s">
        <v>175</v>
      </c>
      <c r="F18" s="10"/>
      <c r="G18" s="9"/>
      <c r="H18" s="287">
        <v>3148</v>
      </c>
      <c r="I18" s="10"/>
      <c r="J18" s="9"/>
      <c r="K18" s="10"/>
      <c r="L18" s="10"/>
      <c r="M18" s="9"/>
      <c r="N18" s="10">
        <v>2170</v>
      </c>
      <c r="O18" s="10"/>
      <c r="P18" s="9"/>
      <c r="Q18" s="10">
        <v>1431</v>
      </c>
      <c r="R18" s="9"/>
      <c r="S18" s="168"/>
      <c r="T18" s="83">
        <v>55.287115384615376</v>
      </c>
      <c r="U18" s="83">
        <v>728.43124999999998</v>
      </c>
      <c r="V18" s="83">
        <v>3767</v>
      </c>
      <c r="W18" s="83">
        <v>6173</v>
      </c>
      <c r="X18" s="83"/>
      <c r="Y18" s="83"/>
      <c r="Z18" s="83">
        <v>3700</v>
      </c>
      <c r="AA18" s="83">
        <v>3700</v>
      </c>
      <c r="AB18" s="83">
        <v>3700</v>
      </c>
      <c r="AC18" s="83">
        <v>4700</v>
      </c>
      <c r="AD18" s="83">
        <v>4700</v>
      </c>
      <c r="AE18" s="83">
        <v>4700</v>
      </c>
      <c r="AF18" s="83">
        <v>6000</v>
      </c>
      <c r="AG18" s="83">
        <v>6000</v>
      </c>
      <c r="AH18" s="83">
        <v>6000</v>
      </c>
      <c r="AI18" s="83">
        <v>7500</v>
      </c>
      <c r="AJ18" s="83">
        <v>7500</v>
      </c>
      <c r="AK18">
        <v>7500</v>
      </c>
    </row>
    <row r="19" spans="2:37" customFormat="1" ht="13" x14ac:dyDescent="0.15">
      <c r="B19">
        <v>87</v>
      </c>
      <c r="C19">
        <v>185</v>
      </c>
      <c r="D19" s="14" t="s">
        <v>130</v>
      </c>
      <c r="E19" t="s">
        <v>175</v>
      </c>
      <c r="F19" s="10"/>
      <c r="G19" s="9"/>
      <c r="H19" s="287">
        <v>3343</v>
      </c>
      <c r="I19" s="10"/>
      <c r="J19" s="9"/>
      <c r="K19" s="10"/>
      <c r="L19" s="10"/>
      <c r="M19" s="9"/>
      <c r="N19" s="10">
        <v>1690</v>
      </c>
      <c r="O19" s="10"/>
      <c r="P19" s="9"/>
      <c r="Q19" s="10">
        <v>1042</v>
      </c>
      <c r="R19" s="9"/>
      <c r="S19" s="168"/>
      <c r="T19" s="83">
        <v>55.287115384615376</v>
      </c>
      <c r="U19" s="83">
        <v>728.43124999999998</v>
      </c>
      <c r="V19" s="83">
        <v>3193</v>
      </c>
      <c r="W19" s="83">
        <v>5917</v>
      </c>
      <c r="X19" s="83"/>
      <c r="Y19" s="83"/>
      <c r="Z19" s="83">
        <v>3700</v>
      </c>
      <c r="AA19" s="83">
        <v>3700</v>
      </c>
      <c r="AB19" s="83">
        <v>3700</v>
      </c>
      <c r="AC19" s="83">
        <v>4700</v>
      </c>
      <c r="AD19" s="83">
        <v>4700</v>
      </c>
      <c r="AE19" s="83">
        <v>4700</v>
      </c>
      <c r="AF19" s="83">
        <v>6000</v>
      </c>
      <c r="AG19" s="83">
        <v>6000</v>
      </c>
      <c r="AH19" s="83">
        <v>6000</v>
      </c>
      <c r="AI19" s="83">
        <v>7500</v>
      </c>
      <c r="AJ19" s="83">
        <v>7500</v>
      </c>
      <c r="AK19">
        <v>7500</v>
      </c>
    </row>
    <row r="20" spans="2:37" customFormat="1" ht="13" x14ac:dyDescent="0.15">
      <c r="B20">
        <v>88</v>
      </c>
      <c r="C20">
        <v>187</v>
      </c>
      <c r="D20" s="14" t="s">
        <v>131</v>
      </c>
      <c r="E20" t="s">
        <v>175</v>
      </c>
      <c r="F20" s="10"/>
      <c r="G20" s="9"/>
      <c r="H20" s="287">
        <v>2989</v>
      </c>
      <c r="I20" s="10"/>
      <c r="J20" s="9"/>
      <c r="K20" s="10"/>
      <c r="L20" s="10"/>
      <c r="M20" s="9"/>
      <c r="N20" s="10">
        <v>1693</v>
      </c>
      <c r="O20" s="10"/>
      <c r="P20" s="9"/>
      <c r="Q20" s="10">
        <v>1657</v>
      </c>
      <c r="R20" s="9"/>
      <c r="S20" s="168"/>
      <c r="T20" s="83">
        <v>55.287115384615376</v>
      </c>
      <c r="U20" s="83">
        <v>728.43124999999998</v>
      </c>
      <c r="V20" s="83">
        <v>3767</v>
      </c>
      <c r="W20" s="83">
        <v>6173</v>
      </c>
      <c r="X20" s="83"/>
      <c r="Y20" s="83"/>
      <c r="Z20" s="83">
        <v>3700</v>
      </c>
      <c r="AA20" s="83">
        <v>3700</v>
      </c>
      <c r="AB20" s="83">
        <v>3700</v>
      </c>
      <c r="AC20" s="83">
        <v>4700</v>
      </c>
      <c r="AD20" s="83">
        <v>4700</v>
      </c>
      <c r="AE20" s="83">
        <v>4700</v>
      </c>
      <c r="AF20" s="83">
        <v>6000</v>
      </c>
      <c r="AG20" s="83">
        <v>6000</v>
      </c>
      <c r="AH20" s="83">
        <v>6000</v>
      </c>
      <c r="AI20" s="83">
        <v>7500</v>
      </c>
      <c r="AJ20" s="83">
        <v>7500</v>
      </c>
      <c r="AK20">
        <v>7500</v>
      </c>
    </row>
    <row r="21" spans="2:37" customFormat="1" ht="13" x14ac:dyDescent="0.15">
      <c r="B21">
        <v>20</v>
      </c>
      <c r="C21">
        <v>190</v>
      </c>
      <c r="D21" s="14" t="s">
        <v>527</v>
      </c>
      <c r="E21" t="s">
        <v>175</v>
      </c>
      <c r="F21" s="10"/>
      <c r="G21" s="9"/>
      <c r="H21" s="287">
        <v>2970</v>
      </c>
      <c r="I21" s="10"/>
      <c r="J21" s="9"/>
      <c r="K21" s="10"/>
      <c r="L21" s="10"/>
      <c r="M21" s="9"/>
      <c r="N21" s="10">
        <v>1818</v>
      </c>
      <c r="O21" s="10"/>
      <c r="P21" s="9"/>
      <c r="Q21" s="10">
        <v>1493</v>
      </c>
      <c r="R21" s="9"/>
      <c r="S21" s="168"/>
      <c r="T21" s="83">
        <v>55.287115384615376</v>
      </c>
      <c r="U21" s="83">
        <v>728.43124999999998</v>
      </c>
      <c r="V21" s="83">
        <v>3431</v>
      </c>
      <c r="W21" s="83">
        <v>6656</v>
      </c>
      <c r="X21" s="83"/>
      <c r="Y21" s="83"/>
      <c r="Z21" s="83">
        <v>3700</v>
      </c>
      <c r="AA21" s="83">
        <v>3700</v>
      </c>
      <c r="AB21" s="83">
        <v>3700</v>
      </c>
      <c r="AC21" s="83">
        <v>4700</v>
      </c>
      <c r="AD21" s="83">
        <v>4700</v>
      </c>
      <c r="AE21" s="83">
        <v>4700</v>
      </c>
      <c r="AF21" s="83">
        <v>6000</v>
      </c>
      <c r="AG21" s="83">
        <v>6000</v>
      </c>
      <c r="AH21" s="83">
        <v>6000</v>
      </c>
      <c r="AI21" s="83">
        <v>7500</v>
      </c>
      <c r="AJ21" s="83">
        <v>7500</v>
      </c>
      <c r="AK21">
        <v>7500</v>
      </c>
    </row>
    <row r="22" spans="2:37" customFormat="1" ht="13" x14ac:dyDescent="0.15">
      <c r="B22">
        <v>2</v>
      </c>
      <c r="C22">
        <v>201</v>
      </c>
      <c r="D22" s="14" t="s">
        <v>107</v>
      </c>
      <c r="E22" t="s">
        <v>175</v>
      </c>
      <c r="F22" s="10"/>
      <c r="G22" s="9"/>
      <c r="H22" s="287">
        <v>2894</v>
      </c>
      <c r="I22" s="10"/>
      <c r="J22" s="9"/>
      <c r="K22" s="10"/>
      <c r="L22" s="10"/>
      <c r="M22" s="9"/>
      <c r="N22" s="10">
        <v>1683</v>
      </c>
      <c r="O22" s="10"/>
      <c r="P22" s="9"/>
      <c r="Q22" s="10">
        <v>1443</v>
      </c>
      <c r="R22" s="9"/>
      <c r="S22" s="9"/>
      <c r="T22" s="83">
        <v>55.287115384615376</v>
      </c>
      <c r="U22" s="83">
        <v>728.43124999999998</v>
      </c>
      <c r="V22" s="83">
        <v>3731</v>
      </c>
      <c r="W22" s="83">
        <v>6907</v>
      </c>
      <c r="X22" s="83"/>
      <c r="Y22" s="83"/>
      <c r="Z22" s="83">
        <v>3700</v>
      </c>
      <c r="AA22" s="83">
        <v>3700</v>
      </c>
      <c r="AB22" s="83">
        <v>3700</v>
      </c>
      <c r="AC22" s="83">
        <v>4700</v>
      </c>
      <c r="AD22" s="83">
        <v>4700</v>
      </c>
      <c r="AE22" s="83">
        <v>4700</v>
      </c>
      <c r="AF22" s="83">
        <v>6000</v>
      </c>
      <c r="AG22" s="83">
        <v>6000</v>
      </c>
      <c r="AH22" s="83">
        <v>6000</v>
      </c>
      <c r="AI22" s="83">
        <v>7500</v>
      </c>
      <c r="AJ22" s="83">
        <v>7500</v>
      </c>
      <c r="AK22">
        <v>7500</v>
      </c>
    </row>
    <row r="23" spans="2:37" customFormat="1" ht="13" x14ac:dyDescent="0.15">
      <c r="B23">
        <v>15</v>
      </c>
      <c r="C23">
        <v>210</v>
      </c>
      <c r="D23" s="14" t="s">
        <v>113</v>
      </c>
      <c r="E23" t="s">
        <v>175</v>
      </c>
      <c r="F23" s="10"/>
      <c r="G23" s="9"/>
      <c r="H23" s="287">
        <v>3418</v>
      </c>
      <c r="I23" s="10"/>
      <c r="J23" s="9"/>
      <c r="K23" s="10"/>
      <c r="L23" s="10"/>
      <c r="M23" s="9"/>
      <c r="N23" s="10">
        <v>1566</v>
      </c>
      <c r="O23" s="10"/>
      <c r="P23" s="9"/>
      <c r="Q23" s="10">
        <v>954</v>
      </c>
      <c r="R23" s="9"/>
      <c r="S23" s="168"/>
      <c r="T23" s="83">
        <v>55.287115384615376</v>
      </c>
      <c r="U23" s="83">
        <v>728.43124999999998</v>
      </c>
      <c r="V23" s="83">
        <v>3501</v>
      </c>
      <c r="W23" s="83">
        <v>6147</v>
      </c>
      <c r="X23" s="83"/>
      <c r="Y23" s="83"/>
      <c r="Z23" s="83">
        <v>3700</v>
      </c>
      <c r="AA23" s="83">
        <v>3700</v>
      </c>
      <c r="AB23" s="83">
        <v>3700</v>
      </c>
      <c r="AC23" s="83">
        <v>4700</v>
      </c>
      <c r="AD23" s="83">
        <v>4700</v>
      </c>
      <c r="AE23" s="83">
        <v>4700</v>
      </c>
      <c r="AF23" s="83">
        <v>6000</v>
      </c>
      <c r="AG23" s="83">
        <v>6000</v>
      </c>
      <c r="AH23" s="83">
        <v>6000</v>
      </c>
      <c r="AI23" s="83">
        <v>7500</v>
      </c>
      <c r="AJ23" s="83">
        <v>7500</v>
      </c>
      <c r="AK23">
        <v>7500</v>
      </c>
    </row>
    <row r="24" spans="2:37" customFormat="1" ht="13" x14ac:dyDescent="0.15">
      <c r="B24">
        <v>31</v>
      </c>
      <c r="C24">
        <v>217</v>
      </c>
      <c r="D24" s="14" t="s">
        <v>120</v>
      </c>
      <c r="E24" t="s">
        <v>175</v>
      </c>
      <c r="F24" s="10"/>
      <c r="G24" s="9"/>
      <c r="H24" s="287">
        <v>3268</v>
      </c>
      <c r="I24" s="10"/>
      <c r="J24" s="9"/>
      <c r="K24" s="10"/>
      <c r="L24" s="10"/>
      <c r="M24" s="9"/>
      <c r="N24" s="10">
        <v>1719</v>
      </c>
      <c r="O24" s="10"/>
      <c r="P24" s="9"/>
      <c r="Q24" s="10">
        <v>1517</v>
      </c>
      <c r="R24" s="9"/>
      <c r="S24" s="168"/>
      <c r="T24" s="83">
        <v>55.287115384615376</v>
      </c>
      <c r="U24" s="83">
        <v>728.43124999999998</v>
      </c>
      <c r="V24" s="83">
        <v>3782</v>
      </c>
      <c r="W24" s="83">
        <v>5617</v>
      </c>
      <c r="X24" s="83"/>
      <c r="Y24" s="83"/>
      <c r="Z24" s="83">
        <v>3700</v>
      </c>
      <c r="AA24" s="83">
        <v>3700</v>
      </c>
      <c r="AB24" s="83">
        <v>3700</v>
      </c>
      <c r="AC24" s="83">
        <v>4700</v>
      </c>
      <c r="AD24" s="83">
        <v>4700</v>
      </c>
      <c r="AE24" s="83">
        <v>4700</v>
      </c>
      <c r="AF24" s="83">
        <v>6000</v>
      </c>
      <c r="AG24" s="83">
        <v>6000</v>
      </c>
      <c r="AH24" s="83">
        <v>6000</v>
      </c>
      <c r="AI24" s="83">
        <v>7500</v>
      </c>
      <c r="AJ24" s="83">
        <v>7500</v>
      </c>
      <c r="AK24">
        <v>7500</v>
      </c>
    </row>
    <row r="25" spans="2:37" customFormat="1" ht="13" x14ac:dyDescent="0.15">
      <c r="B25">
        <v>34</v>
      </c>
      <c r="C25">
        <v>219</v>
      </c>
      <c r="D25" s="14" t="s">
        <v>122</v>
      </c>
      <c r="E25" t="s">
        <v>175</v>
      </c>
      <c r="F25" s="10"/>
      <c r="G25" s="9"/>
      <c r="H25" s="287">
        <v>2958</v>
      </c>
      <c r="I25" s="10"/>
      <c r="J25" s="9"/>
      <c r="K25" s="10"/>
      <c r="L25" s="10"/>
      <c r="M25" s="9"/>
      <c r="N25" s="10">
        <v>1684</v>
      </c>
      <c r="O25" s="10"/>
      <c r="P25" s="9"/>
      <c r="Q25" s="10">
        <v>1634</v>
      </c>
      <c r="R25" s="157"/>
      <c r="S25" s="157"/>
      <c r="T25" s="83">
        <v>55.287115384615376</v>
      </c>
      <c r="U25" s="83">
        <v>728.43124999999998</v>
      </c>
      <c r="V25" s="83">
        <v>3163</v>
      </c>
      <c r="W25" s="83">
        <v>6064</v>
      </c>
      <c r="X25" s="83"/>
      <c r="Y25" s="83"/>
      <c r="Z25" s="83">
        <v>3700</v>
      </c>
      <c r="AA25" s="83">
        <v>3700</v>
      </c>
      <c r="AB25" s="83">
        <v>3700</v>
      </c>
      <c r="AC25" s="83">
        <v>4700</v>
      </c>
      <c r="AD25" s="83">
        <v>4700</v>
      </c>
      <c r="AE25" s="83">
        <v>4700</v>
      </c>
      <c r="AF25" s="83">
        <v>6000</v>
      </c>
      <c r="AG25" s="83">
        <v>6000</v>
      </c>
      <c r="AH25" s="83">
        <v>6000</v>
      </c>
      <c r="AI25" s="83">
        <v>7500</v>
      </c>
      <c r="AJ25" s="83">
        <v>7500</v>
      </c>
      <c r="AK25">
        <v>7500</v>
      </c>
    </row>
    <row r="26" spans="2:37" customFormat="1" ht="13" x14ac:dyDescent="0.15">
      <c r="B26">
        <v>41</v>
      </c>
      <c r="C26">
        <v>223</v>
      </c>
      <c r="D26" s="14" t="s">
        <v>125</v>
      </c>
      <c r="E26" t="s">
        <v>175</v>
      </c>
      <c r="F26" s="10"/>
      <c r="G26" s="9"/>
      <c r="H26" s="287">
        <v>3370</v>
      </c>
      <c r="I26" s="10"/>
      <c r="J26" s="9"/>
      <c r="K26" s="10"/>
      <c r="L26" s="10"/>
      <c r="M26" s="9"/>
      <c r="N26" s="10">
        <v>1685</v>
      </c>
      <c r="O26" s="10"/>
      <c r="P26" s="9"/>
      <c r="Q26" s="10">
        <v>1727</v>
      </c>
      <c r="R26" s="9"/>
      <c r="S26" s="168"/>
      <c r="T26" s="83">
        <v>55.287115384615376</v>
      </c>
      <c r="U26" s="83">
        <v>728.43124999999998</v>
      </c>
      <c r="V26" s="83">
        <v>3644</v>
      </c>
      <c r="W26" s="83">
        <v>6553</v>
      </c>
      <c r="X26" s="83"/>
      <c r="Y26" s="83"/>
      <c r="Z26" s="83">
        <v>3700</v>
      </c>
      <c r="AA26" s="83">
        <v>3700</v>
      </c>
      <c r="AB26" s="83">
        <v>3700</v>
      </c>
      <c r="AC26" s="83">
        <v>4700</v>
      </c>
      <c r="AD26" s="83">
        <v>4700</v>
      </c>
      <c r="AE26" s="83">
        <v>4700</v>
      </c>
      <c r="AF26" s="83">
        <v>6000</v>
      </c>
      <c r="AG26" s="83">
        <v>6000</v>
      </c>
      <c r="AH26" s="83">
        <v>6000</v>
      </c>
      <c r="AI26" s="83">
        <v>7500</v>
      </c>
      <c r="AJ26" s="83">
        <v>7500</v>
      </c>
      <c r="AK26">
        <v>7500</v>
      </c>
    </row>
    <row r="27" spans="2:37" customFormat="1" ht="13" x14ac:dyDescent="0.15">
      <c r="B27">
        <v>71</v>
      </c>
      <c r="C27">
        <v>230</v>
      </c>
      <c r="D27" s="14" t="s">
        <v>128</v>
      </c>
      <c r="E27" t="s">
        <v>175</v>
      </c>
      <c r="F27" s="10"/>
      <c r="G27" s="9"/>
      <c r="H27" s="287">
        <v>2979</v>
      </c>
      <c r="I27" s="10"/>
      <c r="J27" s="9"/>
      <c r="K27" s="10"/>
      <c r="L27" s="10"/>
      <c r="M27" s="9"/>
      <c r="N27" s="10">
        <v>1742</v>
      </c>
      <c r="O27" s="10"/>
      <c r="P27" s="9"/>
      <c r="Q27" s="10">
        <v>1632</v>
      </c>
      <c r="R27" s="9"/>
      <c r="S27" s="9"/>
      <c r="T27" s="83">
        <v>55.287115384615376</v>
      </c>
      <c r="U27" s="83">
        <v>728.43124999999998</v>
      </c>
      <c r="V27" s="83">
        <v>3704</v>
      </c>
      <c r="W27" s="83">
        <v>6926</v>
      </c>
      <c r="X27" s="83"/>
      <c r="Y27" s="83"/>
      <c r="Z27" s="83">
        <v>3700</v>
      </c>
      <c r="AA27" s="83">
        <v>3700</v>
      </c>
      <c r="AB27" s="83">
        <v>3700</v>
      </c>
      <c r="AC27" s="83">
        <v>4700</v>
      </c>
      <c r="AD27" s="83">
        <v>4700</v>
      </c>
      <c r="AE27" s="83">
        <v>4700</v>
      </c>
      <c r="AF27" s="83">
        <v>6000</v>
      </c>
      <c r="AG27" s="83">
        <v>6000</v>
      </c>
      <c r="AH27" s="83">
        <v>6000</v>
      </c>
      <c r="AI27" s="83">
        <v>7500</v>
      </c>
      <c r="AJ27" s="83">
        <v>7500</v>
      </c>
      <c r="AK27">
        <v>7500</v>
      </c>
    </row>
    <row r="28" spans="2:37" customFormat="1" ht="13" x14ac:dyDescent="0.15">
      <c r="B28">
        <v>10</v>
      </c>
      <c r="C28">
        <v>240</v>
      </c>
      <c r="D28" s="14" t="s">
        <v>112</v>
      </c>
      <c r="E28" t="s">
        <v>175</v>
      </c>
      <c r="F28" s="10"/>
      <c r="G28" s="9"/>
      <c r="H28" s="287">
        <v>3043</v>
      </c>
      <c r="I28" s="10"/>
      <c r="J28" s="9"/>
      <c r="K28" s="10"/>
      <c r="L28" s="252"/>
      <c r="M28" s="9"/>
      <c r="N28" s="10">
        <v>1730</v>
      </c>
      <c r="O28" s="10"/>
      <c r="P28" s="9"/>
      <c r="Q28" s="10">
        <v>1875</v>
      </c>
      <c r="R28" s="10"/>
      <c r="S28" s="180"/>
      <c r="T28" s="83">
        <v>55.287115384615376</v>
      </c>
      <c r="U28" s="83">
        <v>728.43124999999998</v>
      </c>
      <c r="V28" s="83">
        <v>3333</v>
      </c>
      <c r="W28" s="83">
        <v>5891</v>
      </c>
      <c r="X28" s="83"/>
      <c r="Y28" s="83"/>
      <c r="Z28" s="83">
        <v>3700</v>
      </c>
      <c r="AA28" s="83">
        <v>3700</v>
      </c>
      <c r="AB28" s="83">
        <v>3700</v>
      </c>
      <c r="AC28" s="83">
        <v>4700</v>
      </c>
      <c r="AD28" s="83">
        <v>4700</v>
      </c>
      <c r="AE28" s="83">
        <v>4700</v>
      </c>
      <c r="AF28" s="83">
        <v>6000</v>
      </c>
      <c r="AG28" s="83">
        <v>6000</v>
      </c>
      <c r="AH28" s="83">
        <v>6000</v>
      </c>
      <c r="AI28" s="83">
        <v>7500</v>
      </c>
      <c r="AJ28" s="83">
        <v>7500</v>
      </c>
      <c r="AK28">
        <v>7500</v>
      </c>
    </row>
    <row r="29" spans="2:37" customFormat="1" ht="13" x14ac:dyDescent="0.15">
      <c r="B29">
        <v>19</v>
      </c>
      <c r="C29">
        <v>250</v>
      </c>
      <c r="D29" s="14" t="s">
        <v>114</v>
      </c>
      <c r="E29" t="s">
        <v>175</v>
      </c>
      <c r="F29" s="10"/>
      <c r="G29" s="9"/>
      <c r="H29" s="287">
        <v>3323</v>
      </c>
      <c r="I29" s="10"/>
      <c r="J29" s="9"/>
      <c r="K29" s="10"/>
      <c r="L29" s="10"/>
      <c r="M29" s="9"/>
      <c r="N29" s="10">
        <v>1877</v>
      </c>
      <c r="O29" s="10"/>
      <c r="P29" s="9"/>
      <c r="Q29" s="10">
        <v>1823</v>
      </c>
      <c r="R29" s="10"/>
      <c r="S29" s="180"/>
      <c r="T29" s="83">
        <v>55.287115384615376</v>
      </c>
      <c r="U29" s="83">
        <v>728.43124999999998</v>
      </c>
      <c r="V29" s="83">
        <v>3068</v>
      </c>
      <c r="W29" s="83">
        <v>5362</v>
      </c>
      <c r="X29" s="83"/>
      <c r="Y29" s="83"/>
      <c r="Z29" s="83">
        <v>3700</v>
      </c>
      <c r="AA29" s="83">
        <v>3700</v>
      </c>
      <c r="AB29" s="83">
        <v>3700</v>
      </c>
      <c r="AC29" s="83">
        <v>4700</v>
      </c>
      <c r="AD29" s="83">
        <v>4700</v>
      </c>
      <c r="AE29" s="83">
        <v>4700</v>
      </c>
      <c r="AF29" s="83">
        <v>6000</v>
      </c>
      <c r="AG29" s="83">
        <v>6000</v>
      </c>
      <c r="AH29" s="83">
        <v>6000</v>
      </c>
      <c r="AI29" s="83">
        <v>7500</v>
      </c>
      <c r="AJ29" s="83">
        <v>7500</v>
      </c>
      <c r="AK29">
        <v>7500</v>
      </c>
    </row>
    <row r="30" spans="2:37" customFormat="1" ht="13" x14ac:dyDescent="0.15">
      <c r="B30">
        <v>25</v>
      </c>
      <c r="C30">
        <v>253</v>
      </c>
      <c r="D30" s="14" t="s">
        <v>133</v>
      </c>
      <c r="E30" t="s">
        <v>176</v>
      </c>
      <c r="F30" s="10"/>
      <c r="G30" s="9"/>
      <c r="H30" s="287">
        <v>2810</v>
      </c>
      <c r="I30" s="10"/>
      <c r="J30" s="9"/>
      <c r="K30" s="10"/>
      <c r="L30" s="10"/>
      <c r="M30" s="9"/>
      <c r="N30" s="10">
        <v>1623</v>
      </c>
      <c r="O30" s="10"/>
      <c r="P30" s="9"/>
      <c r="Q30" s="10">
        <v>1694</v>
      </c>
      <c r="R30" s="9"/>
      <c r="S30" s="180"/>
      <c r="T30" s="83">
        <v>55.287115384615376</v>
      </c>
      <c r="U30" s="83">
        <v>728.43124999999998</v>
      </c>
      <c r="V30" s="83">
        <v>3817</v>
      </c>
      <c r="W30" s="83">
        <v>6194</v>
      </c>
      <c r="X30" s="83"/>
      <c r="Y30" s="83"/>
      <c r="Z30" s="83">
        <v>3700</v>
      </c>
      <c r="AA30" s="83">
        <v>3700</v>
      </c>
      <c r="AB30" s="83">
        <v>3700</v>
      </c>
      <c r="AC30" s="83">
        <v>4700</v>
      </c>
      <c r="AD30" s="83">
        <v>4700</v>
      </c>
      <c r="AE30" s="83">
        <v>4700</v>
      </c>
      <c r="AF30" s="83">
        <v>6000</v>
      </c>
      <c r="AG30" s="83">
        <v>6000</v>
      </c>
      <c r="AH30" s="83">
        <v>6000</v>
      </c>
      <c r="AI30" s="83">
        <v>7500</v>
      </c>
      <c r="AJ30" s="83">
        <v>7500</v>
      </c>
      <c r="AK30">
        <v>7500</v>
      </c>
    </row>
    <row r="31" spans="2:37" customFormat="1" ht="13" x14ac:dyDescent="0.15">
      <c r="B31">
        <v>49</v>
      </c>
      <c r="C31">
        <v>259</v>
      </c>
      <c r="D31" s="14" t="s">
        <v>137</v>
      </c>
      <c r="E31" t="s">
        <v>176</v>
      </c>
      <c r="F31" s="10"/>
      <c r="G31" s="9"/>
      <c r="H31" s="287">
        <v>3080</v>
      </c>
      <c r="I31" s="10"/>
      <c r="J31" s="9"/>
      <c r="K31" s="10"/>
      <c r="L31" s="10"/>
      <c r="M31" s="9"/>
      <c r="N31" s="10">
        <v>1850</v>
      </c>
      <c r="O31" s="10"/>
      <c r="P31" s="9"/>
      <c r="Q31" s="10">
        <v>1595</v>
      </c>
      <c r="R31" s="9"/>
      <c r="S31" s="180"/>
      <c r="T31" s="83">
        <v>55.287115384615376</v>
      </c>
      <c r="U31" s="83">
        <v>728.43124999999998</v>
      </c>
      <c r="V31" s="83">
        <v>3356</v>
      </c>
      <c r="W31" s="83">
        <v>5911</v>
      </c>
      <c r="X31" s="83"/>
      <c r="Y31" s="83"/>
      <c r="Z31" s="83">
        <v>3700</v>
      </c>
      <c r="AA31" s="83">
        <v>3700</v>
      </c>
      <c r="AB31" s="83">
        <v>3700</v>
      </c>
      <c r="AC31" s="83">
        <v>4700</v>
      </c>
      <c r="AD31" s="83">
        <v>4700</v>
      </c>
      <c r="AE31" s="83">
        <v>4700</v>
      </c>
      <c r="AF31" s="83">
        <v>6000</v>
      </c>
      <c r="AG31" s="83">
        <v>6000</v>
      </c>
      <c r="AH31" s="83">
        <v>6000</v>
      </c>
      <c r="AI31" s="83">
        <v>7500</v>
      </c>
      <c r="AJ31" s="83">
        <v>7500</v>
      </c>
      <c r="AK31">
        <v>7500</v>
      </c>
    </row>
    <row r="32" spans="2:37" customFormat="1" ht="13" x14ac:dyDescent="0.15">
      <c r="B32">
        <v>29</v>
      </c>
      <c r="C32">
        <v>260</v>
      </c>
      <c r="D32" s="14" t="s">
        <v>119</v>
      </c>
      <c r="E32" t="s">
        <v>175</v>
      </c>
      <c r="F32" s="10"/>
      <c r="G32" s="9"/>
      <c r="H32" s="287">
        <v>3197</v>
      </c>
      <c r="I32" s="10"/>
      <c r="J32" s="9"/>
      <c r="K32" s="10"/>
      <c r="L32" s="10"/>
      <c r="M32" s="9"/>
      <c r="N32" s="10">
        <v>1769</v>
      </c>
      <c r="O32" s="10"/>
      <c r="P32" s="9"/>
      <c r="Q32" s="10">
        <v>1448</v>
      </c>
      <c r="R32" s="157"/>
      <c r="S32" s="181"/>
      <c r="T32" s="83">
        <v>55.287115384615376</v>
      </c>
      <c r="U32" s="83">
        <v>728.43124999999998</v>
      </c>
      <c r="V32" s="83">
        <v>3096</v>
      </c>
      <c r="W32" s="83">
        <v>5460</v>
      </c>
      <c r="X32" s="83"/>
      <c r="Y32" s="83"/>
      <c r="Z32" s="83">
        <v>3700</v>
      </c>
      <c r="AA32" s="83">
        <v>3700</v>
      </c>
      <c r="AB32" s="83">
        <v>3700</v>
      </c>
      <c r="AC32" s="83">
        <v>4700</v>
      </c>
      <c r="AD32" s="83">
        <v>4700</v>
      </c>
      <c r="AE32" s="83">
        <v>4700</v>
      </c>
      <c r="AF32" s="83">
        <v>6000</v>
      </c>
      <c r="AG32" s="83">
        <v>6000</v>
      </c>
      <c r="AH32" s="83">
        <v>6000</v>
      </c>
      <c r="AI32" s="83">
        <v>7500</v>
      </c>
      <c r="AJ32" s="83">
        <v>7500</v>
      </c>
      <c r="AK32">
        <v>7500</v>
      </c>
    </row>
    <row r="33" spans="2:37" customFormat="1" ht="13" x14ac:dyDescent="0.15">
      <c r="B33">
        <v>70</v>
      </c>
      <c r="C33">
        <v>265</v>
      </c>
      <c r="D33" s="14" t="s">
        <v>143</v>
      </c>
      <c r="E33" t="s">
        <v>176</v>
      </c>
      <c r="F33" s="10"/>
      <c r="G33" s="9"/>
      <c r="H33" s="287">
        <v>3337</v>
      </c>
      <c r="I33" s="10"/>
      <c r="J33" s="9"/>
      <c r="K33" s="10"/>
      <c r="L33" s="10"/>
      <c r="M33" s="9"/>
      <c r="N33" s="10">
        <v>1752</v>
      </c>
      <c r="O33" s="10"/>
      <c r="P33" s="9"/>
      <c r="Q33" s="10">
        <v>1786</v>
      </c>
      <c r="R33" s="157"/>
      <c r="S33" s="181"/>
      <c r="T33" s="83">
        <v>55.287115384615376</v>
      </c>
      <c r="U33" s="83">
        <v>728.43124999999998</v>
      </c>
      <c r="V33" s="83">
        <v>2244</v>
      </c>
      <c r="W33" s="83">
        <v>5634</v>
      </c>
      <c r="X33" s="83"/>
      <c r="Y33" s="83"/>
      <c r="Z33" s="83">
        <v>3700</v>
      </c>
      <c r="AA33" s="83">
        <v>3700</v>
      </c>
      <c r="AB33" s="83">
        <v>3700</v>
      </c>
      <c r="AC33" s="83">
        <v>4700</v>
      </c>
      <c r="AD33" s="83">
        <v>4700</v>
      </c>
      <c r="AE33" s="83">
        <v>4700</v>
      </c>
      <c r="AF33" s="83">
        <v>6000</v>
      </c>
      <c r="AG33" s="83">
        <v>6000</v>
      </c>
      <c r="AH33" s="83">
        <v>6000</v>
      </c>
      <c r="AI33" s="83">
        <v>7500</v>
      </c>
      <c r="AJ33" s="83">
        <v>7500</v>
      </c>
      <c r="AK33">
        <v>7500</v>
      </c>
    </row>
    <row r="34" spans="2:37" customFormat="1" ht="13" x14ac:dyDescent="0.15">
      <c r="B34">
        <v>78</v>
      </c>
      <c r="C34">
        <v>269</v>
      </c>
      <c r="D34" s="14" t="s">
        <v>145</v>
      </c>
      <c r="E34" t="s">
        <v>176</v>
      </c>
      <c r="F34" s="10"/>
      <c r="G34" s="9"/>
      <c r="H34" s="287">
        <v>3086</v>
      </c>
      <c r="I34" s="10"/>
      <c r="J34" s="9"/>
      <c r="K34" s="10"/>
      <c r="L34" s="10"/>
      <c r="M34" s="9"/>
      <c r="N34" s="10">
        <v>1603</v>
      </c>
      <c r="O34" s="10"/>
      <c r="P34" s="9"/>
      <c r="Q34" s="10">
        <v>1843</v>
      </c>
      <c r="R34" s="9"/>
      <c r="S34" s="168"/>
      <c r="T34" s="83">
        <v>55.287115384615376</v>
      </c>
      <c r="U34" s="83">
        <v>728.43124999999998</v>
      </c>
      <c r="V34" s="83">
        <v>3655</v>
      </c>
      <c r="W34" s="83">
        <v>6253</v>
      </c>
      <c r="X34" s="83"/>
      <c r="Y34" s="83"/>
      <c r="Z34" s="83">
        <v>3700</v>
      </c>
      <c r="AA34" s="83">
        <v>3700</v>
      </c>
      <c r="AB34" s="83">
        <v>3700</v>
      </c>
      <c r="AC34" s="83">
        <v>4700</v>
      </c>
      <c r="AD34" s="83">
        <v>4700</v>
      </c>
      <c r="AE34" s="83">
        <v>4700</v>
      </c>
      <c r="AF34" s="83">
        <v>6000</v>
      </c>
      <c r="AG34" s="83">
        <v>6000</v>
      </c>
      <c r="AH34" s="83">
        <v>6000</v>
      </c>
      <c r="AI34" s="83">
        <v>7500</v>
      </c>
      <c r="AJ34" s="83">
        <v>7500</v>
      </c>
      <c r="AK34">
        <v>7500</v>
      </c>
    </row>
    <row r="35" spans="2:37" customFormat="1" ht="13" x14ac:dyDescent="0.15">
      <c r="B35">
        <v>26</v>
      </c>
      <c r="C35">
        <v>270</v>
      </c>
      <c r="D35" s="14" t="s">
        <v>118</v>
      </c>
      <c r="E35" t="s">
        <v>175</v>
      </c>
      <c r="F35" s="10"/>
      <c r="G35" s="9"/>
      <c r="H35" s="287">
        <v>2865</v>
      </c>
      <c r="I35" s="10"/>
      <c r="J35" s="9"/>
      <c r="K35" s="10"/>
      <c r="L35" s="10"/>
      <c r="M35" s="9"/>
      <c r="N35" s="10">
        <v>1606</v>
      </c>
      <c r="O35" s="10"/>
      <c r="P35" s="9"/>
      <c r="Q35" s="10">
        <v>1839</v>
      </c>
      <c r="R35" s="9"/>
      <c r="S35" s="9"/>
      <c r="T35" s="83">
        <v>55.287115384615376</v>
      </c>
      <c r="U35" s="83">
        <v>728.43124999999998</v>
      </c>
      <c r="V35" s="83">
        <v>3431</v>
      </c>
      <c r="W35" s="83">
        <v>5514</v>
      </c>
      <c r="X35" s="83"/>
      <c r="Y35" s="83"/>
      <c r="Z35" s="83">
        <v>3700</v>
      </c>
      <c r="AA35" s="83">
        <v>3700</v>
      </c>
      <c r="AB35" s="83">
        <v>3700</v>
      </c>
      <c r="AC35" s="83">
        <v>4700</v>
      </c>
      <c r="AD35" s="83">
        <v>4700</v>
      </c>
      <c r="AE35" s="83">
        <v>4700</v>
      </c>
      <c r="AF35" s="83">
        <v>6000</v>
      </c>
      <c r="AG35" s="83">
        <v>6000</v>
      </c>
      <c r="AH35" s="83">
        <v>6000</v>
      </c>
      <c r="AI35" s="83">
        <v>7500</v>
      </c>
      <c r="AJ35" s="83">
        <v>7500</v>
      </c>
      <c r="AK35">
        <v>7500</v>
      </c>
    </row>
    <row r="36" spans="2:37" customFormat="1" ht="13" x14ac:dyDescent="0.15">
      <c r="B36">
        <v>65</v>
      </c>
      <c r="C36">
        <v>306</v>
      </c>
      <c r="D36" s="14" t="s">
        <v>141</v>
      </c>
      <c r="E36" t="s">
        <v>176</v>
      </c>
      <c r="F36" s="10"/>
      <c r="G36" s="9"/>
      <c r="H36" s="287">
        <v>3039</v>
      </c>
      <c r="I36" s="10"/>
      <c r="J36" s="9"/>
      <c r="K36" s="10"/>
      <c r="L36" s="10"/>
      <c r="M36" s="9"/>
      <c r="N36" s="10">
        <v>1913</v>
      </c>
      <c r="O36" s="10"/>
      <c r="P36" s="9"/>
      <c r="Q36" s="10">
        <v>1778</v>
      </c>
      <c r="R36" s="9"/>
      <c r="S36" s="168"/>
      <c r="T36" s="83">
        <v>55.287115384615376</v>
      </c>
      <c r="U36" s="83">
        <v>728.43124999999998</v>
      </c>
      <c r="V36" s="83">
        <v>2351</v>
      </c>
      <c r="W36" s="83">
        <v>4882</v>
      </c>
      <c r="X36" s="83"/>
      <c r="Y36" s="83"/>
      <c r="Z36" s="83">
        <v>3700</v>
      </c>
      <c r="AA36" s="83">
        <v>3700</v>
      </c>
      <c r="AB36" s="83">
        <v>3700</v>
      </c>
      <c r="AC36" s="83">
        <v>4700</v>
      </c>
      <c r="AD36" s="83">
        <v>4700</v>
      </c>
      <c r="AE36" s="83">
        <v>4700</v>
      </c>
      <c r="AF36" s="83">
        <v>6000</v>
      </c>
      <c r="AG36" s="83">
        <v>6000</v>
      </c>
      <c r="AH36" s="83">
        <v>6000</v>
      </c>
      <c r="AI36" s="83">
        <v>7500</v>
      </c>
      <c r="AJ36" s="83">
        <v>7500</v>
      </c>
      <c r="AK36">
        <v>7500</v>
      </c>
    </row>
    <row r="37" spans="2:37" customFormat="1" ht="13" x14ac:dyDescent="0.15">
      <c r="B37">
        <v>36</v>
      </c>
      <c r="C37">
        <v>316</v>
      </c>
      <c r="D37" s="14" t="s">
        <v>135</v>
      </c>
      <c r="E37" t="s">
        <v>176</v>
      </c>
      <c r="F37" s="10"/>
      <c r="G37" s="9"/>
      <c r="H37" s="287">
        <v>3149</v>
      </c>
      <c r="I37" s="10"/>
      <c r="J37" s="9"/>
      <c r="K37" s="10"/>
      <c r="L37" s="10"/>
      <c r="M37" s="9"/>
      <c r="N37" s="10">
        <v>1833</v>
      </c>
      <c r="O37" s="10"/>
      <c r="P37" s="9"/>
      <c r="Q37" s="10">
        <v>1768</v>
      </c>
      <c r="R37" s="9"/>
      <c r="S37" s="168"/>
      <c r="T37" s="83">
        <v>55.287115384615376</v>
      </c>
      <c r="U37" s="83">
        <v>728.43124999999998</v>
      </c>
      <c r="V37" s="83">
        <v>2546</v>
      </c>
      <c r="W37" s="83">
        <v>5112</v>
      </c>
      <c r="X37" s="83"/>
      <c r="Y37" s="83"/>
      <c r="Z37" s="83">
        <v>3700</v>
      </c>
      <c r="AA37" s="83">
        <v>3700</v>
      </c>
      <c r="AB37" s="83">
        <v>3700</v>
      </c>
      <c r="AC37" s="83">
        <v>4700</v>
      </c>
      <c r="AD37" s="83">
        <v>4700</v>
      </c>
      <c r="AE37" s="83">
        <v>4700</v>
      </c>
      <c r="AF37" s="83">
        <v>6000</v>
      </c>
      <c r="AG37" s="83">
        <v>6000</v>
      </c>
      <c r="AH37" s="83">
        <v>6000</v>
      </c>
      <c r="AI37" s="83">
        <v>7500</v>
      </c>
      <c r="AJ37" s="83">
        <v>7500</v>
      </c>
      <c r="AK37">
        <v>7500</v>
      </c>
    </row>
    <row r="38" spans="2:37" customFormat="1" ht="13" x14ac:dyDescent="0.15">
      <c r="B38">
        <v>14</v>
      </c>
      <c r="C38">
        <v>320</v>
      </c>
      <c r="D38" s="14" t="s">
        <v>132</v>
      </c>
      <c r="E38" t="s">
        <v>176</v>
      </c>
      <c r="F38" s="10"/>
      <c r="G38" s="9"/>
      <c r="H38" s="287">
        <v>3013</v>
      </c>
      <c r="I38" s="10"/>
      <c r="J38" s="9"/>
      <c r="K38" s="10"/>
      <c r="L38" s="10"/>
      <c r="M38" s="9"/>
      <c r="N38" s="10">
        <v>1655</v>
      </c>
      <c r="O38" s="10"/>
      <c r="P38" s="9"/>
      <c r="Q38" s="10">
        <v>1674</v>
      </c>
      <c r="R38" s="9"/>
      <c r="S38" s="168"/>
      <c r="T38" s="83">
        <v>55.287115384615376</v>
      </c>
      <c r="U38" s="83">
        <v>728.43124999999998</v>
      </c>
      <c r="V38" s="83">
        <v>2404</v>
      </c>
      <c r="W38" s="83">
        <v>4800</v>
      </c>
      <c r="X38" s="83"/>
      <c r="Y38" s="83"/>
      <c r="Z38" s="83">
        <v>3700</v>
      </c>
      <c r="AA38" s="83">
        <v>3700</v>
      </c>
      <c r="AB38" s="83">
        <v>3700</v>
      </c>
      <c r="AC38" s="83">
        <v>4700</v>
      </c>
      <c r="AD38" s="83">
        <v>4700</v>
      </c>
      <c r="AE38" s="83">
        <v>4700</v>
      </c>
      <c r="AF38" s="83">
        <v>6000</v>
      </c>
      <c r="AG38" s="83">
        <v>6000</v>
      </c>
      <c r="AH38" s="83">
        <v>6000</v>
      </c>
      <c r="AI38" s="83">
        <v>7500</v>
      </c>
      <c r="AJ38" s="83">
        <v>7500</v>
      </c>
      <c r="AK38">
        <v>7500</v>
      </c>
    </row>
    <row r="39" spans="2:37" customFormat="1" ht="13" x14ac:dyDescent="0.15">
      <c r="B39">
        <v>45</v>
      </c>
      <c r="C39">
        <v>326</v>
      </c>
      <c r="D39" s="14" t="s">
        <v>136</v>
      </c>
      <c r="E39" t="s">
        <v>176</v>
      </c>
      <c r="F39" s="10"/>
      <c r="G39" s="9"/>
      <c r="H39" s="287">
        <v>2452</v>
      </c>
      <c r="I39" s="10"/>
      <c r="J39" s="9"/>
      <c r="K39" s="10"/>
      <c r="L39" s="10"/>
      <c r="M39" s="9"/>
      <c r="N39" s="10">
        <v>1926</v>
      </c>
      <c r="O39" s="10"/>
      <c r="P39" s="9"/>
      <c r="Q39" s="10">
        <v>1695</v>
      </c>
      <c r="R39" s="9"/>
      <c r="S39" s="9"/>
      <c r="T39" s="83">
        <v>55.287115384615376</v>
      </c>
      <c r="U39" s="83">
        <v>728.43124999999998</v>
      </c>
      <c r="V39" s="83">
        <v>2249</v>
      </c>
      <c r="W39" s="83">
        <v>5319</v>
      </c>
      <c r="X39" s="83"/>
      <c r="Y39" s="83"/>
      <c r="Z39" s="83">
        <v>3700</v>
      </c>
      <c r="AA39" s="83">
        <v>3700</v>
      </c>
      <c r="AB39" s="83">
        <v>3700</v>
      </c>
      <c r="AC39" s="83">
        <v>4700</v>
      </c>
      <c r="AD39" s="83">
        <v>4700</v>
      </c>
      <c r="AE39" s="83">
        <v>4700</v>
      </c>
      <c r="AF39" s="83">
        <v>6000</v>
      </c>
      <c r="AG39" s="83">
        <v>6000</v>
      </c>
      <c r="AH39" s="83">
        <v>6000</v>
      </c>
      <c r="AI39" s="83">
        <v>7500</v>
      </c>
      <c r="AJ39" s="83">
        <v>7500</v>
      </c>
      <c r="AK39">
        <v>7500</v>
      </c>
    </row>
    <row r="40" spans="2:37" customFormat="1" ht="13" x14ac:dyDescent="0.15">
      <c r="B40">
        <v>69</v>
      </c>
      <c r="C40">
        <v>329</v>
      </c>
      <c r="D40" s="14" t="s">
        <v>142</v>
      </c>
      <c r="E40" t="s">
        <v>176</v>
      </c>
      <c r="F40" s="10"/>
      <c r="G40" s="9"/>
      <c r="H40" s="287">
        <v>3069</v>
      </c>
      <c r="I40" s="10"/>
      <c r="J40" s="9"/>
      <c r="K40" s="10"/>
      <c r="L40" s="10"/>
      <c r="M40" s="9"/>
      <c r="N40" s="10">
        <v>1741</v>
      </c>
      <c r="O40" s="10"/>
      <c r="P40" s="9"/>
      <c r="Q40" s="10">
        <v>1588</v>
      </c>
      <c r="R40" s="9"/>
      <c r="S40" s="168"/>
      <c r="T40" s="83">
        <v>55.287115384615376</v>
      </c>
      <c r="U40" s="83">
        <v>728.43124999999998</v>
      </c>
      <c r="V40" s="83">
        <v>2324</v>
      </c>
      <c r="W40" s="83">
        <v>5214</v>
      </c>
      <c r="X40" s="83"/>
      <c r="Y40" s="83"/>
      <c r="Z40" s="83">
        <v>3700</v>
      </c>
      <c r="AA40" s="83">
        <v>3700</v>
      </c>
      <c r="AB40" s="83">
        <v>3700</v>
      </c>
      <c r="AC40" s="83">
        <v>4700</v>
      </c>
      <c r="AD40" s="83">
        <v>4700</v>
      </c>
      <c r="AE40" s="83">
        <v>4700</v>
      </c>
      <c r="AF40" s="83">
        <v>6000</v>
      </c>
      <c r="AG40" s="83">
        <v>6000</v>
      </c>
      <c r="AH40" s="83">
        <v>6000</v>
      </c>
      <c r="AI40" s="83">
        <v>7500</v>
      </c>
      <c r="AJ40" s="83">
        <v>7500</v>
      </c>
      <c r="AK40">
        <v>7500</v>
      </c>
    </row>
    <row r="41" spans="2:37" customFormat="1" ht="13" x14ac:dyDescent="0.15">
      <c r="B41">
        <v>21</v>
      </c>
      <c r="C41">
        <v>330</v>
      </c>
      <c r="D41" s="14" t="s">
        <v>154</v>
      </c>
      <c r="E41" t="s">
        <v>177</v>
      </c>
      <c r="F41" s="10"/>
      <c r="G41" s="9"/>
      <c r="H41" s="287">
        <v>3132</v>
      </c>
      <c r="I41" s="10"/>
      <c r="J41" s="9"/>
      <c r="K41" s="10"/>
      <c r="L41" s="10"/>
      <c r="M41" s="9"/>
      <c r="N41" s="10">
        <v>1791</v>
      </c>
      <c r="O41" s="10"/>
      <c r="P41" s="9"/>
      <c r="Q41" s="10">
        <v>1686</v>
      </c>
      <c r="R41" s="157"/>
      <c r="S41" s="181"/>
      <c r="T41" s="83">
        <v>55.287115384615376</v>
      </c>
      <c r="U41" s="83">
        <v>728.43124999999998</v>
      </c>
      <c r="V41" s="83">
        <v>2327</v>
      </c>
      <c r="W41" s="83">
        <v>5223</v>
      </c>
      <c r="X41" s="83"/>
      <c r="Y41" s="83"/>
      <c r="Z41" s="83">
        <v>3700</v>
      </c>
      <c r="AA41" s="83">
        <v>3700</v>
      </c>
      <c r="AB41" s="83">
        <v>3700</v>
      </c>
      <c r="AC41" s="83">
        <v>4700</v>
      </c>
      <c r="AD41" s="83">
        <v>4700</v>
      </c>
      <c r="AE41" s="83">
        <v>4700</v>
      </c>
      <c r="AF41" s="83">
        <v>6000</v>
      </c>
      <c r="AG41" s="83">
        <v>6000</v>
      </c>
      <c r="AH41" s="83">
        <v>6000</v>
      </c>
      <c r="AI41" s="83">
        <v>7500</v>
      </c>
      <c r="AJ41" s="83">
        <v>7500</v>
      </c>
      <c r="AK41">
        <v>7500</v>
      </c>
    </row>
    <row r="42" spans="2:37" customFormat="1" ht="13" x14ac:dyDescent="0.15">
      <c r="B42">
        <v>77</v>
      </c>
      <c r="C42">
        <v>330</v>
      </c>
      <c r="D42" s="14" t="s">
        <v>144</v>
      </c>
      <c r="E42" t="s">
        <v>176</v>
      </c>
      <c r="F42" s="10"/>
      <c r="G42" s="9"/>
      <c r="H42" s="287">
        <v>2951</v>
      </c>
      <c r="I42" s="10"/>
      <c r="J42" s="9"/>
      <c r="K42" s="10"/>
      <c r="L42" s="10"/>
      <c r="M42" s="9"/>
      <c r="N42" s="10">
        <v>1405</v>
      </c>
      <c r="O42" s="10"/>
      <c r="P42" s="9"/>
      <c r="Q42" s="10">
        <v>1438</v>
      </c>
      <c r="R42" s="9"/>
      <c r="S42" s="168"/>
      <c r="T42" s="83">
        <v>55.287115384615376</v>
      </c>
      <c r="U42" s="83">
        <v>728.43124999999998</v>
      </c>
      <c r="V42" s="83">
        <v>2816</v>
      </c>
      <c r="W42" s="83">
        <v>5821</v>
      </c>
      <c r="X42" s="83"/>
      <c r="Y42" s="83"/>
      <c r="Z42" s="83">
        <v>3700</v>
      </c>
      <c r="AA42" s="83">
        <v>3700</v>
      </c>
      <c r="AB42" s="83">
        <v>3700</v>
      </c>
      <c r="AC42" s="83">
        <v>4700</v>
      </c>
      <c r="AD42" s="83">
        <v>4700</v>
      </c>
      <c r="AE42" s="83">
        <v>4700</v>
      </c>
      <c r="AF42" s="83">
        <v>6000</v>
      </c>
      <c r="AG42" s="83">
        <v>6000</v>
      </c>
      <c r="AH42" s="83">
        <v>6000</v>
      </c>
      <c r="AI42" s="83">
        <v>7500</v>
      </c>
      <c r="AJ42" s="83">
        <v>7500</v>
      </c>
      <c r="AK42">
        <v>7500</v>
      </c>
    </row>
    <row r="43" spans="2:37" customFormat="1" ht="13" x14ac:dyDescent="0.15">
      <c r="B43">
        <v>80</v>
      </c>
      <c r="C43">
        <v>336</v>
      </c>
      <c r="D43" s="14" t="s">
        <v>147</v>
      </c>
      <c r="E43" t="s">
        <v>176</v>
      </c>
      <c r="F43" s="10"/>
      <c r="G43" s="9"/>
      <c r="H43" s="288">
        <v>3176</v>
      </c>
      <c r="I43" s="10"/>
      <c r="J43" s="9"/>
      <c r="K43" s="10"/>
      <c r="L43" s="10"/>
      <c r="M43" s="9"/>
      <c r="N43" s="10">
        <v>1831</v>
      </c>
      <c r="O43" s="10"/>
      <c r="P43" s="9"/>
      <c r="Q43" s="10">
        <v>1765</v>
      </c>
      <c r="R43" s="9"/>
      <c r="S43" s="168"/>
      <c r="T43" s="83">
        <v>55.287115384615376</v>
      </c>
      <c r="U43" s="83">
        <v>728.43124999999998</v>
      </c>
      <c r="V43" s="83">
        <v>3356</v>
      </c>
      <c r="W43" s="83">
        <v>5911</v>
      </c>
      <c r="X43" s="83"/>
      <c r="Y43" s="83"/>
      <c r="Z43" s="83">
        <v>3700</v>
      </c>
      <c r="AA43" s="83">
        <v>3700</v>
      </c>
      <c r="AB43" s="83">
        <v>3700</v>
      </c>
      <c r="AC43" s="83">
        <v>4700</v>
      </c>
      <c r="AD43" s="83">
        <v>4700</v>
      </c>
      <c r="AE43" s="83">
        <v>4700</v>
      </c>
      <c r="AF43" s="83">
        <v>6000</v>
      </c>
      <c r="AG43" s="83">
        <v>6000</v>
      </c>
      <c r="AH43" s="83">
        <v>6000</v>
      </c>
      <c r="AI43" s="83">
        <v>7500</v>
      </c>
      <c r="AJ43" s="83">
        <v>7500</v>
      </c>
      <c r="AK43">
        <v>7500</v>
      </c>
    </row>
    <row r="44" spans="2:37" customFormat="1" ht="13" x14ac:dyDescent="0.15">
      <c r="B44">
        <v>79</v>
      </c>
      <c r="C44">
        <v>340</v>
      </c>
      <c r="D44" s="14" t="s">
        <v>146</v>
      </c>
      <c r="E44" t="s">
        <v>176</v>
      </c>
      <c r="F44" s="10"/>
      <c r="G44" s="9"/>
      <c r="H44" s="287">
        <v>2776</v>
      </c>
      <c r="I44" s="10"/>
      <c r="J44" s="9"/>
      <c r="K44" s="10"/>
      <c r="L44" s="10"/>
      <c r="M44" s="9"/>
      <c r="N44" s="10">
        <v>1616</v>
      </c>
      <c r="O44" s="10"/>
      <c r="P44" s="9"/>
      <c r="Q44" s="10">
        <v>1380</v>
      </c>
      <c r="R44" s="9"/>
      <c r="S44" s="168"/>
      <c r="T44" s="83">
        <v>55.287115384615376</v>
      </c>
      <c r="U44" s="83">
        <v>728.43124999999998</v>
      </c>
      <c r="V44" s="83">
        <v>2367</v>
      </c>
      <c r="W44" s="83">
        <v>5007</v>
      </c>
      <c r="X44" s="83"/>
      <c r="Y44" s="83"/>
      <c r="Z44" s="83">
        <v>3700</v>
      </c>
      <c r="AA44" s="83">
        <v>3700</v>
      </c>
      <c r="AB44" s="83">
        <v>3700</v>
      </c>
      <c r="AC44" s="83">
        <v>4700</v>
      </c>
      <c r="AD44" s="83">
        <v>4700</v>
      </c>
      <c r="AE44" s="83">
        <v>4700</v>
      </c>
      <c r="AF44" s="83">
        <v>6000</v>
      </c>
      <c r="AG44" s="83">
        <v>6000</v>
      </c>
      <c r="AH44" s="83">
        <v>6000</v>
      </c>
      <c r="AI44" s="83">
        <v>7500</v>
      </c>
      <c r="AJ44" s="83">
        <v>7500</v>
      </c>
      <c r="AK44">
        <v>7500</v>
      </c>
    </row>
    <row r="45" spans="2:37" customFormat="1" ht="13" x14ac:dyDescent="0.15">
      <c r="B45">
        <v>51</v>
      </c>
      <c r="C45">
        <v>350</v>
      </c>
      <c r="D45" s="14" t="s">
        <v>138</v>
      </c>
      <c r="E45" t="s">
        <v>176</v>
      </c>
      <c r="F45" s="10"/>
      <c r="G45" s="9"/>
      <c r="H45" s="287">
        <v>3240</v>
      </c>
      <c r="I45" s="10"/>
      <c r="J45" s="9"/>
      <c r="K45" s="10"/>
      <c r="L45" s="10"/>
      <c r="M45" s="9"/>
      <c r="N45" s="10">
        <v>1605</v>
      </c>
      <c r="O45" s="10"/>
      <c r="P45" s="9"/>
      <c r="Q45" s="10">
        <v>1519</v>
      </c>
      <c r="R45" s="9"/>
      <c r="S45" s="168"/>
      <c r="T45" s="83">
        <v>55.287115384615376</v>
      </c>
      <c r="U45" s="83">
        <v>728.43124999999998</v>
      </c>
      <c r="V45" s="83">
        <v>2461</v>
      </c>
      <c r="W45" s="83">
        <v>5269</v>
      </c>
      <c r="X45" s="83"/>
      <c r="Y45" s="83"/>
      <c r="Z45" s="83">
        <v>3700</v>
      </c>
      <c r="AA45" s="83">
        <v>3700</v>
      </c>
      <c r="AB45" s="83">
        <v>3700</v>
      </c>
      <c r="AC45" s="83">
        <v>4700</v>
      </c>
      <c r="AD45" s="83">
        <v>4700</v>
      </c>
      <c r="AE45" s="83">
        <v>4700</v>
      </c>
      <c r="AF45" s="83">
        <v>6000</v>
      </c>
      <c r="AG45" s="83">
        <v>6000</v>
      </c>
      <c r="AH45" s="83">
        <v>6000</v>
      </c>
      <c r="AI45" s="83">
        <v>7500</v>
      </c>
      <c r="AJ45" s="83">
        <v>7500</v>
      </c>
      <c r="AK45">
        <v>7500</v>
      </c>
    </row>
    <row r="46" spans="2:37" customFormat="1" ht="13" x14ac:dyDescent="0.15">
      <c r="B46">
        <v>53</v>
      </c>
      <c r="C46">
        <v>360</v>
      </c>
      <c r="D46" s="14" t="s">
        <v>139</v>
      </c>
      <c r="E46" t="s">
        <v>176</v>
      </c>
      <c r="F46" s="10"/>
      <c r="G46" s="9"/>
      <c r="H46" s="287">
        <v>2929</v>
      </c>
      <c r="I46" s="10"/>
      <c r="J46" s="9"/>
      <c r="K46" s="10"/>
      <c r="L46" s="10"/>
      <c r="M46" s="9"/>
      <c r="N46" s="10">
        <v>1869</v>
      </c>
      <c r="O46" s="10"/>
      <c r="P46" s="9"/>
      <c r="Q46" s="10">
        <v>1541</v>
      </c>
      <c r="R46" s="9"/>
      <c r="S46" s="168"/>
      <c r="T46" s="83">
        <v>55.287115384615376</v>
      </c>
      <c r="U46" s="83">
        <v>728.43124999999998</v>
      </c>
      <c r="V46" s="83">
        <v>2300</v>
      </c>
      <c r="W46" s="83">
        <v>5564</v>
      </c>
      <c r="X46" s="83"/>
      <c r="Y46" s="83"/>
      <c r="Z46" s="83">
        <v>3700</v>
      </c>
      <c r="AA46" s="83">
        <v>3700</v>
      </c>
      <c r="AB46" s="83">
        <v>3700</v>
      </c>
      <c r="AC46" s="83">
        <v>4700</v>
      </c>
      <c r="AD46" s="83">
        <v>4700</v>
      </c>
      <c r="AE46" s="83">
        <v>4700</v>
      </c>
      <c r="AF46" s="83">
        <v>6000</v>
      </c>
      <c r="AG46" s="83">
        <v>6000</v>
      </c>
      <c r="AH46" s="83">
        <v>6000</v>
      </c>
      <c r="AI46" s="83">
        <v>7500</v>
      </c>
      <c r="AJ46" s="83">
        <v>7500</v>
      </c>
      <c r="AK46">
        <v>7500</v>
      </c>
    </row>
    <row r="47" spans="2:37" customFormat="1" ht="13" x14ac:dyDescent="0.15">
      <c r="B47">
        <v>62</v>
      </c>
      <c r="C47">
        <v>370</v>
      </c>
      <c r="D47" s="14" t="s">
        <v>140</v>
      </c>
      <c r="E47" t="s">
        <v>176</v>
      </c>
      <c r="F47" s="10"/>
      <c r="G47" s="9"/>
      <c r="H47" s="287">
        <v>3028</v>
      </c>
      <c r="I47" s="10"/>
      <c r="J47" s="9"/>
      <c r="K47" s="10"/>
      <c r="L47" s="10"/>
      <c r="M47" s="9"/>
      <c r="N47" s="10">
        <v>1826</v>
      </c>
      <c r="O47" s="10"/>
      <c r="P47" s="9"/>
      <c r="Q47" s="10">
        <v>1766</v>
      </c>
      <c r="R47" s="9"/>
      <c r="S47" s="168"/>
      <c r="T47" s="83">
        <v>55.287115384615376</v>
      </c>
      <c r="U47" s="83">
        <v>728.43124999999998</v>
      </c>
      <c r="V47" s="83">
        <v>2527</v>
      </c>
      <c r="W47" s="83">
        <v>4820</v>
      </c>
      <c r="X47" s="83"/>
      <c r="Y47" s="83"/>
      <c r="Z47" s="83">
        <v>3700</v>
      </c>
      <c r="AA47" s="83">
        <v>3700</v>
      </c>
      <c r="AB47" s="83">
        <v>3700</v>
      </c>
      <c r="AC47" s="83">
        <v>4700</v>
      </c>
      <c r="AD47" s="83">
        <v>4700</v>
      </c>
      <c r="AE47" s="83">
        <v>4700</v>
      </c>
      <c r="AF47" s="83">
        <v>6000</v>
      </c>
      <c r="AG47" s="83">
        <v>6000</v>
      </c>
      <c r="AH47" s="83">
        <v>6000</v>
      </c>
      <c r="AI47" s="83">
        <v>7500</v>
      </c>
      <c r="AJ47" s="83">
        <v>7500</v>
      </c>
      <c r="AK47">
        <v>7500</v>
      </c>
    </row>
    <row r="48" spans="2:37" customFormat="1" ht="13" x14ac:dyDescent="0.15">
      <c r="B48">
        <v>27</v>
      </c>
      <c r="C48">
        <v>376</v>
      </c>
      <c r="D48" s="14" t="s">
        <v>134</v>
      </c>
      <c r="E48" t="s">
        <v>176</v>
      </c>
      <c r="F48" s="10"/>
      <c r="G48" s="9"/>
      <c r="H48" s="287">
        <v>3245</v>
      </c>
      <c r="I48" s="10"/>
      <c r="J48" s="9"/>
      <c r="K48" s="10"/>
      <c r="L48" s="10"/>
      <c r="M48" s="9"/>
      <c r="N48" s="10">
        <v>1662</v>
      </c>
      <c r="O48" s="10"/>
      <c r="P48" s="9"/>
      <c r="Q48" s="10">
        <v>1546</v>
      </c>
      <c r="R48" s="157"/>
      <c r="S48" s="157"/>
      <c r="T48" s="83">
        <v>55.287115384615376</v>
      </c>
      <c r="U48" s="83">
        <v>728.43124999999998</v>
      </c>
      <c r="V48" s="83">
        <v>2740</v>
      </c>
      <c r="W48" s="83">
        <v>5191</v>
      </c>
      <c r="X48" s="83"/>
      <c r="Y48" s="83"/>
      <c r="Z48" s="83">
        <v>3700</v>
      </c>
      <c r="AA48" s="83">
        <v>3700</v>
      </c>
      <c r="AB48" s="83">
        <v>3700</v>
      </c>
      <c r="AC48" s="83">
        <v>4700</v>
      </c>
      <c r="AD48" s="83">
        <v>4700</v>
      </c>
      <c r="AE48" s="83">
        <v>4700</v>
      </c>
      <c r="AF48" s="83">
        <v>6000</v>
      </c>
      <c r="AG48" s="83">
        <v>6000</v>
      </c>
      <c r="AH48" s="83">
        <v>6000</v>
      </c>
      <c r="AI48" s="83">
        <v>7500</v>
      </c>
      <c r="AJ48" s="83">
        <v>7500</v>
      </c>
      <c r="AK48">
        <v>7500</v>
      </c>
    </row>
    <row r="49" spans="2:37" customFormat="1" ht="13" x14ac:dyDescent="0.15">
      <c r="B49">
        <v>94</v>
      </c>
      <c r="C49">
        <v>390</v>
      </c>
      <c r="D49" s="14" t="s">
        <v>148</v>
      </c>
      <c r="E49" t="s">
        <v>176</v>
      </c>
      <c r="F49" s="10"/>
      <c r="G49" s="9"/>
      <c r="H49" s="287">
        <v>2805</v>
      </c>
      <c r="I49" s="10"/>
      <c r="J49" s="9"/>
      <c r="K49" s="10"/>
      <c r="L49" s="10"/>
      <c r="M49" s="9"/>
      <c r="N49" s="10">
        <v>1626</v>
      </c>
      <c r="O49" s="10"/>
      <c r="P49" s="9"/>
      <c r="Q49" s="10">
        <v>917</v>
      </c>
      <c r="R49" s="9"/>
      <c r="S49" s="168"/>
      <c r="T49" s="83">
        <v>55.287115384615376</v>
      </c>
      <c r="U49" s="83">
        <v>728.43124999999998</v>
      </c>
      <c r="V49" s="83">
        <v>2740</v>
      </c>
      <c r="W49" s="83">
        <v>5191</v>
      </c>
      <c r="X49" s="83"/>
      <c r="Y49" s="83"/>
      <c r="Z49" s="83">
        <v>3700</v>
      </c>
      <c r="AA49" s="83">
        <v>3700</v>
      </c>
      <c r="AB49" s="83">
        <v>3700</v>
      </c>
      <c r="AC49" s="83">
        <v>4700</v>
      </c>
      <c r="AD49" s="83">
        <v>4700</v>
      </c>
      <c r="AE49" s="83">
        <v>4700</v>
      </c>
      <c r="AF49" s="83">
        <v>6000</v>
      </c>
      <c r="AG49" s="83">
        <v>6000</v>
      </c>
      <c r="AH49" s="83">
        <v>6000</v>
      </c>
      <c r="AI49" s="83">
        <v>7500</v>
      </c>
      <c r="AJ49" s="83">
        <v>7500</v>
      </c>
      <c r="AK49">
        <v>7500</v>
      </c>
    </row>
    <row r="50" spans="2:37" customFormat="1" ht="13" x14ac:dyDescent="0.15">
      <c r="B50">
        <v>6</v>
      </c>
      <c r="C50">
        <v>400</v>
      </c>
      <c r="D50" s="14" t="s">
        <v>109</v>
      </c>
      <c r="E50" t="s">
        <v>175</v>
      </c>
      <c r="F50" s="10"/>
      <c r="G50" s="9"/>
      <c r="H50" s="287">
        <v>2656</v>
      </c>
      <c r="I50" s="10"/>
      <c r="J50" s="9"/>
      <c r="K50" s="10"/>
      <c r="L50" s="10"/>
      <c r="M50" s="9"/>
      <c r="N50" s="10">
        <v>1675</v>
      </c>
      <c r="O50" s="10"/>
      <c r="P50" s="9"/>
      <c r="Q50" s="10">
        <v>1404</v>
      </c>
      <c r="R50" s="9"/>
      <c r="S50" s="9"/>
      <c r="T50" s="83">
        <v>55.287115384615376</v>
      </c>
      <c r="U50" s="83">
        <v>728.43124999999998</v>
      </c>
      <c r="V50" s="83">
        <v>2247</v>
      </c>
      <c r="W50" s="83">
        <v>5283</v>
      </c>
      <c r="X50" s="83"/>
      <c r="Y50" s="83"/>
      <c r="Z50" s="83">
        <v>3700</v>
      </c>
      <c r="AA50" s="83">
        <v>3700</v>
      </c>
      <c r="AB50" s="83">
        <v>3700</v>
      </c>
      <c r="AC50" s="83">
        <v>4700</v>
      </c>
      <c r="AD50" s="83">
        <v>4700</v>
      </c>
      <c r="AE50" s="83">
        <v>4700</v>
      </c>
      <c r="AF50" s="83">
        <v>6000</v>
      </c>
      <c r="AG50" s="83">
        <v>6000</v>
      </c>
      <c r="AH50" s="83">
        <v>6000</v>
      </c>
      <c r="AI50" s="83">
        <v>7500</v>
      </c>
      <c r="AJ50" s="83">
        <v>7500</v>
      </c>
      <c r="AK50">
        <v>7500</v>
      </c>
    </row>
    <row r="51" spans="2:37" customFormat="1" ht="13" x14ac:dyDescent="0.15">
      <c r="B51">
        <v>57</v>
      </c>
      <c r="C51">
        <v>410</v>
      </c>
      <c r="D51" s="14" t="s">
        <v>159</v>
      </c>
      <c r="E51" t="s">
        <v>177</v>
      </c>
      <c r="F51" s="10"/>
      <c r="G51" s="9"/>
      <c r="H51" s="287">
        <v>3084</v>
      </c>
      <c r="I51" s="10"/>
      <c r="J51" s="9"/>
      <c r="K51" s="10"/>
      <c r="L51" s="10"/>
      <c r="M51" s="9"/>
      <c r="N51" s="10">
        <v>1756</v>
      </c>
      <c r="O51" s="10"/>
      <c r="P51" s="9"/>
      <c r="Q51" s="10">
        <v>1645</v>
      </c>
      <c r="R51" s="3"/>
      <c r="S51" s="168"/>
      <c r="T51" s="83">
        <v>55.287115384615376</v>
      </c>
      <c r="U51" s="83">
        <v>728.43124999999998</v>
      </c>
      <c r="V51" s="83">
        <v>2700</v>
      </c>
      <c r="W51" s="83">
        <v>5520</v>
      </c>
      <c r="X51" s="83"/>
      <c r="Y51" s="83"/>
      <c r="Z51" s="83">
        <v>3700</v>
      </c>
      <c r="AA51" s="83">
        <v>3700</v>
      </c>
      <c r="AB51" s="83">
        <v>3700</v>
      </c>
      <c r="AC51" s="83">
        <v>4700</v>
      </c>
      <c r="AD51" s="83">
        <v>4700</v>
      </c>
      <c r="AE51" s="83">
        <v>4700</v>
      </c>
      <c r="AF51" s="83">
        <v>6000</v>
      </c>
      <c r="AG51" s="83">
        <v>6000</v>
      </c>
      <c r="AH51" s="83">
        <v>6000</v>
      </c>
      <c r="AI51" s="83">
        <v>7500</v>
      </c>
      <c r="AJ51" s="83">
        <v>7500</v>
      </c>
      <c r="AK51">
        <v>7500</v>
      </c>
    </row>
    <row r="52" spans="2:37" customFormat="1" ht="13" x14ac:dyDescent="0.15">
      <c r="B52">
        <v>3</v>
      </c>
      <c r="C52">
        <v>420</v>
      </c>
      <c r="D52" s="14" t="s">
        <v>149</v>
      </c>
      <c r="E52" t="s">
        <v>177</v>
      </c>
      <c r="F52" s="10"/>
      <c r="G52" s="9"/>
      <c r="H52" s="287">
        <v>3321</v>
      </c>
      <c r="I52" s="10"/>
      <c r="J52" s="9"/>
      <c r="K52" s="10"/>
      <c r="L52" s="10"/>
      <c r="M52" s="9"/>
      <c r="N52" s="10">
        <v>1679</v>
      </c>
      <c r="O52" s="10"/>
      <c r="P52" s="9"/>
      <c r="Q52" s="10">
        <v>1607</v>
      </c>
      <c r="R52" s="9"/>
      <c r="S52" s="180"/>
      <c r="T52" s="83">
        <v>55.287115384615376</v>
      </c>
      <c r="U52" s="83">
        <v>728.43124999999998</v>
      </c>
      <c r="V52" s="83">
        <v>2132</v>
      </c>
      <c r="W52" s="83">
        <v>4941</v>
      </c>
      <c r="X52" s="83"/>
      <c r="Y52" s="83"/>
      <c r="Z52" s="83">
        <v>3700</v>
      </c>
      <c r="AA52" s="83">
        <v>3700</v>
      </c>
      <c r="AB52" s="83">
        <v>3700</v>
      </c>
      <c r="AC52" s="83">
        <v>4700</v>
      </c>
      <c r="AD52" s="83">
        <v>4700</v>
      </c>
      <c r="AE52" s="83">
        <v>4700</v>
      </c>
      <c r="AF52" s="83">
        <v>6000</v>
      </c>
      <c r="AG52" s="83">
        <v>6000</v>
      </c>
      <c r="AH52" s="83">
        <v>6000</v>
      </c>
      <c r="AI52" s="83">
        <v>7500</v>
      </c>
      <c r="AJ52" s="83">
        <v>7500</v>
      </c>
      <c r="AK52">
        <v>7500</v>
      </c>
    </row>
    <row r="53" spans="2:37" customFormat="1" ht="13" x14ac:dyDescent="0.15">
      <c r="B53">
        <v>46</v>
      </c>
      <c r="C53">
        <v>440</v>
      </c>
      <c r="D53" s="14" t="s">
        <v>156</v>
      </c>
      <c r="E53" t="s">
        <v>177</v>
      </c>
      <c r="F53" s="10"/>
      <c r="G53" s="9"/>
      <c r="H53" s="287">
        <v>2744</v>
      </c>
      <c r="I53" s="10"/>
      <c r="J53" s="9"/>
      <c r="K53" s="10"/>
      <c r="L53" s="10"/>
      <c r="M53" s="9"/>
      <c r="N53" s="10">
        <v>1634</v>
      </c>
      <c r="O53" s="10"/>
      <c r="P53" s="9"/>
      <c r="Q53" s="10">
        <v>1759</v>
      </c>
      <c r="R53" s="9"/>
      <c r="S53" s="168"/>
      <c r="T53" s="83">
        <v>55.287115384615376</v>
      </c>
      <c r="U53" s="83">
        <v>728.43124999999998</v>
      </c>
      <c r="V53" s="83">
        <v>2898</v>
      </c>
      <c r="W53" s="83">
        <v>5238</v>
      </c>
      <c r="X53" s="83"/>
      <c r="Y53" s="83"/>
      <c r="Z53" s="83">
        <v>3700</v>
      </c>
      <c r="AA53" s="83">
        <v>3700</v>
      </c>
      <c r="AB53" s="83">
        <v>3700</v>
      </c>
      <c r="AC53" s="83">
        <v>4700</v>
      </c>
      <c r="AD53" s="83">
        <v>4700</v>
      </c>
      <c r="AE53" s="83">
        <v>4700</v>
      </c>
      <c r="AF53" s="83">
        <v>6000</v>
      </c>
      <c r="AG53" s="83">
        <v>6000</v>
      </c>
      <c r="AH53" s="83">
        <v>6000</v>
      </c>
      <c r="AI53" s="83">
        <v>7500</v>
      </c>
      <c r="AJ53" s="83">
        <v>7500</v>
      </c>
      <c r="AK53">
        <v>7500</v>
      </c>
    </row>
    <row r="54" spans="2:37" customFormat="1" ht="13" x14ac:dyDescent="0.15">
      <c r="B54">
        <v>61</v>
      </c>
      <c r="C54">
        <v>450</v>
      </c>
      <c r="D54" s="14" t="s">
        <v>160</v>
      </c>
      <c r="E54" t="s">
        <v>177</v>
      </c>
      <c r="F54" s="10"/>
      <c r="G54" s="9"/>
      <c r="H54" s="287">
        <v>3121</v>
      </c>
      <c r="I54" s="10"/>
      <c r="J54" s="9"/>
      <c r="K54" s="10"/>
      <c r="L54" s="10"/>
      <c r="M54" s="9"/>
      <c r="N54" s="10">
        <v>1701</v>
      </c>
      <c r="O54" s="10"/>
      <c r="P54" s="9"/>
      <c r="Q54" s="10">
        <v>1170</v>
      </c>
      <c r="R54" s="179"/>
      <c r="S54" s="180"/>
      <c r="T54" s="83">
        <v>55.287115384615376</v>
      </c>
      <c r="U54" s="83">
        <v>728.43124999999998</v>
      </c>
      <c r="V54" s="83">
        <v>2499</v>
      </c>
      <c r="W54" s="83">
        <v>4957</v>
      </c>
      <c r="X54" s="83"/>
      <c r="Y54" s="83"/>
      <c r="Z54" s="83">
        <v>3700</v>
      </c>
      <c r="AA54" s="83">
        <v>3700</v>
      </c>
      <c r="AB54" s="83">
        <v>3700</v>
      </c>
      <c r="AC54" s="83">
        <v>4700</v>
      </c>
      <c r="AD54" s="83">
        <v>4700</v>
      </c>
      <c r="AE54" s="83">
        <v>4700</v>
      </c>
      <c r="AF54" s="83">
        <v>6000</v>
      </c>
      <c r="AG54" s="83">
        <v>6000</v>
      </c>
      <c r="AH54" s="83">
        <v>6000</v>
      </c>
      <c r="AI54" s="83">
        <v>7500</v>
      </c>
      <c r="AJ54" s="83">
        <v>7500</v>
      </c>
      <c r="AK54">
        <v>7500</v>
      </c>
    </row>
    <row r="55" spans="2:37" customFormat="1" ht="13" x14ac:dyDescent="0.15">
      <c r="B55">
        <v>64</v>
      </c>
      <c r="C55">
        <v>461</v>
      </c>
      <c r="D55" s="14" t="s">
        <v>161</v>
      </c>
      <c r="E55" t="s">
        <v>177</v>
      </c>
      <c r="F55" s="10"/>
      <c r="G55" s="9"/>
      <c r="H55" s="287">
        <v>2951</v>
      </c>
      <c r="I55" s="10"/>
      <c r="J55" s="9"/>
      <c r="K55" s="10"/>
      <c r="L55" s="10"/>
      <c r="M55" s="9"/>
      <c r="N55" s="10">
        <v>1693</v>
      </c>
      <c r="O55" s="10"/>
      <c r="P55" s="9"/>
      <c r="Q55" s="10">
        <v>2030</v>
      </c>
      <c r="R55" s="9"/>
      <c r="S55" s="168"/>
      <c r="T55" s="83">
        <v>55.287115384615376</v>
      </c>
      <c r="U55" s="83">
        <v>728.43124999999998</v>
      </c>
      <c r="V55" s="83">
        <v>3025</v>
      </c>
      <c r="W55" s="83">
        <v>5442</v>
      </c>
      <c r="X55" s="83"/>
      <c r="Y55" s="83"/>
      <c r="Z55" s="83">
        <v>3700</v>
      </c>
      <c r="AA55" s="83">
        <v>3700</v>
      </c>
      <c r="AB55" s="83">
        <v>3700</v>
      </c>
      <c r="AC55" s="83">
        <v>4700</v>
      </c>
      <c r="AD55" s="83">
        <v>4700</v>
      </c>
      <c r="AE55" s="83">
        <v>4700</v>
      </c>
      <c r="AF55" s="83">
        <v>6000</v>
      </c>
      <c r="AG55" s="83">
        <v>6000</v>
      </c>
      <c r="AH55" s="83">
        <v>6000</v>
      </c>
      <c r="AI55" s="83">
        <v>7500</v>
      </c>
      <c r="AJ55" s="83">
        <v>7500</v>
      </c>
      <c r="AK55">
        <v>7500</v>
      </c>
    </row>
    <row r="56" spans="2:37" customFormat="1" ht="13" x14ac:dyDescent="0.15">
      <c r="B56">
        <v>82</v>
      </c>
      <c r="C56">
        <v>479</v>
      </c>
      <c r="D56" s="14" t="s">
        <v>162</v>
      </c>
      <c r="E56" t="s">
        <v>177</v>
      </c>
      <c r="F56" s="10"/>
      <c r="G56" s="9"/>
      <c r="H56" s="287">
        <v>3149</v>
      </c>
      <c r="I56" s="10"/>
      <c r="J56" s="9"/>
      <c r="K56" s="10"/>
      <c r="L56" s="10"/>
      <c r="M56" s="9"/>
      <c r="N56" s="10">
        <v>1741</v>
      </c>
      <c r="O56" s="10"/>
      <c r="P56" s="9"/>
      <c r="Q56" s="10">
        <v>1565</v>
      </c>
      <c r="R56" s="9"/>
      <c r="S56" s="168"/>
      <c r="T56" s="83">
        <v>55.287115384615376</v>
      </c>
      <c r="U56" s="83">
        <v>728.43124999999998</v>
      </c>
      <c r="V56" s="83">
        <v>2568</v>
      </c>
      <c r="W56" s="83">
        <v>5338</v>
      </c>
      <c r="X56" s="83"/>
      <c r="Y56" s="83"/>
      <c r="Z56" s="83">
        <v>3700</v>
      </c>
      <c r="AA56" s="83">
        <v>3700</v>
      </c>
      <c r="AB56" s="83">
        <v>3700</v>
      </c>
      <c r="AC56" s="83">
        <v>4700</v>
      </c>
      <c r="AD56" s="83">
        <v>4700</v>
      </c>
      <c r="AE56" s="83">
        <v>4700</v>
      </c>
      <c r="AF56" s="83">
        <v>6000</v>
      </c>
      <c r="AG56" s="83">
        <v>6000</v>
      </c>
      <c r="AH56" s="83">
        <v>6000</v>
      </c>
      <c r="AI56" s="83">
        <v>7500</v>
      </c>
      <c r="AJ56" s="83">
        <v>7500</v>
      </c>
      <c r="AK56">
        <v>7500</v>
      </c>
    </row>
    <row r="57" spans="2:37" customFormat="1" ht="13" x14ac:dyDescent="0.15">
      <c r="B57">
        <v>60</v>
      </c>
      <c r="C57">
        <v>480</v>
      </c>
      <c r="D57" s="14" t="s">
        <v>342</v>
      </c>
      <c r="E57" t="s">
        <v>177</v>
      </c>
      <c r="F57" s="10"/>
      <c r="G57" s="9"/>
      <c r="H57" s="287">
        <v>3034</v>
      </c>
      <c r="I57" s="10"/>
      <c r="J57" s="9"/>
      <c r="K57" s="10"/>
      <c r="L57" s="10"/>
      <c r="M57" s="9"/>
      <c r="N57" s="10">
        <v>1732</v>
      </c>
      <c r="O57" s="10"/>
      <c r="P57" s="9"/>
      <c r="Q57" s="10">
        <v>1604</v>
      </c>
      <c r="R57" s="9"/>
      <c r="S57" s="168"/>
      <c r="T57" s="83">
        <v>55.287115384615376</v>
      </c>
      <c r="U57" s="83">
        <v>728.43124999999998</v>
      </c>
      <c r="V57" s="83">
        <v>2528</v>
      </c>
      <c r="W57" s="83">
        <v>5167</v>
      </c>
      <c r="X57" s="83"/>
      <c r="Y57" s="83"/>
      <c r="Z57" s="83">
        <v>3700</v>
      </c>
      <c r="AA57" s="83">
        <v>3700</v>
      </c>
      <c r="AB57" s="83">
        <v>3700</v>
      </c>
      <c r="AC57" s="83">
        <v>4700</v>
      </c>
      <c r="AD57" s="83">
        <v>4700</v>
      </c>
      <c r="AE57" s="83">
        <v>4700</v>
      </c>
      <c r="AF57" s="83">
        <v>6000</v>
      </c>
      <c r="AG57" s="83">
        <v>6000</v>
      </c>
      <c r="AH57" s="83">
        <v>6000</v>
      </c>
      <c r="AI57" s="83">
        <v>7500</v>
      </c>
      <c r="AJ57" s="83">
        <v>7500</v>
      </c>
      <c r="AK57">
        <v>7500</v>
      </c>
    </row>
    <row r="58" spans="2:37" customFormat="1" ht="13" x14ac:dyDescent="0.15">
      <c r="B58">
        <v>50</v>
      </c>
      <c r="C58">
        <v>482</v>
      </c>
      <c r="D58" s="14" t="s">
        <v>158</v>
      </c>
      <c r="E58" t="s">
        <v>177</v>
      </c>
      <c r="F58" s="10"/>
      <c r="G58" s="9"/>
      <c r="H58" s="287">
        <v>2558</v>
      </c>
      <c r="I58" s="10"/>
      <c r="J58" s="9"/>
      <c r="K58" s="10"/>
      <c r="L58" s="10"/>
      <c r="M58" s="9"/>
      <c r="N58" s="10">
        <v>2278</v>
      </c>
      <c r="O58" s="10"/>
      <c r="P58" s="9"/>
      <c r="Q58" s="10">
        <v>1890</v>
      </c>
      <c r="R58" s="9"/>
      <c r="S58" s="168"/>
      <c r="T58" s="83">
        <v>55.287115384615376</v>
      </c>
      <c r="U58" s="83">
        <v>728.43124999999998</v>
      </c>
      <c r="V58" s="83">
        <v>2370</v>
      </c>
      <c r="W58" s="83">
        <v>4935</v>
      </c>
      <c r="X58" s="83"/>
      <c r="Y58" s="83"/>
      <c r="Z58" s="83">
        <v>3700</v>
      </c>
      <c r="AA58" s="83">
        <v>3700</v>
      </c>
      <c r="AB58" s="83">
        <v>3700</v>
      </c>
      <c r="AC58" s="83">
        <v>4700</v>
      </c>
      <c r="AD58" s="83">
        <v>4700</v>
      </c>
      <c r="AE58" s="83">
        <v>4700</v>
      </c>
      <c r="AF58" s="83">
        <v>6000</v>
      </c>
      <c r="AG58" s="83">
        <v>6000</v>
      </c>
      <c r="AH58" s="83">
        <v>6000</v>
      </c>
      <c r="AI58" s="83">
        <v>7500</v>
      </c>
      <c r="AJ58" s="83">
        <v>7500</v>
      </c>
      <c r="AK58">
        <v>7500</v>
      </c>
    </row>
    <row r="59" spans="2:37" customFormat="1" ht="13" x14ac:dyDescent="0.15">
      <c r="B59">
        <v>95</v>
      </c>
      <c r="C59">
        <v>492</v>
      </c>
      <c r="D59" s="14" t="s">
        <v>26</v>
      </c>
      <c r="E59" t="s">
        <v>177</v>
      </c>
      <c r="F59" s="10"/>
      <c r="G59" s="9"/>
      <c r="H59" s="287">
        <v>2830</v>
      </c>
      <c r="I59" s="10"/>
      <c r="J59" s="9"/>
      <c r="K59" s="10"/>
      <c r="L59" s="10"/>
      <c r="M59" s="9"/>
      <c r="N59" s="10">
        <v>2246</v>
      </c>
      <c r="O59" s="10"/>
      <c r="P59" s="9"/>
      <c r="Q59" s="10"/>
      <c r="R59" s="9"/>
      <c r="S59" s="9"/>
      <c r="T59" s="83">
        <v>55.287115384615376</v>
      </c>
      <c r="U59" s="83">
        <v>728.43124999999998</v>
      </c>
      <c r="V59" s="83">
        <v>2140</v>
      </c>
      <c r="W59" s="83">
        <v>5028</v>
      </c>
      <c r="X59" s="83"/>
      <c r="Y59" s="83"/>
      <c r="Z59" s="83">
        <v>3700</v>
      </c>
      <c r="AA59" s="83">
        <v>3700</v>
      </c>
      <c r="AB59" s="83">
        <v>3700</v>
      </c>
      <c r="AC59" s="83">
        <v>4700</v>
      </c>
      <c r="AD59" s="83">
        <v>4700</v>
      </c>
      <c r="AE59" s="83">
        <v>4700</v>
      </c>
      <c r="AF59" s="83">
        <v>6000</v>
      </c>
      <c r="AG59" s="83">
        <v>6000</v>
      </c>
      <c r="AH59" s="83">
        <v>6000</v>
      </c>
      <c r="AI59" s="83">
        <v>7500</v>
      </c>
      <c r="AJ59" s="83">
        <v>7500</v>
      </c>
      <c r="AK59">
        <v>7500</v>
      </c>
    </row>
    <row r="60" spans="2:37" customFormat="1" ht="13" x14ac:dyDescent="0.15">
      <c r="B60">
        <v>28</v>
      </c>
      <c r="C60">
        <v>510</v>
      </c>
      <c r="D60" s="14" t="s">
        <v>155</v>
      </c>
      <c r="E60" t="s">
        <v>177</v>
      </c>
      <c r="F60" s="10"/>
      <c r="G60" s="9"/>
      <c r="H60" s="287">
        <v>2854</v>
      </c>
      <c r="I60" s="10"/>
      <c r="J60" s="9"/>
      <c r="K60" s="10"/>
      <c r="L60" s="10"/>
      <c r="M60" s="9"/>
      <c r="N60" s="10">
        <v>1832</v>
      </c>
      <c r="O60" s="10"/>
      <c r="P60" s="9"/>
      <c r="Q60" s="10">
        <v>1634</v>
      </c>
      <c r="R60" s="9"/>
      <c r="S60" s="168"/>
      <c r="T60" s="83">
        <v>55.287115384615376</v>
      </c>
      <c r="U60" s="83">
        <v>728.43124999999998</v>
      </c>
      <c r="V60" s="83">
        <v>3223</v>
      </c>
      <c r="W60" s="83">
        <v>5724</v>
      </c>
      <c r="X60" s="83"/>
      <c r="Y60" s="83"/>
      <c r="Z60" s="83">
        <v>3700</v>
      </c>
      <c r="AA60" s="83">
        <v>3700</v>
      </c>
      <c r="AB60" s="83">
        <v>3700</v>
      </c>
      <c r="AC60" s="83">
        <v>4700</v>
      </c>
      <c r="AD60" s="83">
        <v>4700</v>
      </c>
      <c r="AE60" s="83">
        <v>4700</v>
      </c>
      <c r="AF60" s="83">
        <v>6000</v>
      </c>
      <c r="AG60" s="83">
        <v>6000</v>
      </c>
      <c r="AH60" s="83">
        <v>6000</v>
      </c>
      <c r="AI60" s="83">
        <v>7500</v>
      </c>
      <c r="AJ60" s="83">
        <v>7500</v>
      </c>
      <c r="AK60">
        <v>7500</v>
      </c>
    </row>
    <row r="61" spans="2:37" customFormat="1" ht="13" x14ac:dyDescent="0.15">
      <c r="B61">
        <v>5</v>
      </c>
      <c r="C61">
        <v>530</v>
      </c>
      <c r="D61" s="14" t="s">
        <v>150</v>
      </c>
      <c r="E61" t="s">
        <v>177</v>
      </c>
      <c r="F61" s="10"/>
      <c r="G61" s="9"/>
      <c r="H61" s="287">
        <v>3112</v>
      </c>
      <c r="I61" s="10"/>
      <c r="J61" s="9"/>
      <c r="K61" s="10"/>
      <c r="L61" s="10"/>
      <c r="M61" s="9"/>
      <c r="N61" s="10">
        <v>1833</v>
      </c>
      <c r="O61" s="10"/>
      <c r="P61" s="9"/>
      <c r="Q61" s="10">
        <v>1494</v>
      </c>
      <c r="R61" s="9"/>
      <c r="S61" s="180"/>
      <c r="T61" s="83">
        <v>55.287115384615376</v>
      </c>
      <c r="U61" s="83">
        <v>728.43124999999998</v>
      </c>
      <c r="V61" s="83">
        <v>2771</v>
      </c>
      <c r="W61" s="83">
        <v>5279</v>
      </c>
      <c r="X61" s="83"/>
      <c r="Y61" s="83"/>
      <c r="Z61" s="83">
        <v>3700</v>
      </c>
      <c r="AA61" s="83">
        <v>3700</v>
      </c>
      <c r="AB61" s="83">
        <v>3700</v>
      </c>
      <c r="AC61" s="83">
        <v>4700</v>
      </c>
      <c r="AD61" s="83">
        <v>4700</v>
      </c>
      <c r="AE61" s="83">
        <v>4700</v>
      </c>
      <c r="AF61" s="83">
        <v>6000</v>
      </c>
      <c r="AG61" s="83">
        <v>6000</v>
      </c>
      <c r="AH61" s="83">
        <v>6000</v>
      </c>
      <c r="AI61" s="83">
        <v>7500</v>
      </c>
      <c r="AJ61" s="83">
        <v>7500</v>
      </c>
      <c r="AK61">
        <v>7500</v>
      </c>
    </row>
    <row r="62" spans="2:37" customFormat="1" ht="13" x14ac:dyDescent="0.15">
      <c r="B62">
        <v>84</v>
      </c>
      <c r="C62">
        <v>540</v>
      </c>
      <c r="D62" s="14" t="s">
        <v>163</v>
      </c>
      <c r="E62" t="s">
        <v>177</v>
      </c>
      <c r="F62" s="10"/>
      <c r="G62" s="9"/>
      <c r="H62" s="287">
        <v>2373</v>
      </c>
      <c r="I62" s="10"/>
      <c r="J62" s="9"/>
      <c r="K62" s="10"/>
      <c r="L62" s="10"/>
      <c r="M62" s="9"/>
      <c r="N62" s="10">
        <v>1995</v>
      </c>
      <c r="O62" s="10"/>
      <c r="P62" s="9"/>
      <c r="Q62" s="10">
        <v>1866</v>
      </c>
      <c r="R62" s="9"/>
      <c r="S62" s="168"/>
      <c r="T62" s="83">
        <v>55.287115384615376</v>
      </c>
      <c r="U62" s="83">
        <v>728.43124999999998</v>
      </c>
      <c r="V62" s="83">
        <v>2992</v>
      </c>
      <c r="W62" s="83">
        <v>5958</v>
      </c>
      <c r="X62" s="83"/>
      <c r="Y62" s="83"/>
      <c r="Z62" s="83">
        <v>3700</v>
      </c>
      <c r="AA62" s="83">
        <v>3700</v>
      </c>
      <c r="AB62" s="83">
        <v>3700</v>
      </c>
      <c r="AC62" s="83">
        <v>4700</v>
      </c>
      <c r="AD62" s="83">
        <v>4700</v>
      </c>
      <c r="AE62" s="83">
        <v>4700</v>
      </c>
      <c r="AF62" s="83">
        <v>6000</v>
      </c>
      <c r="AG62" s="83">
        <v>6000</v>
      </c>
      <c r="AH62" s="83">
        <v>6000</v>
      </c>
      <c r="AI62" s="83">
        <v>7500</v>
      </c>
      <c r="AJ62" s="83">
        <v>7500</v>
      </c>
      <c r="AK62">
        <v>7500</v>
      </c>
    </row>
    <row r="63" spans="2:37" customFormat="1" ht="13" x14ac:dyDescent="0.15">
      <c r="B63">
        <v>86</v>
      </c>
      <c r="C63">
        <v>550</v>
      </c>
      <c r="D63" s="14" t="s">
        <v>164</v>
      </c>
      <c r="E63" t="s">
        <v>177</v>
      </c>
      <c r="F63" s="10"/>
      <c r="G63" s="9"/>
      <c r="H63" s="287">
        <v>2663</v>
      </c>
      <c r="I63" s="10"/>
      <c r="J63" s="9"/>
      <c r="K63" s="10"/>
      <c r="L63" s="10"/>
      <c r="M63" s="9"/>
      <c r="N63" s="10">
        <v>1926</v>
      </c>
      <c r="O63" s="10"/>
      <c r="P63" s="9"/>
      <c r="Q63" s="10">
        <v>1775</v>
      </c>
      <c r="R63" s="9"/>
      <c r="S63" s="168"/>
      <c r="T63" s="83">
        <v>55.287115384615376</v>
      </c>
      <c r="U63" s="83">
        <v>728.43124999999998</v>
      </c>
      <c r="V63" s="83">
        <v>2567</v>
      </c>
      <c r="W63" s="83">
        <v>5400</v>
      </c>
      <c r="X63" s="83"/>
      <c r="Y63" s="83"/>
      <c r="Z63" s="83">
        <v>3700</v>
      </c>
      <c r="AA63" s="83">
        <v>3700</v>
      </c>
      <c r="AB63" s="83">
        <v>3700</v>
      </c>
      <c r="AC63" s="83">
        <v>4700</v>
      </c>
      <c r="AD63" s="83">
        <v>4700</v>
      </c>
      <c r="AE63" s="83">
        <v>4700</v>
      </c>
      <c r="AF63" s="83">
        <v>6000</v>
      </c>
      <c r="AG63" s="83">
        <v>6000</v>
      </c>
      <c r="AH63" s="83">
        <v>6000</v>
      </c>
      <c r="AI63" s="83">
        <v>7500</v>
      </c>
      <c r="AJ63" s="83">
        <v>7500</v>
      </c>
      <c r="AK63">
        <v>7500</v>
      </c>
    </row>
    <row r="64" spans="2:37" customFormat="1" ht="13" x14ac:dyDescent="0.15">
      <c r="B64">
        <v>11</v>
      </c>
      <c r="C64">
        <v>561</v>
      </c>
      <c r="D64" s="14" t="s">
        <v>151</v>
      </c>
      <c r="E64" t="s">
        <v>177</v>
      </c>
      <c r="F64" s="10"/>
      <c r="G64" s="9"/>
      <c r="H64" s="287">
        <v>2855</v>
      </c>
      <c r="I64" s="10"/>
      <c r="J64" s="9"/>
      <c r="K64" s="10"/>
      <c r="L64" s="10"/>
      <c r="M64" s="9"/>
      <c r="N64" s="10">
        <v>1597</v>
      </c>
      <c r="O64" s="10"/>
      <c r="P64" s="9"/>
      <c r="Q64" s="10">
        <v>1811</v>
      </c>
      <c r="R64" s="9"/>
      <c r="S64" s="9"/>
      <c r="T64" s="83">
        <v>55.287115384615376</v>
      </c>
      <c r="U64" s="83">
        <v>728.43124999999998</v>
      </c>
      <c r="V64" s="83">
        <v>2844</v>
      </c>
      <c r="W64" s="83">
        <v>5503</v>
      </c>
      <c r="X64" s="83"/>
      <c r="Y64" s="83"/>
      <c r="Z64" s="83">
        <v>3700</v>
      </c>
      <c r="AA64" s="83">
        <v>3700</v>
      </c>
      <c r="AB64" s="83">
        <v>3700</v>
      </c>
      <c r="AC64" s="83">
        <v>4700</v>
      </c>
      <c r="AD64" s="83">
        <v>4700</v>
      </c>
      <c r="AE64" s="83">
        <v>4700</v>
      </c>
      <c r="AF64" s="83">
        <v>6000</v>
      </c>
      <c r="AG64" s="83">
        <v>6000</v>
      </c>
      <c r="AH64" s="83">
        <v>6000</v>
      </c>
      <c r="AI64" s="83">
        <v>7500</v>
      </c>
      <c r="AJ64" s="83">
        <v>7500</v>
      </c>
      <c r="AK64">
        <v>7500</v>
      </c>
    </row>
    <row r="65" spans="2:37" customFormat="1" ht="13" x14ac:dyDescent="0.15">
      <c r="B65">
        <v>12</v>
      </c>
      <c r="C65">
        <v>563</v>
      </c>
      <c r="D65" s="14" t="s">
        <v>152</v>
      </c>
      <c r="E65" t="s">
        <v>177</v>
      </c>
      <c r="F65" s="10"/>
      <c r="G65" s="9"/>
      <c r="H65" s="287">
        <v>2530</v>
      </c>
      <c r="I65" s="10"/>
      <c r="J65" s="9"/>
      <c r="K65" s="10"/>
      <c r="L65" s="10"/>
      <c r="M65" s="9"/>
      <c r="N65" s="10">
        <v>1682</v>
      </c>
      <c r="O65" s="10"/>
      <c r="P65" s="9"/>
      <c r="Q65" s="10">
        <v>1008</v>
      </c>
      <c r="R65" s="157"/>
      <c r="S65" s="157"/>
      <c r="T65" s="83">
        <v>55.287115384615376</v>
      </c>
      <c r="U65" s="83">
        <v>728.43124999999998</v>
      </c>
      <c r="V65" s="83">
        <v>2783</v>
      </c>
      <c r="W65" s="83">
        <v>5674</v>
      </c>
      <c r="X65" s="83"/>
      <c r="Y65" s="83"/>
      <c r="Z65" s="83">
        <v>3700</v>
      </c>
      <c r="AA65" s="83">
        <v>3700</v>
      </c>
      <c r="AB65" s="83">
        <v>3700</v>
      </c>
      <c r="AC65" s="83">
        <v>4700</v>
      </c>
      <c r="AD65" s="83">
        <v>4700</v>
      </c>
      <c r="AE65" s="83">
        <v>4700</v>
      </c>
      <c r="AF65" s="83">
        <v>6000</v>
      </c>
      <c r="AG65" s="83">
        <v>6000</v>
      </c>
      <c r="AH65" s="83">
        <v>6000</v>
      </c>
      <c r="AI65" s="83">
        <v>7500</v>
      </c>
      <c r="AJ65" s="83">
        <v>7500</v>
      </c>
      <c r="AK65">
        <v>7500</v>
      </c>
    </row>
    <row r="66" spans="2:37" customFormat="1" ht="13" x14ac:dyDescent="0.15">
      <c r="B66">
        <v>89</v>
      </c>
      <c r="C66">
        <v>573</v>
      </c>
      <c r="D66" s="14" t="s">
        <v>165</v>
      </c>
      <c r="E66" t="s">
        <v>177</v>
      </c>
      <c r="F66" s="10"/>
      <c r="G66" s="9"/>
      <c r="H66" s="287">
        <v>3062</v>
      </c>
      <c r="I66" s="10"/>
      <c r="J66" s="9"/>
      <c r="K66" s="10"/>
      <c r="L66" s="10"/>
      <c r="M66" s="9"/>
      <c r="N66" s="10">
        <v>1568</v>
      </c>
      <c r="O66" s="10"/>
      <c r="P66" s="9"/>
      <c r="Q66" s="10">
        <v>1549</v>
      </c>
      <c r="R66" s="9"/>
      <c r="S66" s="168"/>
      <c r="T66" s="83">
        <v>55.287115384615376</v>
      </c>
      <c r="U66" s="83">
        <v>728.43124999999998</v>
      </c>
      <c r="V66" s="83">
        <v>2747</v>
      </c>
      <c r="W66" s="83">
        <v>5199</v>
      </c>
      <c r="X66" s="83"/>
      <c r="Y66" s="83"/>
      <c r="Z66" s="83">
        <v>3700</v>
      </c>
      <c r="AA66" s="83">
        <v>3700</v>
      </c>
      <c r="AB66" s="83">
        <v>3700</v>
      </c>
      <c r="AC66" s="83">
        <v>4700</v>
      </c>
      <c r="AD66" s="83">
        <v>4700</v>
      </c>
      <c r="AE66" s="83">
        <v>4700</v>
      </c>
      <c r="AF66" s="83">
        <v>6000</v>
      </c>
      <c r="AG66" s="83">
        <v>6000</v>
      </c>
      <c r="AH66" s="83">
        <v>6000</v>
      </c>
      <c r="AI66" s="83">
        <v>7500</v>
      </c>
      <c r="AJ66" s="83">
        <v>7500</v>
      </c>
      <c r="AK66">
        <v>7500</v>
      </c>
    </row>
    <row r="67" spans="2:37" customFormat="1" ht="13" x14ac:dyDescent="0.15">
      <c r="B67">
        <v>90</v>
      </c>
      <c r="C67">
        <v>575</v>
      </c>
      <c r="D67" s="14" t="s">
        <v>166</v>
      </c>
      <c r="E67" t="s">
        <v>177</v>
      </c>
      <c r="F67" s="10"/>
      <c r="G67" s="9"/>
      <c r="H67" s="287">
        <v>2756</v>
      </c>
      <c r="I67" s="10"/>
      <c r="J67" s="9"/>
      <c r="K67" s="10"/>
      <c r="L67" s="10"/>
      <c r="M67" s="9"/>
      <c r="N67" s="10">
        <v>1710</v>
      </c>
      <c r="O67" s="10"/>
      <c r="P67" s="9"/>
      <c r="Q67" s="10">
        <v>1588</v>
      </c>
      <c r="R67" s="9"/>
      <c r="S67" s="180"/>
      <c r="T67" s="83">
        <v>55.287115384615376</v>
      </c>
      <c r="U67" s="83">
        <v>728.43124999999998</v>
      </c>
      <c r="V67" s="83">
        <v>3119</v>
      </c>
      <c r="W67" s="83">
        <v>5446</v>
      </c>
      <c r="X67" s="83"/>
      <c r="Y67" s="83"/>
      <c r="Z67" s="83">
        <v>3700</v>
      </c>
      <c r="AA67" s="83">
        <v>3700</v>
      </c>
      <c r="AB67" s="83">
        <v>3700</v>
      </c>
      <c r="AC67" s="83">
        <v>4700</v>
      </c>
      <c r="AD67" s="83">
        <v>4700</v>
      </c>
      <c r="AE67" s="83">
        <v>4700</v>
      </c>
      <c r="AF67" s="83">
        <v>6000</v>
      </c>
      <c r="AG67" s="83">
        <v>6000</v>
      </c>
      <c r="AH67" s="83">
        <v>6000</v>
      </c>
      <c r="AI67" s="83">
        <v>7500</v>
      </c>
      <c r="AJ67" s="83">
        <v>7500</v>
      </c>
      <c r="AK67">
        <v>7500</v>
      </c>
    </row>
    <row r="68" spans="2:37" customFormat="1" ht="13" x14ac:dyDescent="0.15">
      <c r="B68">
        <v>96</v>
      </c>
      <c r="C68">
        <v>580</v>
      </c>
      <c r="D68" s="14" t="s">
        <v>27</v>
      </c>
      <c r="E68" t="s">
        <v>177</v>
      </c>
      <c r="F68" s="10"/>
      <c r="G68" s="9"/>
      <c r="H68" s="287">
        <v>3057</v>
      </c>
      <c r="I68" s="10"/>
      <c r="J68" s="9"/>
      <c r="K68" s="10"/>
      <c r="L68" s="10"/>
      <c r="M68" s="9"/>
      <c r="N68" s="10">
        <v>1747</v>
      </c>
      <c r="O68" s="10"/>
      <c r="P68" s="9"/>
      <c r="Q68" s="10">
        <v>1622</v>
      </c>
      <c r="R68" s="9"/>
      <c r="S68" s="168"/>
      <c r="T68" s="83">
        <v>55.287115384615376</v>
      </c>
      <c r="U68" s="83">
        <v>728.43124999999998</v>
      </c>
      <c r="V68" s="83">
        <v>2779</v>
      </c>
      <c r="W68" s="83">
        <v>6040</v>
      </c>
      <c r="X68" s="83"/>
      <c r="Y68" s="83"/>
      <c r="Z68" s="83">
        <v>3700</v>
      </c>
      <c r="AA68" s="83">
        <v>3700</v>
      </c>
      <c r="AB68" s="83">
        <v>3700</v>
      </c>
      <c r="AC68" s="83">
        <v>4700</v>
      </c>
      <c r="AD68" s="83">
        <v>4700</v>
      </c>
      <c r="AE68" s="83">
        <v>4700</v>
      </c>
      <c r="AF68" s="83">
        <v>6000</v>
      </c>
      <c r="AG68" s="83">
        <v>6000</v>
      </c>
      <c r="AH68" s="83">
        <v>6000</v>
      </c>
      <c r="AI68" s="83">
        <v>7500</v>
      </c>
      <c r="AJ68" s="83">
        <v>7500</v>
      </c>
      <c r="AK68">
        <v>7500</v>
      </c>
    </row>
    <row r="69" spans="2:37" customFormat="1" ht="13" x14ac:dyDescent="0.15">
      <c r="B69">
        <v>16</v>
      </c>
      <c r="C69">
        <v>607</v>
      </c>
      <c r="D69" s="14" t="s">
        <v>153</v>
      </c>
      <c r="E69" t="s">
        <v>177</v>
      </c>
      <c r="F69" s="10"/>
      <c r="G69" s="9"/>
      <c r="H69" s="287">
        <v>3263</v>
      </c>
      <c r="I69" s="10"/>
      <c r="J69" s="9"/>
      <c r="K69" s="10"/>
      <c r="L69" s="10"/>
      <c r="M69" s="9"/>
      <c r="N69" s="10">
        <v>2013</v>
      </c>
      <c r="O69" s="10"/>
      <c r="P69" s="9"/>
      <c r="Q69" s="10">
        <v>1769</v>
      </c>
      <c r="R69" s="9"/>
      <c r="S69" s="168"/>
      <c r="T69" s="83">
        <v>55.287115384615376</v>
      </c>
      <c r="U69" s="83">
        <v>728.43124999999998</v>
      </c>
      <c r="V69" s="83">
        <v>2903</v>
      </c>
      <c r="W69" s="83">
        <v>6000</v>
      </c>
      <c r="X69" s="83"/>
      <c r="Y69" s="83"/>
      <c r="Z69" s="83">
        <v>3700</v>
      </c>
      <c r="AA69" s="83">
        <v>3700</v>
      </c>
      <c r="AB69" s="83">
        <v>3700</v>
      </c>
      <c r="AC69" s="83">
        <v>4700</v>
      </c>
      <c r="AD69" s="83">
        <v>4700</v>
      </c>
      <c r="AE69" s="83">
        <v>4700</v>
      </c>
      <c r="AF69" s="83">
        <v>6000</v>
      </c>
      <c r="AG69" s="83">
        <v>6000</v>
      </c>
      <c r="AH69" s="83">
        <v>6000</v>
      </c>
      <c r="AI69" s="83">
        <v>7500</v>
      </c>
      <c r="AJ69" s="83">
        <v>7500</v>
      </c>
      <c r="AK69">
        <v>7500</v>
      </c>
    </row>
    <row r="70" spans="2:37" customFormat="1" ht="13" x14ac:dyDescent="0.15">
      <c r="B70">
        <v>38</v>
      </c>
      <c r="C70">
        <v>615</v>
      </c>
      <c r="D70" s="14" t="s">
        <v>32</v>
      </c>
      <c r="E70" t="s">
        <v>178</v>
      </c>
      <c r="F70" s="10"/>
      <c r="G70" s="9"/>
      <c r="H70" s="287">
        <v>3079</v>
      </c>
      <c r="I70" s="10"/>
      <c r="J70" s="9"/>
      <c r="K70" s="10"/>
      <c r="L70" s="10"/>
      <c r="M70" s="9"/>
      <c r="N70" s="10">
        <v>1645</v>
      </c>
      <c r="O70" s="10"/>
      <c r="P70" s="9"/>
      <c r="Q70" s="10">
        <v>1710</v>
      </c>
      <c r="R70" s="9"/>
      <c r="S70" s="9"/>
      <c r="T70" s="83">
        <v>55.287115384615376</v>
      </c>
      <c r="U70" s="83">
        <v>728.43124999999998</v>
      </c>
      <c r="V70" s="83">
        <v>2685</v>
      </c>
      <c r="W70" s="83">
        <v>5699</v>
      </c>
      <c r="X70" s="83"/>
      <c r="Y70" s="83"/>
      <c r="Z70" s="83">
        <v>3700</v>
      </c>
      <c r="AA70" s="83">
        <v>3700</v>
      </c>
      <c r="AB70" s="83">
        <v>3700</v>
      </c>
      <c r="AC70" s="83">
        <v>4700</v>
      </c>
      <c r="AD70" s="83">
        <v>4700</v>
      </c>
      <c r="AE70" s="83">
        <v>4700</v>
      </c>
      <c r="AF70" s="83">
        <v>6000</v>
      </c>
      <c r="AG70" s="83">
        <v>6000</v>
      </c>
      <c r="AH70" s="83">
        <v>6000</v>
      </c>
      <c r="AI70" s="83">
        <v>7500</v>
      </c>
      <c r="AJ70" s="83">
        <v>7500</v>
      </c>
      <c r="AK70">
        <v>7500</v>
      </c>
    </row>
    <row r="71" spans="2:37" customFormat="1" ht="13" x14ac:dyDescent="0.15">
      <c r="B71">
        <v>47</v>
      </c>
      <c r="C71">
        <v>621</v>
      </c>
      <c r="D71" s="14" t="s">
        <v>157</v>
      </c>
      <c r="E71" t="s">
        <v>177</v>
      </c>
      <c r="F71" s="10"/>
      <c r="G71" s="9"/>
      <c r="H71" s="287">
        <v>3399</v>
      </c>
      <c r="I71" s="10"/>
      <c r="J71" s="9"/>
      <c r="K71" s="10"/>
      <c r="L71" s="10"/>
      <c r="M71" s="9"/>
      <c r="N71" s="10">
        <v>1812</v>
      </c>
      <c r="O71" s="10"/>
      <c r="P71" s="9"/>
      <c r="Q71" s="10">
        <v>1537</v>
      </c>
      <c r="R71" s="9"/>
      <c r="S71" s="180"/>
      <c r="T71" s="83">
        <v>55.287115384615376</v>
      </c>
      <c r="U71" s="83">
        <v>728.43124999999998</v>
      </c>
      <c r="V71" s="83">
        <v>2988</v>
      </c>
      <c r="W71" s="83">
        <v>5540</v>
      </c>
      <c r="X71" s="83"/>
      <c r="Y71" s="83"/>
      <c r="Z71" s="83">
        <v>3700</v>
      </c>
      <c r="AA71" s="83">
        <v>3700</v>
      </c>
      <c r="AB71" s="83">
        <v>3700</v>
      </c>
      <c r="AC71" s="83">
        <v>4700</v>
      </c>
      <c r="AD71" s="83">
        <v>4700</v>
      </c>
      <c r="AE71" s="83">
        <v>4700</v>
      </c>
      <c r="AF71" s="83">
        <v>6000</v>
      </c>
      <c r="AG71" s="83">
        <v>6000</v>
      </c>
      <c r="AH71" s="83">
        <v>6000</v>
      </c>
      <c r="AI71" s="83">
        <v>7500</v>
      </c>
      <c r="AJ71" s="83">
        <v>7500</v>
      </c>
      <c r="AK71">
        <v>7500</v>
      </c>
    </row>
    <row r="72" spans="2:37" customFormat="1" ht="13" x14ac:dyDescent="0.15">
      <c r="B72">
        <v>91</v>
      </c>
      <c r="C72">
        <v>630</v>
      </c>
      <c r="D72" s="14" t="s">
        <v>25</v>
      </c>
      <c r="E72" t="s">
        <v>177</v>
      </c>
      <c r="F72" s="10"/>
      <c r="G72" s="9"/>
      <c r="H72" s="287">
        <v>3410</v>
      </c>
      <c r="I72" s="10"/>
      <c r="J72" s="9"/>
      <c r="K72" s="10"/>
      <c r="L72" s="10"/>
      <c r="M72" s="9"/>
      <c r="N72" s="10">
        <v>2035</v>
      </c>
      <c r="O72" s="10"/>
      <c r="P72" s="9"/>
      <c r="Q72" s="10">
        <v>2026</v>
      </c>
      <c r="R72" s="9"/>
      <c r="S72" s="9"/>
      <c r="T72" s="83">
        <v>55.287115384615376</v>
      </c>
      <c r="U72" s="83">
        <v>728.43124999999998</v>
      </c>
      <c r="V72" s="83">
        <v>2971</v>
      </c>
      <c r="W72" s="83">
        <v>6150</v>
      </c>
      <c r="X72" s="83"/>
      <c r="Y72" s="83"/>
      <c r="Z72" s="83">
        <v>3700</v>
      </c>
      <c r="AA72" s="83">
        <v>3700</v>
      </c>
      <c r="AB72" s="83">
        <v>3700</v>
      </c>
      <c r="AC72" s="83">
        <v>4700</v>
      </c>
      <c r="AD72" s="83">
        <v>4700</v>
      </c>
      <c r="AE72" s="83">
        <v>4700</v>
      </c>
      <c r="AF72" s="83">
        <v>6000</v>
      </c>
      <c r="AG72" s="83">
        <v>6000</v>
      </c>
      <c r="AH72" s="83">
        <v>6000</v>
      </c>
      <c r="AI72" s="83">
        <v>7500</v>
      </c>
      <c r="AJ72" s="83">
        <v>7500</v>
      </c>
      <c r="AK72">
        <v>7500</v>
      </c>
    </row>
    <row r="73" spans="2:37" customFormat="1" ht="13" x14ac:dyDescent="0.15">
      <c r="B73">
        <v>33</v>
      </c>
      <c r="C73">
        <v>657</v>
      </c>
      <c r="D73" s="14" t="s">
        <v>30</v>
      </c>
      <c r="E73" t="s">
        <v>178</v>
      </c>
      <c r="F73" s="10"/>
      <c r="G73" s="9"/>
      <c r="H73" s="287">
        <v>2802</v>
      </c>
      <c r="I73" s="10"/>
      <c r="J73" s="9"/>
      <c r="K73" s="10"/>
      <c r="L73" s="10"/>
      <c r="M73" s="9"/>
      <c r="N73" s="10">
        <v>1637</v>
      </c>
      <c r="O73" s="10"/>
      <c r="P73" s="9"/>
      <c r="Q73" s="10">
        <v>1549</v>
      </c>
      <c r="R73" s="9"/>
      <c r="S73" s="168"/>
      <c r="T73" s="83">
        <v>55.287115384615376</v>
      </c>
      <c r="U73" s="83">
        <v>728.43124999999998</v>
      </c>
      <c r="V73" s="83">
        <v>2576</v>
      </c>
      <c r="W73" s="83">
        <v>5335</v>
      </c>
      <c r="X73" s="83"/>
      <c r="Y73" s="83"/>
      <c r="Z73" s="83">
        <v>3700</v>
      </c>
      <c r="AA73" s="83">
        <v>3700</v>
      </c>
      <c r="AB73" s="83">
        <v>3700</v>
      </c>
      <c r="AC73" s="83">
        <v>4700</v>
      </c>
      <c r="AD73" s="83">
        <v>4700</v>
      </c>
      <c r="AE73" s="83">
        <v>4700</v>
      </c>
      <c r="AF73" s="83">
        <v>6000</v>
      </c>
      <c r="AG73" s="83">
        <v>6000</v>
      </c>
      <c r="AH73" s="83">
        <v>6000</v>
      </c>
      <c r="AI73" s="83">
        <v>7500</v>
      </c>
      <c r="AJ73" s="83">
        <v>7500</v>
      </c>
      <c r="AK73">
        <v>7500</v>
      </c>
    </row>
    <row r="74" spans="2:37" customFormat="1" ht="13" x14ac:dyDescent="0.15">
      <c r="B74">
        <v>37</v>
      </c>
      <c r="C74">
        <v>661</v>
      </c>
      <c r="D74" s="14" t="s">
        <v>31</v>
      </c>
      <c r="E74" t="s">
        <v>178</v>
      </c>
      <c r="F74" s="10"/>
      <c r="G74" s="9"/>
      <c r="H74" s="287">
        <v>3123</v>
      </c>
      <c r="I74" s="10"/>
      <c r="J74" s="9"/>
      <c r="K74" s="10"/>
      <c r="L74" s="10"/>
      <c r="M74" s="9"/>
      <c r="N74" s="10">
        <v>1640</v>
      </c>
      <c r="O74" s="10"/>
      <c r="P74" s="9"/>
      <c r="Q74" s="10">
        <v>1627</v>
      </c>
      <c r="R74" s="9"/>
      <c r="S74" s="168"/>
      <c r="T74" s="83">
        <v>55.287115384615376</v>
      </c>
      <c r="U74" s="83">
        <v>728.43124999999998</v>
      </c>
      <c r="V74" s="83">
        <v>2737</v>
      </c>
      <c r="W74" s="83">
        <v>5234</v>
      </c>
      <c r="X74" s="83"/>
      <c r="Y74" s="83"/>
      <c r="Z74" s="83">
        <v>3700</v>
      </c>
      <c r="AA74" s="83">
        <v>3700</v>
      </c>
      <c r="AB74" s="83">
        <v>3700</v>
      </c>
      <c r="AC74" s="83">
        <v>4700</v>
      </c>
      <c r="AD74" s="83">
        <v>4700</v>
      </c>
      <c r="AE74" s="83">
        <v>4700</v>
      </c>
      <c r="AF74" s="83">
        <v>6000</v>
      </c>
      <c r="AG74" s="83">
        <v>6000</v>
      </c>
      <c r="AH74" s="83">
        <v>6000</v>
      </c>
      <c r="AI74" s="83">
        <v>7500</v>
      </c>
      <c r="AJ74" s="83">
        <v>7500</v>
      </c>
      <c r="AK74">
        <v>7500</v>
      </c>
    </row>
    <row r="75" spans="2:37" customFormat="1" ht="13" x14ac:dyDescent="0.15">
      <c r="B75">
        <v>52</v>
      </c>
      <c r="C75">
        <v>665</v>
      </c>
      <c r="D75" s="14" t="s">
        <v>34</v>
      </c>
      <c r="E75" t="s">
        <v>178</v>
      </c>
      <c r="F75" s="10"/>
      <c r="G75" s="9"/>
      <c r="H75" s="287">
        <v>3277</v>
      </c>
      <c r="I75" s="10"/>
      <c r="J75" s="9"/>
      <c r="K75" s="10"/>
      <c r="L75" s="10"/>
      <c r="M75" s="9"/>
      <c r="N75" s="10">
        <v>1977</v>
      </c>
      <c r="O75" s="10"/>
      <c r="P75" s="9"/>
      <c r="Q75" s="10">
        <v>1700</v>
      </c>
      <c r="R75" s="9"/>
      <c r="S75" s="168"/>
      <c r="T75" s="83">
        <v>55.287115384615376</v>
      </c>
      <c r="U75" s="83">
        <v>728.43124999999998</v>
      </c>
      <c r="V75" s="83">
        <v>2381</v>
      </c>
      <c r="W75" s="83">
        <v>5265</v>
      </c>
      <c r="X75" s="83"/>
      <c r="Y75" s="83"/>
      <c r="Z75" s="83">
        <v>3700</v>
      </c>
      <c r="AA75" s="83">
        <v>3700</v>
      </c>
      <c r="AB75" s="83">
        <v>3700</v>
      </c>
      <c r="AC75" s="83">
        <v>4700</v>
      </c>
      <c r="AD75" s="83">
        <v>4700</v>
      </c>
      <c r="AE75" s="83">
        <v>4700</v>
      </c>
      <c r="AF75" s="83">
        <v>6000</v>
      </c>
      <c r="AG75" s="83">
        <v>6000</v>
      </c>
      <c r="AH75" s="83">
        <v>6000</v>
      </c>
      <c r="AI75" s="83">
        <v>7500</v>
      </c>
      <c r="AJ75" s="83">
        <v>7500</v>
      </c>
      <c r="AK75">
        <v>7500</v>
      </c>
    </row>
    <row r="76" spans="2:37" customFormat="1" ht="13" x14ac:dyDescent="0.15">
      <c r="B76">
        <v>81</v>
      </c>
      <c r="C76">
        <v>671</v>
      </c>
      <c r="D76" s="14" t="s">
        <v>43</v>
      </c>
      <c r="E76" t="s">
        <v>178</v>
      </c>
      <c r="F76" s="10"/>
      <c r="G76" s="9"/>
      <c r="H76" s="287">
        <v>3325</v>
      </c>
      <c r="I76" s="10"/>
      <c r="J76" s="9"/>
      <c r="K76" s="10"/>
      <c r="L76" s="10"/>
      <c r="M76" s="9"/>
      <c r="N76" s="10">
        <v>1704</v>
      </c>
      <c r="O76" s="10"/>
      <c r="P76" s="9"/>
      <c r="Q76" s="10">
        <v>1669</v>
      </c>
      <c r="R76" s="9"/>
      <c r="S76" s="168"/>
      <c r="T76" s="83">
        <v>55.287115384615376</v>
      </c>
      <c r="U76" s="83">
        <v>728.43124999999998</v>
      </c>
      <c r="V76" s="83">
        <v>2377</v>
      </c>
      <c r="W76" s="83">
        <v>5413</v>
      </c>
      <c r="X76" s="83"/>
      <c r="Y76" s="83"/>
      <c r="Z76" s="83">
        <v>3700</v>
      </c>
      <c r="AA76" s="83">
        <v>3700</v>
      </c>
      <c r="AB76" s="83">
        <v>3700</v>
      </c>
      <c r="AC76" s="83">
        <v>4700</v>
      </c>
      <c r="AD76" s="83">
        <v>4700</v>
      </c>
      <c r="AE76" s="83">
        <v>4700</v>
      </c>
      <c r="AF76" s="83">
        <v>6000</v>
      </c>
      <c r="AG76" s="83">
        <v>6000</v>
      </c>
      <c r="AH76" s="83">
        <v>6000</v>
      </c>
      <c r="AI76" s="83">
        <v>7500</v>
      </c>
      <c r="AJ76" s="83">
        <v>7500</v>
      </c>
      <c r="AK76">
        <v>7500</v>
      </c>
    </row>
    <row r="77" spans="2:37" customFormat="1" ht="13" x14ac:dyDescent="0.15">
      <c r="B77">
        <v>83</v>
      </c>
      <c r="C77">
        <v>706</v>
      </c>
      <c r="D77" s="14" t="s">
        <v>44</v>
      </c>
      <c r="E77" t="s">
        <v>178</v>
      </c>
      <c r="F77" s="10"/>
      <c r="G77" s="9"/>
      <c r="H77" s="287">
        <v>2868</v>
      </c>
      <c r="I77" s="10"/>
      <c r="J77" s="9"/>
      <c r="K77" s="10"/>
      <c r="L77" s="10"/>
      <c r="M77" s="9"/>
      <c r="N77" s="10">
        <v>1580</v>
      </c>
      <c r="O77" s="10"/>
      <c r="P77" s="9"/>
      <c r="Q77" s="10">
        <v>1654</v>
      </c>
      <c r="R77" s="9"/>
      <c r="S77" s="9"/>
      <c r="T77" s="83">
        <v>55.287115384615376</v>
      </c>
      <c r="U77" s="83">
        <v>728.43124999999998</v>
      </c>
      <c r="V77" s="83">
        <v>3173</v>
      </c>
      <c r="W77" s="83">
        <v>4993</v>
      </c>
      <c r="X77" s="83"/>
      <c r="Y77" s="83"/>
      <c r="Z77" s="83">
        <v>3700</v>
      </c>
      <c r="AA77" s="83">
        <v>3700</v>
      </c>
      <c r="AB77" s="83">
        <v>3700</v>
      </c>
      <c r="AC77" s="83">
        <v>4700</v>
      </c>
      <c r="AD77" s="83">
        <v>4700</v>
      </c>
      <c r="AE77" s="83">
        <v>4700</v>
      </c>
      <c r="AF77" s="83">
        <v>6000</v>
      </c>
      <c r="AG77" s="83">
        <v>6000</v>
      </c>
      <c r="AH77" s="83">
        <v>6000</v>
      </c>
      <c r="AI77" s="83">
        <v>7500</v>
      </c>
      <c r="AJ77" s="83">
        <v>7500</v>
      </c>
      <c r="AK77">
        <v>7500</v>
      </c>
    </row>
    <row r="78" spans="2:37" customFormat="1" ht="13" x14ac:dyDescent="0.15">
      <c r="B78">
        <v>59</v>
      </c>
      <c r="C78">
        <v>707</v>
      </c>
      <c r="D78" s="14" t="s">
        <v>35</v>
      </c>
      <c r="E78" t="s">
        <v>178</v>
      </c>
      <c r="F78" s="10"/>
      <c r="G78" s="9"/>
      <c r="H78" s="287">
        <v>2902</v>
      </c>
      <c r="I78" s="10"/>
      <c r="J78" s="9"/>
      <c r="K78" s="10"/>
      <c r="L78" s="10"/>
      <c r="M78" s="9"/>
      <c r="N78" s="10">
        <v>1586</v>
      </c>
      <c r="O78" s="10"/>
      <c r="P78" s="9"/>
      <c r="Q78" s="10">
        <v>1635</v>
      </c>
      <c r="R78" s="9"/>
      <c r="S78" s="168"/>
      <c r="T78" s="83">
        <v>55.287115384615376</v>
      </c>
      <c r="U78" s="83">
        <v>728.43124999999998</v>
      </c>
      <c r="V78" s="83">
        <v>2770</v>
      </c>
      <c r="W78" s="83">
        <v>5189</v>
      </c>
      <c r="X78" s="83"/>
      <c r="Y78" s="83"/>
      <c r="Z78" s="83">
        <v>3700</v>
      </c>
      <c r="AA78" s="83">
        <v>3700</v>
      </c>
      <c r="AB78" s="83">
        <v>3700</v>
      </c>
      <c r="AC78" s="83">
        <v>4700</v>
      </c>
      <c r="AD78" s="83">
        <v>4700</v>
      </c>
      <c r="AE78" s="83">
        <v>4700</v>
      </c>
      <c r="AF78" s="83">
        <v>6000</v>
      </c>
      <c r="AG78" s="83">
        <v>6000</v>
      </c>
      <c r="AH78" s="83">
        <v>6000</v>
      </c>
      <c r="AI78" s="83">
        <v>7500</v>
      </c>
      <c r="AJ78" s="83">
        <v>7500</v>
      </c>
      <c r="AK78">
        <v>7500</v>
      </c>
    </row>
    <row r="79" spans="2:37" customFormat="1" ht="13" x14ac:dyDescent="0.15">
      <c r="B79">
        <v>13</v>
      </c>
      <c r="C79">
        <v>710</v>
      </c>
      <c r="D79" s="14" t="s">
        <v>28</v>
      </c>
      <c r="E79" t="s">
        <v>178</v>
      </c>
      <c r="F79" s="10"/>
      <c r="G79" s="9"/>
      <c r="H79" s="287">
        <v>3071</v>
      </c>
      <c r="I79" s="10"/>
      <c r="J79" s="9"/>
      <c r="K79" s="10"/>
      <c r="L79" s="10"/>
      <c r="M79" s="9"/>
      <c r="N79" s="10">
        <v>1713</v>
      </c>
      <c r="O79" s="10"/>
      <c r="P79" s="9"/>
      <c r="Q79" s="10">
        <v>1500</v>
      </c>
      <c r="R79" s="9"/>
      <c r="S79" s="168"/>
      <c r="T79" s="83">
        <v>55.287115384615376</v>
      </c>
      <c r="U79" s="83">
        <v>728.43124999999998</v>
      </c>
      <c r="V79" s="83">
        <v>2836</v>
      </c>
      <c r="W79" s="83">
        <v>5465</v>
      </c>
      <c r="X79" s="83"/>
      <c r="Y79" s="83"/>
      <c r="Z79" s="83">
        <v>3700</v>
      </c>
      <c r="AA79" s="83">
        <v>3700</v>
      </c>
      <c r="AB79" s="83">
        <v>3700</v>
      </c>
      <c r="AC79" s="83">
        <v>4700</v>
      </c>
      <c r="AD79" s="83">
        <v>4700</v>
      </c>
      <c r="AE79" s="83">
        <v>4700</v>
      </c>
      <c r="AF79" s="83">
        <v>6000</v>
      </c>
      <c r="AG79" s="83">
        <v>6000</v>
      </c>
      <c r="AH79" s="83">
        <v>6000</v>
      </c>
      <c r="AI79" s="83">
        <v>7500</v>
      </c>
      <c r="AJ79" s="83">
        <v>7500</v>
      </c>
      <c r="AK79">
        <v>7500</v>
      </c>
    </row>
    <row r="80" spans="2:37" customFormat="1" ht="13" x14ac:dyDescent="0.15">
      <c r="B80">
        <v>63</v>
      </c>
      <c r="C80">
        <v>727</v>
      </c>
      <c r="D80" s="14" t="s">
        <v>36</v>
      </c>
      <c r="E80" t="s">
        <v>178</v>
      </c>
      <c r="F80" s="10"/>
      <c r="G80" s="9"/>
      <c r="H80" s="287">
        <v>2872</v>
      </c>
      <c r="I80" s="10"/>
      <c r="J80" s="9"/>
      <c r="K80" s="10"/>
      <c r="L80" s="10"/>
      <c r="M80" s="9"/>
      <c r="N80" s="10">
        <v>1473</v>
      </c>
      <c r="O80" s="10"/>
      <c r="P80" s="9"/>
      <c r="Q80" s="10">
        <v>1723</v>
      </c>
      <c r="R80" s="9"/>
      <c r="S80" s="168"/>
      <c r="T80" s="83">
        <v>55.287115384615376</v>
      </c>
      <c r="U80" s="83">
        <v>728.43124999999998</v>
      </c>
      <c r="V80" s="83">
        <v>3232</v>
      </c>
      <c r="W80" s="83">
        <v>5508</v>
      </c>
      <c r="X80" s="83"/>
      <c r="Y80" s="83"/>
      <c r="Z80" s="83">
        <v>3700</v>
      </c>
      <c r="AA80" s="83">
        <v>3700</v>
      </c>
      <c r="AB80" s="83">
        <v>3700</v>
      </c>
      <c r="AC80" s="83">
        <v>4700</v>
      </c>
      <c r="AD80" s="83">
        <v>4700</v>
      </c>
      <c r="AE80" s="83">
        <v>4700</v>
      </c>
      <c r="AF80" s="83">
        <v>6000</v>
      </c>
      <c r="AG80" s="83">
        <v>6000</v>
      </c>
      <c r="AH80" s="83">
        <v>6000</v>
      </c>
      <c r="AI80" s="83">
        <v>7500</v>
      </c>
      <c r="AJ80" s="83">
        <v>7500</v>
      </c>
      <c r="AK80">
        <v>7500</v>
      </c>
    </row>
    <row r="81" spans="2:37" customFormat="1" ht="13" x14ac:dyDescent="0.15">
      <c r="B81">
        <v>66</v>
      </c>
      <c r="C81">
        <v>730</v>
      </c>
      <c r="D81" s="14" t="s">
        <v>37</v>
      </c>
      <c r="E81" t="s">
        <v>178</v>
      </c>
      <c r="F81" s="10"/>
      <c r="G81" s="9"/>
      <c r="H81" s="287">
        <v>2644</v>
      </c>
      <c r="I81" s="10"/>
      <c r="J81" s="9"/>
      <c r="K81" s="10"/>
      <c r="L81" s="10"/>
      <c r="M81" s="9"/>
      <c r="N81" s="10">
        <v>1669</v>
      </c>
      <c r="O81" s="10"/>
      <c r="P81" s="9"/>
      <c r="Q81" s="10">
        <v>1742</v>
      </c>
      <c r="R81" s="9"/>
      <c r="S81" s="9"/>
      <c r="T81" s="83">
        <v>55.287115384615376</v>
      </c>
      <c r="U81" s="83">
        <v>728.43124999999998</v>
      </c>
      <c r="V81" s="83">
        <v>2944</v>
      </c>
      <c r="W81" s="83">
        <v>4817</v>
      </c>
      <c r="X81" s="83"/>
      <c r="Y81" s="83"/>
      <c r="Z81" s="83">
        <v>3700</v>
      </c>
      <c r="AA81" s="83">
        <v>3700</v>
      </c>
      <c r="AB81" s="83">
        <v>3700</v>
      </c>
      <c r="AC81" s="83">
        <v>4700</v>
      </c>
      <c r="AD81" s="83">
        <v>4700</v>
      </c>
      <c r="AE81" s="83">
        <v>4700</v>
      </c>
      <c r="AF81" s="83">
        <v>6000</v>
      </c>
      <c r="AG81" s="83">
        <v>6000</v>
      </c>
      <c r="AH81" s="83">
        <v>6000</v>
      </c>
      <c r="AI81" s="83">
        <v>7500</v>
      </c>
      <c r="AJ81" s="83">
        <v>7500</v>
      </c>
      <c r="AK81">
        <v>7500</v>
      </c>
    </row>
    <row r="82" spans="2:37" customFormat="1" ht="13" x14ac:dyDescent="0.15">
      <c r="B82">
        <v>74</v>
      </c>
      <c r="C82">
        <v>740</v>
      </c>
      <c r="D82" s="14" t="s">
        <v>40</v>
      </c>
      <c r="E82" t="s">
        <v>178</v>
      </c>
      <c r="F82" s="10"/>
      <c r="G82" s="9"/>
      <c r="H82" s="287">
        <v>3007</v>
      </c>
      <c r="I82" s="10"/>
      <c r="J82" s="9"/>
      <c r="K82" s="10"/>
      <c r="L82" s="10"/>
      <c r="M82" s="9"/>
      <c r="N82" s="10">
        <v>1659</v>
      </c>
      <c r="O82" s="10"/>
      <c r="P82" s="9"/>
      <c r="Q82" s="10">
        <v>1728</v>
      </c>
      <c r="R82" s="9"/>
      <c r="S82" s="168"/>
      <c r="T82" s="83">
        <v>55.287115384615376</v>
      </c>
      <c r="U82" s="83">
        <v>728.43124999999998</v>
      </c>
      <c r="V82" s="83">
        <v>2808</v>
      </c>
      <c r="W82" s="83">
        <v>5131</v>
      </c>
      <c r="X82" s="83"/>
      <c r="Y82" s="83"/>
      <c r="Z82" s="83">
        <v>3700</v>
      </c>
      <c r="AA82" s="83">
        <v>3700</v>
      </c>
      <c r="AB82" s="83">
        <v>3700</v>
      </c>
      <c r="AC82" s="83">
        <v>4700</v>
      </c>
      <c r="AD82" s="83">
        <v>4700</v>
      </c>
      <c r="AE82" s="83">
        <v>4700</v>
      </c>
      <c r="AF82" s="83">
        <v>6000</v>
      </c>
      <c r="AG82" s="83">
        <v>6000</v>
      </c>
      <c r="AH82" s="83">
        <v>6000</v>
      </c>
      <c r="AI82" s="83">
        <v>7500</v>
      </c>
      <c r="AJ82" s="83">
        <v>7500</v>
      </c>
      <c r="AK82">
        <v>7500</v>
      </c>
    </row>
    <row r="83" spans="2:37" customFormat="1" ht="13" x14ac:dyDescent="0.15">
      <c r="B83">
        <v>73</v>
      </c>
      <c r="C83">
        <v>741</v>
      </c>
      <c r="D83" s="14" t="s">
        <v>39</v>
      </c>
      <c r="E83" t="s">
        <v>178</v>
      </c>
      <c r="F83" s="10"/>
      <c r="G83" s="9"/>
      <c r="H83" s="287"/>
      <c r="I83" s="10"/>
      <c r="J83" s="9"/>
      <c r="K83" s="10"/>
      <c r="L83" s="10"/>
      <c r="M83" s="9"/>
      <c r="N83" s="10">
        <v>1911</v>
      </c>
      <c r="O83" s="10"/>
      <c r="P83" s="9"/>
      <c r="Q83" s="10">
        <v>1467</v>
      </c>
      <c r="R83" s="9"/>
      <c r="S83" s="168"/>
      <c r="T83" s="83">
        <v>55.287115384615376</v>
      </c>
      <c r="U83" s="83">
        <v>728.43124999999998</v>
      </c>
      <c r="V83" s="83">
        <v>2593</v>
      </c>
      <c r="W83" s="83">
        <v>5248</v>
      </c>
      <c r="X83" s="83"/>
      <c r="Y83" s="83"/>
      <c r="Z83" s="83">
        <v>3700</v>
      </c>
      <c r="AA83" s="83">
        <v>3700</v>
      </c>
      <c r="AB83" s="83">
        <v>3700</v>
      </c>
      <c r="AC83" s="83">
        <v>4700</v>
      </c>
      <c r="AD83" s="83">
        <v>4700</v>
      </c>
      <c r="AE83" s="83">
        <v>4700</v>
      </c>
      <c r="AF83" s="83">
        <v>6000</v>
      </c>
      <c r="AG83" s="83">
        <v>6000</v>
      </c>
      <c r="AH83" s="83">
        <v>6000</v>
      </c>
      <c r="AI83" s="83">
        <v>7500</v>
      </c>
      <c r="AJ83" s="83">
        <v>7500</v>
      </c>
      <c r="AK83">
        <v>7500</v>
      </c>
    </row>
    <row r="84" spans="2:37" customFormat="1" ht="13" x14ac:dyDescent="0.15">
      <c r="B84">
        <v>75</v>
      </c>
      <c r="C84">
        <v>746</v>
      </c>
      <c r="D84" s="14" t="s">
        <v>41</v>
      </c>
      <c r="E84" t="s">
        <v>178</v>
      </c>
      <c r="F84" s="10"/>
      <c r="G84" s="9"/>
      <c r="H84" s="287">
        <v>3002</v>
      </c>
      <c r="I84" s="10"/>
      <c r="J84" s="9"/>
      <c r="K84" s="10"/>
      <c r="L84" s="10"/>
      <c r="M84" s="9"/>
      <c r="N84" s="10">
        <v>1643</v>
      </c>
      <c r="O84" s="10"/>
      <c r="P84" s="9"/>
      <c r="Q84" s="10">
        <v>1666</v>
      </c>
      <c r="R84" s="9"/>
      <c r="S84" s="168"/>
      <c r="T84" s="83">
        <v>55.287115384615376</v>
      </c>
      <c r="U84" s="83">
        <v>728.43124999999998</v>
      </c>
      <c r="V84" s="83">
        <v>2736</v>
      </c>
      <c r="W84" s="83">
        <v>5388</v>
      </c>
      <c r="X84" s="83"/>
      <c r="Y84" s="83"/>
      <c r="Z84" s="83">
        <v>3700</v>
      </c>
      <c r="AA84" s="83">
        <v>3700</v>
      </c>
      <c r="AB84" s="83">
        <v>3700</v>
      </c>
      <c r="AC84" s="83">
        <v>4700</v>
      </c>
      <c r="AD84" s="83">
        <v>4700</v>
      </c>
      <c r="AE84" s="83">
        <v>4700</v>
      </c>
      <c r="AF84" s="83">
        <v>6000</v>
      </c>
      <c r="AG84" s="83">
        <v>6000</v>
      </c>
      <c r="AH84" s="83">
        <v>6000</v>
      </c>
      <c r="AI84" s="83">
        <v>7500</v>
      </c>
      <c r="AJ84" s="83">
        <v>7500</v>
      </c>
      <c r="AK84">
        <v>7500</v>
      </c>
    </row>
    <row r="85" spans="2:37" customFormat="1" ht="13" x14ac:dyDescent="0.15">
      <c r="B85">
        <v>98</v>
      </c>
      <c r="C85">
        <v>751</v>
      </c>
      <c r="D85" s="14" t="s">
        <v>599</v>
      </c>
      <c r="E85" t="s">
        <v>178</v>
      </c>
      <c r="F85" s="10"/>
      <c r="G85" s="9"/>
      <c r="H85" s="287">
        <v>3401</v>
      </c>
      <c r="I85" s="10"/>
      <c r="J85" s="9"/>
      <c r="K85" s="10"/>
      <c r="L85" s="10"/>
      <c r="M85" s="9"/>
      <c r="N85" s="10">
        <v>1738</v>
      </c>
      <c r="O85" s="10"/>
      <c r="P85" s="9"/>
      <c r="Q85" s="10">
        <v>1674</v>
      </c>
      <c r="R85" s="157"/>
      <c r="S85" s="157"/>
      <c r="T85" s="83">
        <v>55.287115384615376</v>
      </c>
      <c r="U85" s="83">
        <v>728.43124999999998</v>
      </c>
      <c r="V85" s="83">
        <v>2971</v>
      </c>
      <c r="W85" s="83">
        <v>5846</v>
      </c>
      <c r="X85" s="83"/>
      <c r="Y85" s="83"/>
      <c r="Z85" s="83">
        <v>3700</v>
      </c>
      <c r="AA85" s="83">
        <v>3700</v>
      </c>
      <c r="AB85" s="83">
        <v>3700</v>
      </c>
      <c r="AC85" s="83">
        <v>4700</v>
      </c>
      <c r="AD85" s="83">
        <v>4700</v>
      </c>
      <c r="AE85" s="83">
        <v>4700</v>
      </c>
      <c r="AF85" s="83">
        <v>6000</v>
      </c>
      <c r="AG85" s="83">
        <v>6000</v>
      </c>
      <c r="AH85" s="83">
        <v>6000</v>
      </c>
      <c r="AI85" s="83">
        <v>7500</v>
      </c>
      <c r="AJ85" s="83">
        <v>7500</v>
      </c>
      <c r="AK85">
        <v>7500</v>
      </c>
    </row>
    <row r="86" spans="2:37" customFormat="1" ht="13" x14ac:dyDescent="0.15">
      <c r="B86">
        <v>42</v>
      </c>
      <c r="C86">
        <v>756</v>
      </c>
      <c r="D86" s="14" t="s">
        <v>33</v>
      </c>
      <c r="E86" t="s">
        <v>178</v>
      </c>
      <c r="F86" s="10"/>
      <c r="G86" s="9"/>
      <c r="H86" s="287">
        <v>2936</v>
      </c>
      <c r="I86" s="10"/>
      <c r="J86" s="9"/>
      <c r="K86" s="10"/>
      <c r="L86" s="10"/>
      <c r="M86" s="9"/>
      <c r="N86" s="10">
        <v>1798</v>
      </c>
      <c r="O86" s="10"/>
      <c r="P86" s="9"/>
      <c r="Q86" s="10">
        <v>1370</v>
      </c>
      <c r="R86" s="9"/>
      <c r="S86" s="168"/>
      <c r="T86" s="83">
        <v>55.287115384615376</v>
      </c>
      <c r="U86" s="83">
        <v>728.43124999999998</v>
      </c>
      <c r="V86" s="83">
        <v>2846</v>
      </c>
      <c r="W86" s="83">
        <v>6085</v>
      </c>
      <c r="X86" s="83"/>
      <c r="Y86" s="83"/>
      <c r="Z86" s="83">
        <v>3700</v>
      </c>
      <c r="AA86" s="83">
        <v>3700</v>
      </c>
      <c r="AB86" s="83">
        <v>3700</v>
      </c>
      <c r="AC86" s="83">
        <v>4700</v>
      </c>
      <c r="AD86" s="83">
        <v>4700</v>
      </c>
      <c r="AE86" s="83">
        <v>4700</v>
      </c>
      <c r="AF86" s="83">
        <v>6000</v>
      </c>
      <c r="AG86" s="83">
        <v>6000</v>
      </c>
      <c r="AH86" s="83">
        <v>6000</v>
      </c>
      <c r="AI86" s="83">
        <v>7500</v>
      </c>
      <c r="AJ86" s="83">
        <v>7500</v>
      </c>
      <c r="AK86">
        <v>7500</v>
      </c>
    </row>
    <row r="87" spans="2:37" customFormat="1" ht="13" x14ac:dyDescent="0.15">
      <c r="B87">
        <v>68</v>
      </c>
      <c r="C87">
        <v>760</v>
      </c>
      <c r="D87" s="14" t="s">
        <v>38</v>
      </c>
      <c r="E87" t="s">
        <v>178</v>
      </c>
      <c r="F87" s="10"/>
      <c r="G87" s="9"/>
      <c r="H87" s="287">
        <v>2744</v>
      </c>
      <c r="I87" s="10"/>
      <c r="J87" s="9"/>
      <c r="K87" s="10"/>
      <c r="L87" s="10"/>
      <c r="M87" s="9"/>
      <c r="N87" s="10">
        <v>1687</v>
      </c>
      <c r="O87" s="10"/>
      <c r="P87" s="9"/>
      <c r="Q87" s="10">
        <v>1388</v>
      </c>
      <c r="R87" s="157"/>
      <c r="S87" s="168"/>
      <c r="T87" s="83">
        <v>55.287115384615376</v>
      </c>
      <c r="U87" s="83">
        <v>728.43124999999998</v>
      </c>
      <c r="V87" s="83">
        <v>2329</v>
      </c>
      <c r="W87" s="83">
        <v>5020</v>
      </c>
      <c r="X87" s="83"/>
      <c r="Y87" s="83"/>
      <c r="Z87" s="83">
        <v>3700</v>
      </c>
      <c r="AA87" s="83">
        <v>3700</v>
      </c>
      <c r="AB87" s="83">
        <v>3700</v>
      </c>
      <c r="AC87" s="83">
        <v>4700</v>
      </c>
      <c r="AD87" s="83">
        <v>4700</v>
      </c>
      <c r="AE87" s="83">
        <v>4700</v>
      </c>
      <c r="AF87" s="83">
        <v>6000</v>
      </c>
      <c r="AG87" s="83">
        <v>6000</v>
      </c>
      <c r="AH87" s="83">
        <v>6000</v>
      </c>
      <c r="AI87" s="83">
        <v>7500</v>
      </c>
      <c r="AJ87" s="83">
        <v>7500</v>
      </c>
      <c r="AK87">
        <v>7500</v>
      </c>
    </row>
    <row r="88" spans="2:37" customFormat="1" ht="13" x14ac:dyDescent="0.15">
      <c r="B88">
        <v>30</v>
      </c>
      <c r="C88">
        <v>766</v>
      </c>
      <c r="D88" s="14" t="s">
        <v>29</v>
      </c>
      <c r="E88" t="s">
        <v>178</v>
      </c>
      <c r="F88" s="10"/>
      <c r="G88" s="9"/>
      <c r="H88" s="287">
        <v>3240</v>
      </c>
      <c r="I88" s="10"/>
      <c r="J88" s="9"/>
      <c r="K88" s="10"/>
      <c r="L88" s="10"/>
      <c r="M88" s="9"/>
      <c r="N88" s="10">
        <v>2184</v>
      </c>
      <c r="O88" s="10"/>
      <c r="P88" s="9"/>
      <c r="Q88" s="10">
        <v>1789</v>
      </c>
      <c r="R88" s="9"/>
      <c r="S88" s="168"/>
      <c r="T88" s="83">
        <v>55.287115384615376</v>
      </c>
      <c r="U88" s="83">
        <v>728.43124999999998</v>
      </c>
      <c r="V88" s="83">
        <v>3173</v>
      </c>
      <c r="W88" s="83">
        <v>5113</v>
      </c>
      <c r="X88" s="83"/>
      <c r="Y88" s="83"/>
      <c r="Z88" s="83">
        <v>3700</v>
      </c>
      <c r="AA88" s="83">
        <v>3700</v>
      </c>
      <c r="AB88" s="83">
        <v>3700</v>
      </c>
      <c r="AC88" s="83">
        <v>4700</v>
      </c>
      <c r="AD88" s="83">
        <v>4700</v>
      </c>
      <c r="AE88" s="83">
        <v>4700</v>
      </c>
      <c r="AF88" s="83">
        <v>6000</v>
      </c>
      <c r="AG88" s="83">
        <v>6000</v>
      </c>
      <c r="AH88" s="83">
        <v>6000</v>
      </c>
      <c r="AI88" s="83">
        <v>7500</v>
      </c>
      <c r="AJ88" s="83">
        <v>7500</v>
      </c>
      <c r="AK88">
        <v>7500</v>
      </c>
    </row>
    <row r="89" spans="2:37" customFormat="1" ht="13" x14ac:dyDescent="0.15">
      <c r="B89">
        <v>58</v>
      </c>
      <c r="C89">
        <v>773</v>
      </c>
      <c r="D89" s="14" t="s">
        <v>53</v>
      </c>
      <c r="E89" t="s">
        <v>179</v>
      </c>
      <c r="F89" s="10"/>
      <c r="G89" s="9"/>
      <c r="H89" s="287">
        <v>2640</v>
      </c>
      <c r="I89" s="10"/>
      <c r="J89" s="9"/>
      <c r="K89" s="10"/>
      <c r="L89" s="10"/>
      <c r="M89" s="9"/>
      <c r="N89" s="10">
        <v>1742</v>
      </c>
      <c r="O89" s="10"/>
      <c r="P89" s="9"/>
      <c r="Q89" s="10">
        <v>1215</v>
      </c>
      <c r="R89" s="9"/>
      <c r="S89" s="180"/>
      <c r="T89" s="83">
        <v>55.287115384615376</v>
      </c>
      <c r="U89" s="83">
        <v>728.43124999999998</v>
      </c>
      <c r="V89" s="83">
        <v>2589</v>
      </c>
      <c r="W89" s="83">
        <v>5346</v>
      </c>
      <c r="X89" s="83"/>
      <c r="Y89" s="83"/>
      <c r="Z89" s="83">
        <v>3700</v>
      </c>
      <c r="AA89" s="83">
        <v>3700</v>
      </c>
      <c r="AB89" s="83">
        <v>3700</v>
      </c>
      <c r="AC89" s="83">
        <v>4700</v>
      </c>
      <c r="AD89" s="83">
        <v>4700</v>
      </c>
      <c r="AE89" s="83">
        <v>4700</v>
      </c>
      <c r="AF89" s="83">
        <v>6000</v>
      </c>
      <c r="AG89" s="83">
        <v>6000</v>
      </c>
      <c r="AH89" s="83">
        <v>6000</v>
      </c>
      <c r="AI89" s="83">
        <v>7500</v>
      </c>
      <c r="AJ89" s="83">
        <v>7500</v>
      </c>
      <c r="AK89">
        <v>7500</v>
      </c>
    </row>
    <row r="90" spans="2:37" customFormat="1" ht="13" x14ac:dyDescent="0.15">
      <c r="B90">
        <v>76</v>
      </c>
      <c r="C90">
        <v>779</v>
      </c>
      <c r="D90" s="14" t="s">
        <v>42</v>
      </c>
      <c r="E90" t="s">
        <v>178</v>
      </c>
      <c r="F90" s="10"/>
      <c r="G90" s="9"/>
      <c r="H90" s="287">
        <v>3365</v>
      </c>
      <c r="I90" s="10"/>
      <c r="J90" s="9"/>
      <c r="K90" s="10"/>
      <c r="L90" s="10"/>
      <c r="M90" s="9"/>
      <c r="N90" s="10">
        <v>1816</v>
      </c>
      <c r="O90" s="10"/>
      <c r="P90" s="9"/>
      <c r="Q90" s="10">
        <v>1673</v>
      </c>
      <c r="R90" s="9"/>
      <c r="S90" s="9"/>
      <c r="T90" s="83">
        <v>55.287115384615376</v>
      </c>
      <c r="U90" s="83">
        <v>728.43124999999998</v>
      </c>
      <c r="V90" s="83">
        <v>2588</v>
      </c>
      <c r="W90" s="83">
        <v>5493</v>
      </c>
      <c r="X90" s="83"/>
      <c r="Y90" s="83"/>
      <c r="Z90" s="83">
        <v>3700</v>
      </c>
      <c r="AA90" s="83">
        <v>3700</v>
      </c>
      <c r="AB90" s="83">
        <v>3700</v>
      </c>
      <c r="AC90" s="83">
        <v>4700</v>
      </c>
      <c r="AD90" s="83">
        <v>4700</v>
      </c>
      <c r="AE90" s="83">
        <v>4700</v>
      </c>
      <c r="AF90" s="83">
        <v>6000</v>
      </c>
      <c r="AG90" s="83">
        <v>6000</v>
      </c>
      <c r="AH90" s="83">
        <v>6000</v>
      </c>
      <c r="AI90" s="83">
        <v>7500</v>
      </c>
      <c r="AJ90" s="83">
        <v>7500</v>
      </c>
      <c r="AK90">
        <v>7500</v>
      </c>
    </row>
    <row r="91" spans="2:37" customFormat="1" ht="13" x14ac:dyDescent="0.15">
      <c r="B91">
        <v>85</v>
      </c>
      <c r="C91">
        <v>787</v>
      </c>
      <c r="D91" s="14" t="s">
        <v>55</v>
      </c>
      <c r="E91" t="s">
        <v>179</v>
      </c>
      <c r="F91" s="10"/>
      <c r="G91" s="9"/>
      <c r="H91" s="287">
        <v>3494</v>
      </c>
      <c r="I91" s="10"/>
      <c r="J91" s="9"/>
      <c r="K91" s="10"/>
      <c r="L91" s="10"/>
      <c r="M91" s="9"/>
      <c r="N91" s="10">
        <v>1747</v>
      </c>
      <c r="O91" s="10"/>
      <c r="P91" s="9"/>
      <c r="Q91" s="10">
        <v>1490</v>
      </c>
      <c r="R91" s="9"/>
      <c r="S91" s="168"/>
      <c r="T91" s="83">
        <v>55.287115384615376</v>
      </c>
      <c r="U91" s="83">
        <v>728.43124999999998</v>
      </c>
      <c r="V91" s="83">
        <v>2328</v>
      </c>
      <c r="W91" s="83">
        <v>5293</v>
      </c>
      <c r="X91" s="83"/>
      <c r="Y91" s="83"/>
      <c r="Z91" s="83">
        <v>3700</v>
      </c>
      <c r="AA91" s="83">
        <v>3700</v>
      </c>
      <c r="AB91" s="83">
        <v>3700</v>
      </c>
      <c r="AC91" s="83">
        <v>4700</v>
      </c>
      <c r="AD91" s="83">
        <v>4700</v>
      </c>
      <c r="AE91" s="83">
        <v>4700</v>
      </c>
      <c r="AF91" s="83">
        <v>6000</v>
      </c>
      <c r="AG91" s="83">
        <v>6000</v>
      </c>
      <c r="AH91" s="83">
        <v>6000</v>
      </c>
      <c r="AI91" s="83">
        <v>7500</v>
      </c>
      <c r="AJ91" s="83">
        <v>7500</v>
      </c>
      <c r="AK91">
        <v>7500</v>
      </c>
    </row>
    <row r="92" spans="2:37" customFormat="1" ht="13" x14ac:dyDescent="0.15">
      <c r="B92">
        <v>93</v>
      </c>
      <c r="C92">
        <v>791</v>
      </c>
      <c r="D92" s="14" t="s">
        <v>45</v>
      </c>
      <c r="E92" t="s">
        <v>178</v>
      </c>
      <c r="F92" s="10"/>
      <c r="G92" s="9"/>
      <c r="H92" s="287">
        <v>3130</v>
      </c>
      <c r="I92" s="10"/>
      <c r="J92" s="9"/>
      <c r="K92" s="10"/>
      <c r="L92" s="10"/>
      <c r="M92" s="9"/>
      <c r="N92" s="10">
        <v>1700</v>
      </c>
      <c r="O92" s="10"/>
      <c r="P92" s="9"/>
      <c r="Q92" s="10">
        <v>1651</v>
      </c>
      <c r="R92" s="9"/>
      <c r="S92" s="168"/>
      <c r="T92" s="83">
        <v>55.287115384615376</v>
      </c>
      <c r="U92" s="83">
        <v>728.43124999999998</v>
      </c>
      <c r="V92" s="83">
        <v>3144</v>
      </c>
      <c r="W92" s="83">
        <v>4894</v>
      </c>
      <c r="X92" s="83"/>
      <c r="Y92" s="83"/>
      <c r="Z92" s="83">
        <v>3700</v>
      </c>
      <c r="AA92" s="83">
        <v>3700</v>
      </c>
      <c r="AB92" s="83">
        <v>3700</v>
      </c>
      <c r="AC92" s="83">
        <v>4700</v>
      </c>
      <c r="AD92" s="83">
        <v>4700</v>
      </c>
      <c r="AE92" s="83">
        <v>4700</v>
      </c>
      <c r="AF92" s="83">
        <v>6000</v>
      </c>
      <c r="AG92" s="83">
        <v>6000</v>
      </c>
      <c r="AH92" s="83">
        <v>6000</v>
      </c>
      <c r="AI92" s="83">
        <v>7500</v>
      </c>
      <c r="AJ92" s="83">
        <v>7500</v>
      </c>
      <c r="AK92">
        <v>7500</v>
      </c>
    </row>
    <row r="93" spans="2:37" customFormat="1" ht="13" x14ac:dyDescent="0.15">
      <c r="B93">
        <v>8</v>
      </c>
      <c r="C93">
        <v>810</v>
      </c>
      <c r="D93" s="14" t="s">
        <v>47</v>
      </c>
      <c r="E93" t="s">
        <v>179</v>
      </c>
      <c r="F93" s="10"/>
      <c r="G93" s="9"/>
      <c r="H93" s="287">
        <v>3024</v>
      </c>
      <c r="I93" s="10"/>
      <c r="J93" s="9"/>
      <c r="K93" s="10"/>
      <c r="L93" s="10"/>
      <c r="M93" s="9"/>
      <c r="N93" s="10">
        <v>1528</v>
      </c>
      <c r="O93" s="10"/>
      <c r="P93" s="9"/>
      <c r="Q93" s="10">
        <v>1808</v>
      </c>
      <c r="R93" s="9"/>
      <c r="S93" s="9"/>
      <c r="T93" s="83">
        <v>55.287115384615376</v>
      </c>
      <c r="U93" s="83">
        <v>728.43124999999998</v>
      </c>
      <c r="V93" s="83">
        <v>2263</v>
      </c>
      <c r="W93" s="83">
        <v>5271</v>
      </c>
      <c r="X93" s="83"/>
      <c r="Y93" s="83"/>
      <c r="Z93" s="83">
        <v>3700</v>
      </c>
      <c r="AA93" s="83">
        <v>3700</v>
      </c>
      <c r="AB93" s="83">
        <v>3700</v>
      </c>
      <c r="AC93" s="83">
        <v>4700</v>
      </c>
      <c r="AD93" s="83">
        <v>4700</v>
      </c>
      <c r="AE93" s="83">
        <v>4700</v>
      </c>
      <c r="AF93" s="83">
        <v>6000</v>
      </c>
      <c r="AG93" s="83">
        <v>6000</v>
      </c>
      <c r="AH93" s="83">
        <v>6000</v>
      </c>
      <c r="AI93" s="83">
        <v>7500</v>
      </c>
      <c r="AJ93" s="83">
        <v>7500</v>
      </c>
      <c r="AK93">
        <v>7500</v>
      </c>
    </row>
    <row r="94" spans="2:37" customFormat="1" ht="13" x14ac:dyDescent="0.15">
      <c r="B94">
        <v>18</v>
      </c>
      <c r="C94">
        <v>813</v>
      </c>
      <c r="D94" s="14" t="s">
        <v>48</v>
      </c>
      <c r="E94" t="s">
        <v>179</v>
      </c>
      <c r="F94" s="10"/>
      <c r="G94" s="9"/>
      <c r="H94" s="287">
        <v>2671</v>
      </c>
      <c r="I94" s="10"/>
      <c r="J94" s="9"/>
      <c r="K94" s="10"/>
      <c r="L94" s="10"/>
      <c r="M94" s="9"/>
      <c r="N94" s="10">
        <v>1576</v>
      </c>
      <c r="O94" s="10"/>
      <c r="P94" s="9"/>
      <c r="Q94" s="10">
        <v>1797</v>
      </c>
      <c r="R94" s="9"/>
      <c r="S94" s="9"/>
      <c r="T94" s="83">
        <v>55.287115384615376</v>
      </c>
      <c r="U94" s="83">
        <v>728.43124999999998</v>
      </c>
      <c r="V94" s="83">
        <v>2519</v>
      </c>
      <c r="W94" s="83">
        <v>5494</v>
      </c>
      <c r="X94" s="83"/>
      <c r="Y94" s="83"/>
      <c r="Z94" s="83">
        <v>3700</v>
      </c>
      <c r="AA94" s="83">
        <v>3700</v>
      </c>
      <c r="AB94" s="83">
        <v>3700</v>
      </c>
      <c r="AC94" s="83">
        <v>4700</v>
      </c>
      <c r="AD94" s="83">
        <v>4700</v>
      </c>
      <c r="AE94" s="83">
        <v>4700</v>
      </c>
      <c r="AF94" s="83">
        <v>6000</v>
      </c>
      <c r="AG94" s="83">
        <v>6000</v>
      </c>
      <c r="AH94" s="83">
        <v>6000</v>
      </c>
      <c r="AI94" s="83">
        <v>7500</v>
      </c>
      <c r="AJ94" s="83">
        <v>7500</v>
      </c>
      <c r="AK94">
        <v>7500</v>
      </c>
    </row>
    <row r="95" spans="2:37" customFormat="1" ht="13" x14ac:dyDescent="0.15">
      <c r="B95">
        <v>92</v>
      </c>
      <c r="C95">
        <v>820</v>
      </c>
      <c r="D95" s="14" t="s">
        <v>343</v>
      </c>
      <c r="E95" t="s">
        <v>179</v>
      </c>
      <c r="F95" s="10"/>
      <c r="G95" s="9"/>
      <c r="H95" s="287">
        <v>3040</v>
      </c>
      <c r="I95" s="10"/>
      <c r="J95" s="9"/>
      <c r="K95" s="10"/>
      <c r="L95" s="10"/>
      <c r="M95" s="9"/>
      <c r="N95" s="10">
        <v>1946</v>
      </c>
      <c r="O95" s="10"/>
      <c r="P95" s="9"/>
      <c r="Q95" s="10">
        <v>1222</v>
      </c>
      <c r="R95" s="9"/>
      <c r="S95" s="168"/>
      <c r="T95" s="83">
        <v>55.287115384615376</v>
      </c>
      <c r="U95" s="83">
        <v>728.43124999999998</v>
      </c>
      <c r="V95" s="83">
        <v>2355</v>
      </c>
      <c r="W95" s="83">
        <v>5272</v>
      </c>
      <c r="X95" s="83"/>
      <c r="Y95" s="83"/>
      <c r="Z95" s="83">
        <v>3700</v>
      </c>
      <c r="AA95" s="83">
        <v>3700</v>
      </c>
      <c r="AB95" s="83">
        <v>3700</v>
      </c>
      <c r="AC95" s="83">
        <v>4700</v>
      </c>
      <c r="AD95" s="83">
        <v>4700</v>
      </c>
      <c r="AE95" s="83">
        <v>4700</v>
      </c>
      <c r="AF95" s="83">
        <v>6000</v>
      </c>
      <c r="AG95" s="83">
        <v>6000</v>
      </c>
      <c r="AH95" s="83">
        <v>6000</v>
      </c>
      <c r="AI95" s="83">
        <v>7500</v>
      </c>
      <c r="AJ95" s="83">
        <v>7500</v>
      </c>
      <c r="AK95">
        <v>7500</v>
      </c>
    </row>
    <row r="96" spans="2:37" customFormat="1" ht="13" x14ac:dyDescent="0.15">
      <c r="B96">
        <v>55</v>
      </c>
      <c r="C96">
        <v>825</v>
      </c>
      <c r="D96" s="14" t="s">
        <v>51</v>
      </c>
      <c r="E96" t="s">
        <v>179</v>
      </c>
      <c r="F96" s="10"/>
      <c r="G96" s="9"/>
      <c r="H96" s="287">
        <v>3636</v>
      </c>
      <c r="I96" s="10"/>
      <c r="J96" s="9"/>
      <c r="K96" s="10"/>
      <c r="L96" s="10"/>
      <c r="M96" s="9"/>
      <c r="N96" s="10">
        <v>2066</v>
      </c>
      <c r="O96" s="10"/>
      <c r="P96" s="9"/>
      <c r="Q96" s="10">
        <v>1388</v>
      </c>
      <c r="R96" s="9"/>
      <c r="S96" s="9"/>
      <c r="T96" s="83">
        <v>55.287115384615376</v>
      </c>
      <c r="U96" s="83">
        <v>728.43124999999998</v>
      </c>
      <c r="V96" s="83">
        <v>2155</v>
      </c>
      <c r="W96" s="83">
        <v>5275</v>
      </c>
      <c r="X96" s="83"/>
      <c r="Y96" s="83"/>
      <c r="Z96" s="83">
        <v>3700</v>
      </c>
      <c r="AA96" s="83">
        <v>3700</v>
      </c>
      <c r="AB96" s="83">
        <v>3700</v>
      </c>
      <c r="AC96" s="83">
        <v>4700</v>
      </c>
      <c r="AD96" s="83">
        <v>4700</v>
      </c>
      <c r="AE96" s="83">
        <v>4700</v>
      </c>
      <c r="AF96" s="83">
        <v>6000</v>
      </c>
      <c r="AG96" s="83">
        <v>6000</v>
      </c>
      <c r="AH96" s="83">
        <v>6000</v>
      </c>
      <c r="AI96" s="83">
        <v>7500</v>
      </c>
      <c r="AJ96" s="83">
        <v>7500</v>
      </c>
      <c r="AK96">
        <v>7500</v>
      </c>
    </row>
    <row r="97" spans="2:37" customFormat="1" ht="13" x14ac:dyDescent="0.15">
      <c r="B97">
        <v>67</v>
      </c>
      <c r="C97">
        <v>840</v>
      </c>
      <c r="D97" s="14" t="s">
        <v>54</v>
      </c>
      <c r="E97" t="s">
        <v>179</v>
      </c>
      <c r="F97" s="10"/>
      <c r="G97" s="9"/>
      <c r="H97" s="287">
        <v>3006</v>
      </c>
      <c r="I97" s="10"/>
      <c r="J97" s="9"/>
      <c r="K97" s="10"/>
      <c r="L97" s="10"/>
      <c r="M97" s="9"/>
      <c r="N97" s="10">
        <v>1769</v>
      </c>
      <c r="O97" s="10"/>
      <c r="P97" s="9"/>
      <c r="Q97" s="10">
        <v>1731</v>
      </c>
      <c r="R97" s="157"/>
      <c r="S97" s="157"/>
      <c r="T97" s="83">
        <v>55.287115384615376</v>
      </c>
      <c r="U97" s="83">
        <v>728.43124999999998</v>
      </c>
      <c r="V97" s="83">
        <v>2080</v>
      </c>
      <c r="W97" s="83">
        <v>5343</v>
      </c>
      <c r="X97" s="83"/>
      <c r="Y97" s="83"/>
      <c r="Z97" s="83">
        <v>3700</v>
      </c>
      <c r="AA97" s="83">
        <v>3700</v>
      </c>
      <c r="AB97" s="83">
        <v>3700</v>
      </c>
      <c r="AC97" s="83">
        <v>4700</v>
      </c>
      <c r="AD97" s="83">
        <v>4700</v>
      </c>
      <c r="AE97" s="83">
        <v>4700</v>
      </c>
      <c r="AF97" s="83">
        <v>6000</v>
      </c>
      <c r="AG97" s="83">
        <v>6000</v>
      </c>
      <c r="AH97" s="83">
        <v>6000</v>
      </c>
      <c r="AI97" s="83">
        <v>7500</v>
      </c>
      <c r="AJ97" s="83">
        <v>7500</v>
      </c>
      <c r="AK97">
        <v>7500</v>
      </c>
    </row>
    <row r="98" spans="2:37" customFormat="1" ht="13" x14ac:dyDescent="0.15">
      <c r="B98">
        <v>56</v>
      </c>
      <c r="C98">
        <v>846</v>
      </c>
      <c r="D98" s="14" t="s">
        <v>52</v>
      </c>
      <c r="E98" t="s">
        <v>179</v>
      </c>
      <c r="F98" s="10"/>
      <c r="G98" s="9"/>
      <c r="H98" s="287">
        <v>3130</v>
      </c>
      <c r="I98" s="10"/>
      <c r="J98" s="9"/>
      <c r="K98" s="10"/>
      <c r="L98" s="10"/>
      <c r="M98" s="9"/>
      <c r="N98" s="10">
        <v>1832</v>
      </c>
      <c r="O98" s="10"/>
      <c r="P98" s="9"/>
      <c r="Q98" s="10">
        <v>1600</v>
      </c>
      <c r="R98" s="9"/>
      <c r="S98" s="168"/>
      <c r="T98" s="83">
        <v>55.287115384615376</v>
      </c>
      <c r="U98" s="83">
        <v>728.43124999999998</v>
      </c>
      <c r="V98" s="83">
        <v>2220</v>
      </c>
      <c r="W98" s="83">
        <v>5240</v>
      </c>
      <c r="X98" s="83"/>
      <c r="Y98" s="83"/>
      <c r="Z98" s="83">
        <v>3700</v>
      </c>
      <c r="AA98" s="83">
        <v>3700</v>
      </c>
      <c r="AB98" s="83">
        <v>3700</v>
      </c>
      <c r="AC98" s="83">
        <v>4700</v>
      </c>
      <c r="AD98" s="83">
        <v>4700</v>
      </c>
      <c r="AE98" s="83">
        <v>4700</v>
      </c>
      <c r="AF98" s="83">
        <v>6000</v>
      </c>
      <c r="AG98" s="83">
        <v>6000</v>
      </c>
      <c r="AH98" s="83">
        <v>6000</v>
      </c>
      <c r="AI98" s="83">
        <v>7500</v>
      </c>
      <c r="AJ98" s="83">
        <v>7500</v>
      </c>
      <c r="AK98">
        <v>7500</v>
      </c>
    </row>
    <row r="99" spans="2:37" customFormat="1" ht="13" x14ac:dyDescent="0.15">
      <c r="B99">
        <v>44</v>
      </c>
      <c r="C99">
        <v>849</v>
      </c>
      <c r="D99" s="14" t="s">
        <v>50</v>
      </c>
      <c r="E99" t="s">
        <v>179</v>
      </c>
      <c r="F99" s="10"/>
      <c r="G99" s="9"/>
      <c r="H99" s="287">
        <v>2891</v>
      </c>
      <c r="I99" s="10"/>
      <c r="J99" s="9"/>
      <c r="K99" s="10"/>
      <c r="L99" s="10"/>
      <c r="M99" s="9"/>
      <c r="N99" s="10">
        <v>1642</v>
      </c>
      <c r="O99" s="10"/>
      <c r="P99" s="9"/>
      <c r="Q99" s="10">
        <v>1379</v>
      </c>
      <c r="R99" s="9"/>
      <c r="S99" s="168"/>
      <c r="T99" s="83">
        <v>55.287115384615376</v>
      </c>
      <c r="U99" s="83">
        <v>728.43124999999998</v>
      </c>
      <c r="V99" s="83">
        <v>2263</v>
      </c>
      <c r="W99" s="83">
        <v>5271</v>
      </c>
      <c r="X99" s="83"/>
      <c r="Y99" s="83"/>
      <c r="Z99" s="83">
        <v>3700</v>
      </c>
      <c r="AA99" s="83">
        <v>3700</v>
      </c>
      <c r="AB99" s="83">
        <v>3700</v>
      </c>
      <c r="AC99" s="83">
        <v>4700</v>
      </c>
      <c r="AD99" s="83">
        <v>4700</v>
      </c>
      <c r="AE99" s="83">
        <v>4700</v>
      </c>
      <c r="AF99" s="83">
        <v>6000</v>
      </c>
      <c r="AG99" s="83">
        <v>6000</v>
      </c>
      <c r="AH99" s="83">
        <v>6000</v>
      </c>
      <c r="AI99" s="83">
        <v>7500</v>
      </c>
      <c r="AJ99" s="83">
        <v>7500</v>
      </c>
      <c r="AK99">
        <v>7500</v>
      </c>
    </row>
    <row r="100" spans="2:37" customFormat="1" ht="13" x14ac:dyDescent="0.15">
      <c r="B100">
        <v>97</v>
      </c>
      <c r="C100">
        <v>851</v>
      </c>
      <c r="D100" s="14" t="s">
        <v>56</v>
      </c>
      <c r="E100" t="s">
        <v>179</v>
      </c>
      <c r="F100" s="10"/>
      <c r="G100" s="9"/>
      <c r="H100" s="287">
        <v>3181</v>
      </c>
      <c r="I100" s="10"/>
      <c r="J100" s="9"/>
      <c r="K100" s="10"/>
      <c r="L100" s="10"/>
      <c r="M100" s="9"/>
      <c r="N100" s="10">
        <v>1829</v>
      </c>
      <c r="O100" s="10"/>
      <c r="P100" s="9"/>
      <c r="Q100" s="10">
        <v>1528</v>
      </c>
      <c r="R100" s="9"/>
      <c r="S100" s="168"/>
      <c r="T100" s="83">
        <v>55.287115384615376</v>
      </c>
      <c r="U100" s="83">
        <v>728.43124999999998</v>
      </c>
      <c r="V100" s="83">
        <v>3653</v>
      </c>
      <c r="W100" s="83">
        <v>5689</v>
      </c>
      <c r="X100" s="83"/>
      <c r="Y100" s="83"/>
      <c r="Z100" s="83">
        <v>3700</v>
      </c>
      <c r="AA100" s="83">
        <v>3700</v>
      </c>
      <c r="AB100" s="83">
        <v>3700</v>
      </c>
      <c r="AC100" s="83">
        <v>4700</v>
      </c>
      <c r="AD100" s="83">
        <v>4700</v>
      </c>
      <c r="AE100" s="83">
        <v>4700</v>
      </c>
      <c r="AF100" s="83">
        <v>6000</v>
      </c>
      <c r="AG100" s="83">
        <v>6000</v>
      </c>
      <c r="AH100" s="83">
        <v>6000</v>
      </c>
      <c r="AI100" s="83">
        <v>7500</v>
      </c>
      <c r="AJ100" s="83">
        <v>7500</v>
      </c>
      <c r="AK100">
        <v>7500</v>
      </c>
    </row>
    <row r="101" spans="2:37" customFormat="1" ht="13" x14ac:dyDescent="0.15">
      <c r="B101">
        <v>35</v>
      </c>
      <c r="C101">
        <v>860</v>
      </c>
      <c r="D101" s="14" t="s">
        <v>49</v>
      </c>
      <c r="E101" t="s">
        <v>179</v>
      </c>
      <c r="F101" s="10"/>
      <c r="G101" s="9"/>
      <c r="H101" s="287">
        <v>2691</v>
      </c>
      <c r="I101" s="10"/>
      <c r="J101" s="9"/>
      <c r="K101" s="10"/>
      <c r="L101" s="10"/>
      <c r="M101" s="9"/>
      <c r="N101" s="10">
        <v>1675</v>
      </c>
      <c r="O101" s="10"/>
      <c r="P101" s="9"/>
      <c r="Q101" s="10">
        <v>1329</v>
      </c>
      <c r="R101" s="9"/>
      <c r="S101" s="9"/>
      <c r="T101" s="83">
        <v>55.287115384615376</v>
      </c>
      <c r="U101" s="83">
        <v>728.43124999999998</v>
      </c>
      <c r="V101" s="83">
        <v>2615</v>
      </c>
      <c r="W101" s="83">
        <v>5108</v>
      </c>
      <c r="X101" s="83"/>
      <c r="Y101" s="83"/>
      <c r="Z101" s="83">
        <v>3700</v>
      </c>
      <c r="AA101" s="83">
        <v>3700</v>
      </c>
      <c r="AB101" s="83">
        <v>3700</v>
      </c>
      <c r="AC101" s="83">
        <v>4700</v>
      </c>
      <c r="AD101" s="83">
        <v>4700</v>
      </c>
      <c r="AE101" s="83">
        <v>4700</v>
      </c>
      <c r="AF101" s="83">
        <v>6000</v>
      </c>
      <c r="AG101" s="83">
        <v>6000</v>
      </c>
      <c r="AH101" s="83">
        <v>6000</v>
      </c>
      <c r="AI101" s="83">
        <v>7500</v>
      </c>
      <c r="AJ101" s="83">
        <v>7500</v>
      </c>
      <c r="AK101">
        <v>7500</v>
      </c>
    </row>
    <row r="103" spans="2:37" x14ac:dyDescent="0.15">
      <c r="F103" s="10"/>
      <c r="G103" s="10"/>
      <c r="H103" s="10"/>
      <c r="T103" s="10">
        <v>55.287115384615383</v>
      </c>
    </row>
    <row r="104" spans="2:37" x14ac:dyDescent="0.15">
      <c r="F104" s="10"/>
      <c r="G104" s="10"/>
      <c r="H104" s="10"/>
      <c r="AE104" s="83"/>
    </row>
  </sheetData>
  <sortState xmlns:xlrd2="http://schemas.microsoft.com/office/spreadsheetml/2017/richdata2" ref="A4:AK101">
    <sortCondition ref="C4:C101"/>
  </sortState>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46"/>
  <sheetViews>
    <sheetView topLeftCell="A6" workbookViewId="0">
      <selection activeCell="C37" sqref="C37"/>
    </sheetView>
  </sheetViews>
  <sheetFormatPr baseColWidth="10" defaultColWidth="8.83203125" defaultRowHeight="13" x14ac:dyDescent="0.15"/>
  <cols>
    <col min="1" max="1" width="8.83203125" style="115"/>
    <col min="2" max="2" width="14.5" style="115" customWidth="1"/>
    <col min="3" max="6" width="8.83203125" style="115"/>
    <col min="7" max="7" width="9.1640625" style="115" customWidth="1"/>
    <col min="8" max="16384" width="8.83203125" style="115"/>
  </cols>
  <sheetData>
    <row r="1" spans="1:5" ht="15" x14ac:dyDescent="0.2">
      <c r="A1" s="133" t="s">
        <v>87</v>
      </c>
      <c r="B1" s="118"/>
      <c r="C1" s="118"/>
      <c r="D1" s="119"/>
    </row>
    <row r="2" spans="1:5" x14ac:dyDescent="0.15">
      <c r="A2" s="120"/>
      <c r="D2" s="121"/>
    </row>
    <row r="3" spans="1:5" x14ac:dyDescent="0.15">
      <c r="A3" s="120" t="s">
        <v>508</v>
      </c>
      <c r="C3" s="115">
        <v>56.185587523782424</v>
      </c>
      <c r="D3" s="121" t="s">
        <v>493</v>
      </c>
    </row>
    <row r="4" spans="1:5" x14ac:dyDescent="0.15">
      <c r="A4" s="120"/>
      <c r="D4" s="121"/>
    </row>
    <row r="5" spans="1:5" x14ac:dyDescent="0.15">
      <c r="A5" s="120" t="s">
        <v>509</v>
      </c>
      <c r="C5" s="115">
        <v>2670</v>
      </c>
      <c r="D5" s="121" t="s">
        <v>510</v>
      </c>
      <c r="E5" s="115" t="s">
        <v>511</v>
      </c>
    </row>
    <row r="6" spans="1:5" x14ac:dyDescent="0.15">
      <c r="A6" s="120" t="s">
        <v>512</v>
      </c>
      <c r="C6" s="115">
        <v>10.75</v>
      </c>
      <c r="D6" s="121" t="s">
        <v>513</v>
      </c>
    </row>
    <row r="7" spans="1:5" x14ac:dyDescent="0.15">
      <c r="A7" s="120"/>
      <c r="C7" s="115">
        <f>C5/C6</f>
        <v>248.37209302325581</v>
      </c>
      <c r="D7" s="121" t="s">
        <v>493</v>
      </c>
    </row>
    <row r="8" spans="1:5" x14ac:dyDescent="0.15">
      <c r="A8" s="120"/>
      <c r="D8" s="121"/>
    </row>
    <row r="9" spans="1:5" ht="16" thickBot="1" x14ac:dyDescent="0.25">
      <c r="A9" s="122" t="s">
        <v>525</v>
      </c>
      <c r="B9" s="123"/>
      <c r="C9" s="134">
        <f>C3+C7</f>
        <v>304.55768054703822</v>
      </c>
      <c r="D9" s="124" t="s">
        <v>493</v>
      </c>
    </row>
    <row r="11" spans="1:5" ht="14" thickBot="1" x14ac:dyDescent="0.2"/>
    <row r="12" spans="1:5" ht="15" x14ac:dyDescent="0.2">
      <c r="A12" s="133" t="s">
        <v>514</v>
      </c>
      <c r="B12" s="118"/>
      <c r="C12" s="118"/>
      <c r="D12" s="119"/>
    </row>
    <row r="13" spans="1:5" x14ac:dyDescent="0.15">
      <c r="A13" s="120"/>
      <c r="D13" s="121"/>
    </row>
    <row r="14" spans="1:5" x14ac:dyDescent="0.15">
      <c r="A14" s="120" t="s">
        <v>515</v>
      </c>
      <c r="C14" s="115">
        <v>29.168012880891332</v>
      </c>
      <c r="D14" s="121" t="s">
        <v>493</v>
      </c>
    </row>
    <row r="15" spans="1:5" x14ac:dyDescent="0.15">
      <c r="A15" s="120"/>
      <c r="D15" s="121"/>
    </row>
    <row r="16" spans="1:5" x14ac:dyDescent="0.15">
      <c r="A16" s="120" t="s">
        <v>516</v>
      </c>
      <c r="C16" s="115">
        <f>205*11.1</f>
        <v>2275.5</v>
      </c>
      <c r="D16" s="121" t="s">
        <v>517</v>
      </c>
      <c r="E16" s="115" t="s">
        <v>518</v>
      </c>
    </row>
    <row r="17" spans="1:5" x14ac:dyDescent="0.15">
      <c r="A17" s="120" t="s">
        <v>519</v>
      </c>
      <c r="C17" s="117">
        <v>9.4329999999999998</v>
      </c>
      <c r="D17" s="121" t="s">
        <v>520</v>
      </c>
    </row>
    <row r="18" spans="1:5" x14ac:dyDescent="0.15">
      <c r="A18" s="120"/>
      <c r="C18" s="115">
        <f>C16/C17</f>
        <v>241.22760521573201</v>
      </c>
      <c r="D18" s="121" t="s">
        <v>493</v>
      </c>
    </row>
    <row r="19" spans="1:5" x14ac:dyDescent="0.15">
      <c r="A19" s="120"/>
      <c r="D19" s="121"/>
    </row>
    <row r="20" spans="1:5" ht="16" thickBot="1" x14ac:dyDescent="0.25">
      <c r="A20" s="122" t="s">
        <v>525</v>
      </c>
      <c r="B20" s="123"/>
      <c r="C20" s="134">
        <f>C14+C18</f>
        <v>270.39561809662337</v>
      </c>
      <c r="D20" s="124" t="s">
        <v>493</v>
      </c>
    </row>
    <row r="22" spans="1:5" ht="14" thickBot="1" x14ac:dyDescent="0.2"/>
    <row r="23" spans="1:5" ht="15" x14ac:dyDescent="0.2">
      <c r="A23" s="133" t="s">
        <v>86</v>
      </c>
      <c r="B23" s="118"/>
      <c r="C23" s="118"/>
      <c r="D23" s="119"/>
    </row>
    <row r="24" spans="1:5" x14ac:dyDescent="0.15">
      <c r="A24" s="120"/>
      <c r="D24" s="121"/>
    </row>
    <row r="25" spans="1:5" x14ac:dyDescent="0.15">
      <c r="A25" s="120" t="s">
        <v>12</v>
      </c>
      <c r="C25" s="135">
        <v>62.395600000000002</v>
      </c>
      <c r="D25" s="121"/>
      <c r="E25" s="114" t="s">
        <v>13</v>
      </c>
    </row>
    <row r="26" spans="1:5" x14ac:dyDescent="0.15">
      <c r="A26" s="120"/>
      <c r="D26" s="121"/>
    </row>
    <row r="27" spans="1:5" x14ac:dyDescent="0.15">
      <c r="A27" s="120" t="s">
        <v>521</v>
      </c>
      <c r="C27" s="135">
        <v>158.1936</v>
      </c>
      <c r="D27" s="121" t="s">
        <v>522</v>
      </c>
      <c r="E27" s="114" t="s">
        <v>14</v>
      </c>
    </row>
    <row r="28" spans="1:5" x14ac:dyDescent="0.15">
      <c r="A28" s="120"/>
      <c r="D28" s="121"/>
    </row>
    <row r="29" spans="1:5" x14ac:dyDescent="0.15">
      <c r="A29" s="120" t="s">
        <v>523</v>
      </c>
      <c r="C29" s="115">
        <v>0.81</v>
      </c>
      <c r="D29" s="121" t="s">
        <v>524</v>
      </c>
    </row>
    <row r="30" spans="1:5" x14ac:dyDescent="0.15">
      <c r="A30" s="120"/>
      <c r="D30" s="121"/>
    </row>
    <row r="31" spans="1:5" ht="16" thickBot="1" x14ac:dyDescent="0.25">
      <c r="A31" s="122" t="s">
        <v>525</v>
      </c>
      <c r="B31" s="123"/>
      <c r="C31" s="134">
        <f>(C27+C25)/C29</f>
        <v>272.33234567901235</v>
      </c>
      <c r="D31" s="124" t="s">
        <v>493</v>
      </c>
    </row>
    <row r="32" spans="1:5" ht="14" thickBot="1" x14ac:dyDescent="0.2"/>
    <row r="33" spans="1:5" ht="15" x14ac:dyDescent="0.2">
      <c r="A33" s="133" t="s">
        <v>85</v>
      </c>
      <c r="B33" s="118"/>
      <c r="C33" s="118"/>
      <c r="D33" s="119"/>
    </row>
    <row r="34" spans="1:5" x14ac:dyDescent="0.15">
      <c r="A34" s="120"/>
      <c r="D34" s="121"/>
    </row>
    <row r="35" spans="1:5" x14ac:dyDescent="0.15">
      <c r="A35" s="120" t="s">
        <v>12</v>
      </c>
      <c r="C35" s="135">
        <v>87.2149</v>
      </c>
      <c r="D35" s="121"/>
      <c r="E35" s="114" t="s">
        <v>13</v>
      </c>
    </row>
    <row r="36" spans="1:5" x14ac:dyDescent="0.15">
      <c r="A36" s="120"/>
      <c r="D36" s="121"/>
    </row>
    <row r="37" spans="1:5" x14ac:dyDescent="0.15">
      <c r="A37" s="120" t="s">
        <v>526</v>
      </c>
      <c r="C37" s="115">
        <v>421.005</v>
      </c>
      <c r="D37" s="121" t="s">
        <v>522</v>
      </c>
      <c r="E37" s="114" t="s">
        <v>15</v>
      </c>
    </row>
    <row r="38" spans="1:5" x14ac:dyDescent="0.15">
      <c r="A38" s="120"/>
      <c r="D38" s="121"/>
    </row>
    <row r="39" spans="1:5" x14ac:dyDescent="0.15">
      <c r="A39" s="120" t="s">
        <v>504</v>
      </c>
      <c r="C39" s="115">
        <v>1.96</v>
      </c>
      <c r="D39" s="121" t="s">
        <v>524</v>
      </c>
    </row>
    <row r="40" spans="1:5" x14ac:dyDescent="0.15">
      <c r="A40" s="120"/>
      <c r="D40" s="121"/>
    </row>
    <row r="41" spans="1:5" ht="16" thickBot="1" x14ac:dyDescent="0.25">
      <c r="A41" s="122" t="s">
        <v>525</v>
      </c>
      <c r="B41" s="123"/>
      <c r="C41" s="134">
        <f>(C35+C37)/C39</f>
        <v>259.29586734693879</v>
      </c>
      <c r="D41" s="124" t="s">
        <v>493</v>
      </c>
    </row>
    <row r="43" spans="1:5" ht="14" thickBot="1" x14ac:dyDescent="0.2"/>
    <row r="44" spans="1:5" ht="15" x14ac:dyDescent="0.2">
      <c r="A44" s="125" t="s">
        <v>507</v>
      </c>
      <c r="B44" s="118"/>
      <c r="C44" s="136">
        <v>80.114339087343822</v>
      </c>
      <c r="D44" s="119" t="s">
        <v>493</v>
      </c>
      <c r="E44" s="115" t="s">
        <v>505</v>
      </c>
    </row>
    <row r="45" spans="1:5" x14ac:dyDescent="0.15">
      <c r="A45" s="120"/>
      <c r="D45" s="121"/>
    </row>
    <row r="46" spans="1:5" ht="14" thickBot="1" x14ac:dyDescent="0.2">
      <c r="A46" s="122" t="s">
        <v>525</v>
      </c>
      <c r="B46" s="123"/>
      <c r="C46" s="126">
        <f>C44</f>
        <v>80.114339087343822</v>
      </c>
      <c r="D46" s="124" t="s">
        <v>493</v>
      </c>
    </row>
  </sheetData>
  <pageMargins left="0.7" right="0.7" top="0.75" bottom="0.75" header="0.3" footer="0.3"/>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Input</vt:lpstr>
      <vt:lpstr>Budget</vt:lpstr>
      <vt:lpstr>Data-DS</vt:lpstr>
      <vt:lpstr>Skatteprocenter</vt:lpstr>
      <vt:lpstr>Data</vt:lpstr>
      <vt:lpstr>DS-tal-valgte</vt:lpstr>
      <vt:lpstr>Modeller</vt:lpstr>
      <vt:lpstr>Aftrapning</vt:lpstr>
      <vt:lpstr>Dialog</vt:lpstr>
      <vt:lpstr>DS-tal-alle</vt:lpstr>
      <vt:lpstr>Kommunedata</vt:lpstr>
      <vt:lpstr>Kommunedata2</vt:lpstr>
      <vt:lpstr>(NIRAS)-Energi-CO2-tal</vt:lpstr>
    </vt:vector>
  </TitlesOfParts>
  <Company>Bonnier Publications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Hans Kronberg</dc:creator>
  <cp:lastModifiedBy>Danila Mouzytchenko</cp:lastModifiedBy>
  <cp:lastPrinted>2016-01-10T18:30:20Z</cp:lastPrinted>
  <dcterms:created xsi:type="dcterms:W3CDTF">2008-08-06T09:49:48Z</dcterms:created>
  <dcterms:modified xsi:type="dcterms:W3CDTF">2026-02-20T18:57:09Z</dcterms:modified>
</cp:coreProperties>
</file>